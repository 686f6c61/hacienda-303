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9010 - DGT\VERIFICACION\GENERAL\URHC\07-Libros Registro\Plantillas de Internet\"/>
    </mc:Choice>
  </mc:AlternateContent>
  <xr:revisionPtr revIDLastSave="0" documentId="13_ncr:1_{5346E4DB-40F2-462D-A91D-7160A5324CD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INSTRUCCIONES" sheetId="14" r:id="rId1"/>
    <sheet name="Registrar expedidas_ingresos" sheetId="10" r:id="rId2"/>
    <sheet name="Registrar recibidas_gastos" sheetId="12" r:id="rId3"/>
    <sheet name="Registrar bienes de inversión" sheetId="13" r:id="rId4"/>
    <sheet name="EXPEDIDAS_INGRESOS" sheetId="1" r:id="rId5"/>
    <sheet name="RECIBIDAS_GASTOS" sheetId="2" r:id="rId6"/>
    <sheet name="BIENES-INVERSIÓN" sheetId="5" r:id="rId7"/>
    <sheet name="CODIGO-LITERAL" sheetId="9" state="hidden" r:id="rId8"/>
  </sheets>
  <definedNames>
    <definedName name="A">'CODIGO-LITERAL'!$B$1:$B$5</definedName>
    <definedName name="ACTIVIDAD">'CODIGO-LITERAL'!$B$6:$B$9</definedName>
    <definedName name="B">'CODIGO-LITERAL'!$B$10:$B$15</definedName>
    <definedName name="CALIFICACION_OPERACION">'CODIGO-LITERAL'!$B$16:$B$19</definedName>
    <definedName name="CAUSA_BAJA_BIEN">'CODIGO-LITERAL'!$B$20:$B$26</definedName>
    <definedName name="CLAVE_OPERACION">'CODIGO-LITERAL'!$B$27:$B$44</definedName>
    <definedName name="CLAVE_OPERACION_GASTO">'CODIGO-LITERAL'!$B$45:$B$57</definedName>
    <definedName name="CONCEPTO_GASTO">'CODIGO-LITERAL'!$B$58:$B$104</definedName>
    <definedName name="CONCEPTO_INGRESO">'CODIGO-LITERAL'!$B$105:$B$113</definedName>
    <definedName name="MEDIO_UTILIZADO">'CODIGO-LITERAL'!$B$114:$B$118</definedName>
    <definedName name="METODO_AMORTIZACION">'CODIGO-LITERAL'!$B$204:$B$213</definedName>
    <definedName name="OPERACION_EXENTA">'CODIGO-LITERAL'!$B$119:$B$124</definedName>
    <definedName name="SITUACION">'CODIGO-LITERAL'!$B$125:$B$129</definedName>
    <definedName name="TIPO_BIEN">'CODIGO-LITERAL'!$B$130:$B$149</definedName>
    <definedName name="TIPO_FACTURA">'CODIGO-LITERAL'!$B$150:$B$161</definedName>
    <definedName name="TIPO_FACTURA_GASTO">'CODIGO-LITERAL'!$B$191:$B$203</definedName>
    <definedName name="TIPO_IVA">'CODIGO-LITERAL'!$B$172:$B$180</definedName>
    <definedName name="TIPO_NIF">'CODIGO-LITERAL'!$B$162:$B$167</definedName>
    <definedName name="TIPO_RECARGO_EQUIVALENCIA">'CODIGO-LITERAL'!$B$181:$B$186</definedName>
    <definedName name="TRIMESTRE">'CODIGO-LITERAL'!$B$168:$B$171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4" i="1"/>
  <c r="X4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4" i="12"/>
  <c r="AC4" i="12"/>
  <c r="AF4" i="12"/>
  <c r="Z5" i="12"/>
  <c r="AC5" i="12"/>
  <c r="AF5" i="12"/>
  <c r="Z6" i="12"/>
  <c r="AC6" i="12"/>
  <c r="AF6" i="12"/>
  <c r="Z7" i="12"/>
  <c r="AC7" i="12"/>
  <c r="AF7" i="12"/>
  <c r="Z8" i="12"/>
  <c r="AC8" i="12"/>
  <c r="AF8" i="12"/>
  <c r="Z9" i="12"/>
  <c r="AC9" i="12"/>
  <c r="AF9" i="12"/>
  <c r="Z10" i="12"/>
  <c r="AC10" i="12"/>
  <c r="AF10" i="12"/>
  <c r="Z11" i="12"/>
  <c r="AC11" i="12"/>
  <c r="AF11" i="12"/>
  <c r="Z12" i="12"/>
  <c r="AC12" i="12"/>
  <c r="AF12" i="12"/>
  <c r="Z13" i="12"/>
  <c r="AC13" i="12"/>
  <c r="AF13" i="12"/>
  <c r="Z14" i="12"/>
  <c r="AC14" i="12"/>
  <c r="AF14" i="12"/>
  <c r="Z15" i="12"/>
  <c r="AC15" i="12"/>
  <c r="AF15" i="12"/>
  <c r="Z16" i="12"/>
  <c r="AC16" i="12"/>
  <c r="AF16" i="12"/>
  <c r="Z17" i="12"/>
  <c r="AC17" i="12"/>
  <c r="AF17" i="12"/>
  <c r="Z18" i="12"/>
  <c r="AC18" i="12"/>
  <c r="AF18" i="12"/>
  <c r="Z19" i="12"/>
  <c r="AC19" i="12"/>
  <c r="AF19" i="12"/>
  <c r="Z20" i="12"/>
  <c r="AC20" i="12"/>
  <c r="AF20" i="12"/>
  <c r="Z21" i="12"/>
  <c r="AC21" i="12"/>
  <c r="AF21" i="12"/>
  <c r="Z22" i="12"/>
  <c r="AC22" i="12"/>
  <c r="AF22" i="12"/>
  <c r="Z23" i="12"/>
  <c r="AC23" i="12"/>
  <c r="AF23" i="12"/>
  <c r="Z24" i="12"/>
  <c r="AC24" i="12"/>
  <c r="AF24" i="12"/>
  <c r="Z25" i="12"/>
  <c r="AC25" i="12"/>
  <c r="AF25" i="12"/>
  <c r="Z26" i="12"/>
  <c r="AC26" i="12"/>
  <c r="AF26" i="12"/>
  <c r="Z27" i="12"/>
  <c r="AC27" i="12"/>
  <c r="AF27" i="12"/>
  <c r="Z28" i="12"/>
  <c r="AC28" i="12"/>
  <c r="AF28" i="12"/>
  <c r="Z29" i="12"/>
  <c r="AC29" i="12"/>
  <c r="AF29" i="12"/>
  <c r="Z30" i="12"/>
  <c r="AC30" i="12"/>
  <c r="AF30" i="12"/>
  <c r="Z31" i="12"/>
  <c r="AC31" i="12"/>
  <c r="AF31" i="12"/>
  <c r="Z32" i="12"/>
  <c r="AC32" i="12"/>
  <c r="AF32" i="12"/>
  <c r="Z33" i="12"/>
  <c r="AC33" i="12"/>
  <c r="AF33" i="12"/>
  <c r="Z34" i="12"/>
  <c r="AC34" i="12"/>
  <c r="AF34" i="12"/>
  <c r="Z35" i="12"/>
  <c r="AC35" i="12"/>
  <c r="AF35" i="12"/>
  <c r="Z36" i="12"/>
  <c r="AC36" i="12"/>
  <c r="AF36" i="12"/>
  <c r="Z37" i="12"/>
  <c r="AC37" i="12"/>
  <c r="AF37" i="12"/>
  <c r="Z38" i="12"/>
  <c r="AC38" i="12"/>
  <c r="AF38" i="12"/>
  <c r="Z39" i="12"/>
  <c r="AC39" i="12"/>
  <c r="AF39" i="12"/>
  <c r="Z40" i="12"/>
  <c r="AC40" i="12"/>
  <c r="AF40" i="12"/>
  <c r="Z41" i="12"/>
  <c r="AC41" i="12"/>
  <c r="AF41" i="12"/>
  <c r="Z42" i="12"/>
  <c r="AC42" i="12"/>
  <c r="AF42" i="12"/>
  <c r="AF103" i="12" l="1"/>
  <c r="AC103" i="12"/>
  <c r="Z103" i="12"/>
  <c r="AF102" i="12"/>
  <c r="AC102" i="12"/>
  <c r="Z102" i="12"/>
  <c r="AF101" i="12"/>
  <c r="AC101" i="12"/>
  <c r="Z101" i="12"/>
  <c r="AF100" i="12"/>
  <c r="AC100" i="12"/>
  <c r="Z100" i="12"/>
  <c r="AF99" i="12"/>
  <c r="AC99" i="12"/>
  <c r="Z99" i="12"/>
  <c r="AF98" i="12"/>
  <c r="AC98" i="12"/>
  <c r="Z98" i="12"/>
  <c r="AF97" i="12"/>
  <c r="AC97" i="12"/>
  <c r="Z97" i="12"/>
  <c r="AF96" i="12"/>
  <c r="AC96" i="12"/>
  <c r="Z96" i="12"/>
  <c r="AF95" i="12"/>
  <c r="AC95" i="12"/>
  <c r="Z95" i="12"/>
  <c r="AF94" i="12"/>
  <c r="AC94" i="12"/>
  <c r="Z94" i="12"/>
  <c r="AF93" i="12"/>
  <c r="AC93" i="12"/>
  <c r="Z93" i="12"/>
  <c r="AF92" i="12"/>
  <c r="AC92" i="12"/>
  <c r="Z92" i="12"/>
  <c r="AF91" i="12"/>
  <c r="AC91" i="12"/>
  <c r="Z91" i="12"/>
  <c r="AF90" i="12"/>
  <c r="AC90" i="12"/>
  <c r="Z90" i="12"/>
  <c r="AF89" i="12"/>
  <c r="AC89" i="12"/>
  <c r="Z89" i="12"/>
  <c r="AF88" i="12"/>
  <c r="AC88" i="12"/>
  <c r="Z88" i="12"/>
  <c r="AF87" i="12"/>
  <c r="AC87" i="12"/>
  <c r="Z87" i="12"/>
  <c r="AF86" i="12"/>
  <c r="AC86" i="12"/>
  <c r="Z86" i="12"/>
  <c r="AF85" i="12"/>
  <c r="AC85" i="12"/>
  <c r="Z85" i="12"/>
  <c r="AF84" i="12"/>
  <c r="AC84" i="12"/>
  <c r="Z84" i="12"/>
  <c r="AF83" i="12"/>
  <c r="AC83" i="12"/>
  <c r="Z83" i="12"/>
  <c r="AF82" i="12"/>
  <c r="AC82" i="12"/>
  <c r="Z82" i="12"/>
  <c r="AF81" i="12"/>
  <c r="AC81" i="12"/>
  <c r="Z81" i="12"/>
  <c r="AF80" i="12"/>
  <c r="AC80" i="12"/>
  <c r="Z80" i="12"/>
  <c r="AF79" i="12"/>
  <c r="AC79" i="12"/>
  <c r="Z79" i="12"/>
  <c r="AF78" i="12"/>
  <c r="AC78" i="12"/>
  <c r="Z78" i="12"/>
  <c r="AF77" i="12"/>
  <c r="AC77" i="12"/>
  <c r="Z77" i="12"/>
  <c r="AF76" i="12"/>
  <c r="AC76" i="12"/>
  <c r="Z76" i="12"/>
  <c r="AF75" i="12"/>
  <c r="AC75" i="12"/>
  <c r="Z75" i="12"/>
  <c r="AF74" i="12"/>
  <c r="AC74" i="12"/>
  <c r="Z74" i="12"/>
  <c r="AF73" i="12"/>
  <c r="AC73" i="12"/>
  <c r="Z73" i="12"/>
  <c r="AF72" i="12"/>
  <c r="AC72" i="12"/>
  <c r="Z72" i="12"/>
  <c r="AF71" i="12"/>
  <c r="AC71" i="12"/>
  <c r="Z71" i="12"/>
  <c r="AF70" i="12"/>
  <c r="AC70" i="12"/>
  <c r="Z70" i="12"/>
  <c r="AF69" i="12"/>
  <c r="AC69" i="12"/>
  <c r="Z69" i="12"/>
  <c r="AF68" i="12"/>
  <c r="AC68" i="12"/>
  <c r="Z68" i="12"/>
  <c r="AF67" i="12"/>
  <c r="AC67" i="12"/>
  <c r="Z67" i="12"/>
  <c r="AF66" i="12"/>
  <c r="AC66" i="12"/>
  <c r="Z66" i="12"/>
  <c r="AF65" i="12"/>
  <c r="AC65" i="12"/>
  <c r="Z65" i="12"/>
  <c r="AF64" i="12"/>
  <c r="AC64" i="12"/>
  <c r="Z64" i="12"/>
  <c r="AF63" i="12"/>
  <c r="AC63" i="12"/>
  <c r="Z63" i="12"/>
  <c r="AF62" i="12"/>
  <c r="AC62" i="12"/>
  <c r="Z62" i="12"/>
  <c r="AF61" i="12"/>
  <c r="AC61" i="12"/>
  <c r="Z61" i="12"/>
  <c r="AF60" i="12"/>
  <c r="AC60" i="12"/>
  <c r="Z60" i="12"/>
  <c r="AF59" i="12"/>
  <c r="AC59" i="12"/>
  <c r="Z59" i="12"/>
  <c r="AF58" i="12"/>
  <c r="AC58" i="12"/>
  <c r="Z58" i="12"/>
  <c r="AF57" i="12"/>
  <c r="AC57" i="12"/>
  <c r="Z57" i="12"/>
  <c r="AF56" i="12"/>
  <c r="AC56" i="12"/>
  <c r="Z56" i="12"/>
  <c r="AF55" i="12"/>
  <c r="AC55" i="12"/>
  <c r="Z55" i="12"/>
  <c r="AF54" i="12"/>
  <c r="AC54" i="12"/>
  <c r="Z54" i="12"/>
  <c r="AF53" i="12"/>
  <c r="AC53" i="12"/>
  <c r="Z53" i="12"/>
  <c r="AF52" i="12"/>
  <c r="AC52" i="12"/>
  <c r="Z52" i="12"/>
  <c r="AF51" i="12"/>
  <c r="AC51" i="12"/>
  <c r="Z51" i="12"/>
  <c r="AF50" i="12"/>
  <c r="AC50" i="12"/>
  <c r="Z50" i="12"/>
  <c r="AF49" i="12"/>
  <c r="AC49" i="12"/>
  <c r="Z49" i="12"/>
  <c r="AF48" i="12"/>
  <c r="AC48" i="12"/>
  <c r="Z48" i="12"/>
  <c r="AF47" i="12"/>
  <c r="AC47" i="12"/>
  <c r="Z47" i="12"/>
  <c r="AF46" i="12"/>
  <c r="AC46" i="12"/>
  <c r="Z46" i="12"/>
  <c r="AF45" i="12"/>
  <c r="AC45" i="12"/>
  <c r="Z45" i="12"/>
  <c r="AF44" i="12"/>
  <c r="AC44" i="12"/>
  <c r="Z44" i="12"/>
  <c r="AF43" i="12"/>
  <c r="AC43" i="12"/>
  <c r="Z43" i="12"/>
  <c r="Z103" i="10"/>
  <c r="Z102" i="10"/>
  <c r="Z101" i="10"/>
  <c r="Z100" i="10"/>
  <c r="Z99" i="10"/>
  <c r="Z98" i="10"/>
  <c r="Z97" i="10"/>
  <c r="Z96" i="10"/>
  <c r="Z95" i="10"/>
  <c r="Z94" i="10"/>
  <c r="Z93" i="10"/>
  <c r="Z92" i="10"/>
  <c r="Z91" i="10"/>
  <c r="Z90" i="10"/>
  <c r="Z89" i="10"/>
  <c r="Z88" i="10"/>
  <c r="Z87" i="10"/>
  <c r="Z86" i="10"/>
  <c r="Z85" i="10"/>
  <c r="Z84" i="10"/>
  <c r="Z83" i="10"/>
  <c r="Z82" i="10"/>
  <c r="Z81" i="10"/>
  <c r="Z80" i="10"/>
  <c r="Z79" i="10"/>
  <c r="Z78" i="10"/>
  <c r="Z77" i="10"/>
  <c r="Z76" i="10"/>
  <c r="Z75" i="10"/>
  <c r="Z74" i="10"/>
  <c r="Z73" i="10"/>
  <c r="Z72" i="10"/>
  <c r="Z71" i="10"/>
  <c r="Z70" i="10"/>
  <c r="Z69" i="10"/>
  <c r="Z68" i="10"/>
  <c r="Z67" i="10"/>
  <c r="Z66" i="10"/>
  <c r="Z65" i="10"/>
  <c r="Z64" i="10"/>
  <c r="Z63" i="10"/>
  <c r="Z62" i="10"/>
  <c r="Z61" i="10"/>
  <c r="Z60" i="10"/>
  <c r="Z59" i="10"/>
  <c r="Z58" i="10"/>
  <c r="Z57" i="10"/>
  <c r="Z56" i="10"/>
  <c r="Z55" i="10"/>
  <c r="Z54" i="10"/>
  <c r="Z53" i="10"/>
  <c r="Z52" i="10"/>
  <c r="Z51" i="10"/>
  <c r="Z50" i="10"/>
  <c r="Z49" i="10"/>
  <c r="Z48" i="10"/>
  <c r="Z47" i="10"/>
  <c r="Z46" i="10"/>
  <c r="Z45" i="10"/>
  <c r="Z44" i="10"/>
  <c r="Z43" i="10"/>
  <c r="Z42" i="10"/>
  <c r="Z41" i="10"/>
  <c r="Z40" i="10"/>
  <c r="Z39" i="10"/>
  <c r="A36" i="5" l="1"/>
  <c r="B36" i="5"/>
  <c r="C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37" i="5"/>
  <c r="B37" i="5"/>
  <c r="C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38" i="5"/>
  <c r="B38" i="5"/>
  <c r="C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39" i="5"/>
  <c r="B39" i="5"/>
  <c r="C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40" i="5"/>
  <c r="B40" i="5"/>
  <c r="C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41" i="5"/>
  <c r="B41" i="5"/>
  <c r="C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42" i="5"/>
  <c r="B42" i="5"/>
  <c r="C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43" i="5"/>
  <c r="B43" i="5"/>
  <c r="C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44" i="5"/>
  <c r="B44" i="5"/>
  <c r="C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45" i="5"/>
  <c r="B45" i="5"/>
  <c r="C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46" i="5"/>
  <c r="B46" i="5"/>
  <c r="C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47" i="5"/>
  <c r="B47" i="5"/>
  <c r="C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48" i="5"/>
  <c r="B48" i="5"/>
  <c r="C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49" i="5"/>
  <c r="B49" i="5"/>
  <c r="C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50" i="5"/>
  <c r="B50" i="5"/>
  <c r="C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51" i="5"/>
  <c r="B51" i="5"/>
  <c r="C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52" i="5"/>
  <c r="B52" i="5"/>
  <c r="C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53" i="5"/>
  <c r="B53" i="5"/>
  <c r="C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54" i="5"/>
  <c r="B54" i="5"/>
  <c r="C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55" i="5"/>
  <c r="B55" i="5"/>
  <c r="C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56" i="5"/>
  <c r="B56" i="5"/>
  <c r="C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57" i="5"/>
  <c r="B57" i="5"/>
  <c r="C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58" i="5"/>
  <c r="B58" i="5"/>
  <c r="C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59" i="5"/>
  <c r="B59" i="5"/>
  <c r="C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60" i="5"/>
  <c r="B60" i="5"/>
  <c r="C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61" i="5"/>
  <c r="B61" i="5"/>
  <c r="C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62" i="5"/>
  <c r="B62" i="5"/>
  <c r="C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63" i="5"/>
  <c r="B63" i="5"/>
  <c r="C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64" i="5"/>
  <c r="B64" i="5"/>
  <c r="C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65" i="5"/>
  <c r="B65" i="5"/>
  <c r="C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66" i="5"/>
  <c r="B66" i="5"/>
  <c r="C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67" i="5"/>
  <c r="B67" i="5"/>
  <c r="C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68" i="5"/>
  <c r="B68" i="5"/>
  <c r="C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69" i="5"/>
  <c r="B69" i="5"/>
  <c r="C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70" i="5"/>
  <c r="B70" i="5"/>
  <c r="C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71" i="5"/>
  <c r="B71" i="5"/>
  <c r="C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72" i="5"/>
  <c r="B72" i="5"/>
  <c r="C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73" i="5"/>
  <c r="B73" i="5"/>
  <c r="C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74" i="5"/>
  <c r="B74" i="5"/>
  <c r="C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75" i="5"/>
  <c r="B75" i="5"/>
  <c r="C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76" i="5"/>
  <c r="B76" i="5"/>
  <c r="C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77" i="5"/>
  <c r="B77" i="5"/>
  <c r="C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78" i="5"/>
  <c r="B78" i="5"/>
  <c r="C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79" i="5"/>
  <c r="B79" i="5"/>
  <c r="C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80" i="5"/>
  <c r="B80" i="5"/>
  <c r="C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81" i="5"/>
  <c r="B81" i="5"/>
  <c r="C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82" i="5"/>
  <c r="B82" i="5"/>
  <c r="C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83" i="5"/>
  <c r="B83" i="5"/>
  <c r="C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84" i="5"/>
  <c r="B84" i="5"/>
  <c r="C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85" i="5"/>
  <c r="B85" i="5"/>
  <c r="C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86" i="5"/>
  <c r="B86" i="5"/>
  <c r="C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87" i="5"/>
  <c r="B87" i="5"/>
  <c r="C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88" i="5"/>
  <c r="B88" i="5"/>
  <c r="C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89" i="5"/>
  <c r="B89" i="5"/>
  <c r="C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90" i="5"/>
  <c r="B90" i="5"/>
  <c r="C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91" i="5"/>
  <c r="B91" i="5"/>
  <c r="C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92" i="5"/>
  <c r="B92" i="5"/>
  <c r="C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93" i="5"/>
  <c r="B93" i="5"/>
  <c r="C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94" i="5"/>
  <c r="B94" i="5"/>
  <c r="C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95" i="5"/>
  <c r="B95" i="5"/>
  <c r="C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96" i="5"/>
  <c r="B96" i="5"/>
  <c r="C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97" i="5"/>
  <c r="B97" i="5"/>
  <c r="C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98" i="5"/>
  <c r="B98" i="5"/>
  <c r="C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99" i="5"/>
  <c r="B99" i="5"/>
  <c r="C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100" i="5"/>
  <c r="B100" i="5"/>
  <c r="C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101" i="5"/>
  <c r="B101" i="5"/>
  <c r="C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102" i="5"/>
  <c r="B102" i="5"/>
  <c r="C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103" i="5"/>
  <c r="B103" i="5"/>
  <c r="C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36" i="2"/>
  <c r="B36" i="2"/>
  <c r="C36" i="2"/>
  <c r="E36" i="2"/>
  <c r="F36" i="2"/>
  <c r="I36" i="2"/>
  <c r="J36" i="2"/>
  <c r="K36" i="2"/>
  <c r="L36" i="2"/>
  <c r="M36" i="2"/>
  <c r="P36" i="2"/>
  <c r="Q36" i="2"/>
  <c r="R36" i="2"/>
  <c r="S36" i="2"/>
  <c r="T36" i="2"/>
  <c r="U36" i="2" s="1"/>
  <c r="X36" i="2"/>
  <c r="Y36" i="2"/>
  <c r="AA36" i="2"/>
  <c r="AB36" i="2"/>
  <c r="AD36" i="2"/>
  <c r="AE36" i="2"/>
  <c r="AF36" i="2"/>
  <c r="AG36" i="2"/>
  <c r="AH36" i="2"/>
  <c r="AI36" i="2"/>
  <c r="AJ36" i="2"/>
  <c r="AM36" i="2"/>
  <c r="AN36" i="2"/>
  <c r="AO36" i="2"/>
  <c r="AP36" i="2"/>
  <c r="A37" i="2"/>
  <c r="B37" i="2"/>
  <c r="C37" i="2"/>
  <c r="E37" i="2"/>
  <c r="F37" i="2"/>
  <c r="I37" i="2"/>
  <c r="J37" i="2"/>
  <c r="K37" i="2"/>
  <c r="L37" i="2"/>
  <c r="M37" i="2"/>
  <c r="P37" i="2"/>
  <c r="Q37" i="2"/>
  <c r="R37" i="2"/>
  <c r="S37" i="2"/>
  <c r="T37" i="2"/>
  <c r="V37" i="2" s="1"/>
  <c r="X37" i="2"/>
  <c r="Y37" i="2"/>
  <c r="AA37" i="2"/>
  <c r="AB37" i="2"/>
  <c r="AD37" i="2"/>
  <c r="AE37" i="2"/>
  <c r="AF37" i="2"/>
  <c r="AG37" i="2"/>
  <c r="AH37" i="2"/>
  <c r="AI37" i="2"/>
  <c r="AJ37" i="2"/>
  <c r="AM37" i="2"/>
  <c r="AN37" i="2"/>
  <c r="AO37" i="2"/>
  <c r="AP37" i="2"/>
  <c r="A38" i="2"/>
  <c r="B38" i="2"/>
  <c r="C38" i="2"/>
  <c r="E38" i="2"/>
  <c r="F38" i="2"/>
  <c r="I38" i="2"/>
  <c r="J38" i="2"/>
  <c r="K38" i="2"/>
  <c r="L38" i="2"/>
  <c r="M38" i="2"/>
  <c r="P38" i="2"/>
  <c r="Q38" i="2"/>
  <c r="R38" i="2"/>
  <c r="S38" i="2"/>
  <c r="T38" i="2"/>
  <c r="U38" i="2" s="1"/>
  <c r="X38" i="2"/>
  <c r="Y38" i="2"/>
  <c r="AA38" i="2"/>
  <c r="AB38" i="2"/>
  <c r="AD38" i="2"/>
  <c r="AE38" i="2"/>
  <c r="AF38" i="2"/>
  <c r="AG38" i="2"/>
  <c r="AH38" i="2"/>
  <c r="AI38" i="2"/>
  <c r="AJ38" i="2"/>
  <c r="AM38" i="2"/>
  <c r="AN38" i="2"/>
  <c r="AO38" i="2"/>
  <c r="AP38" i="2"/>
  <c r="A39" i="2"/>
  <c r="B39" i="2"/>
  <c r="C39" i="2"/>
  <c r="E39" i="2"/>
  <c r="F39" i="2"/>
  <c r="I39" i="2"/>
  <c r="J39" i="2"/>
  <c r="K39" i="2"/>
  <c r="L39" i="2"/>
  <c r="M39" i="2"/>
  <c r="P39" i="2"/>
  <c r="Q39" i="2"/>
  <c r="R39" i="2"/>
  <c r="S39" i="2"/>
  <c r="T39" i="2"/>
  <c r="V39" i="2" s="1"/>
  <c r="X39" i="2"/>
  <c r="Y39" i="2"/>
  <c r="AA39" i="2"/>
  <c r="AB39" i="2"/>
  <c r="AD39" i="2"/>
  <c r="AE39" i="2"/>
  <c r="AF39" i="2"/>
  <c r="AG39" i="2"/>
  <c r="AH39" i="2"/>
  <c r="AI39" i="2"/>
  <c r="AJ39" i="2"/>
  <c r="AM39" i="2"/>
  <c r="AN39" i="2"/>
  <c r="AO39" i="2"/>
  <c r="AP39" i="2"/>
  <c r="A40" i="2"/>
  <c r="B40" i="2"/>
  <c r="C40" i="2"/>
  <c r="E40" i="2"/>
  <c r="F40" i="2"/>
  <c r="I40" i="2"/>
  <c r="J40" i="2"/>
  <c r="K40" i="2"/>
  <c r="L40" i="2"/>
  <c r="M40" i="2"/>
  <c r="P40" i="2"/>
  <c r="Q40" i="2"/>
  <c r="R40" i="2"/>
  <c r="S40" i="2"/>
  <c r="T40" i="2"/>
  <c r="U40" i="2" s="1"/>
  <c r="X40" i="2"/>
  <c r="Y40" i="2"/>
  <c r="AA40" i="2"/>
  <c r="AB40" i="2"/>
  <c r="AC40" i="2" s="1"/>
  <c r="AD40" i="2"/>
  <c r="AE40" i="2"/>
  <c r="AF40" i="2"/>
  <c r="AG40" i="2"/>
  <c r="AH40" i="2"/>
  <c r="AI40" i="2"/>
  <c r="AJ40" i="2"/>
  <c r="AM40" i="2"/>
  <c r="AN40" i="2"/>
  <c r="AO40" i="2"/>
  <c r="AP40" i="2"/>
  <c r="A41" i="2"/>
  <c r="B41" i="2"/>
  <c r="C41" i="2"/>
  <c r="E41" i="2"/>
  <c r="F41" i="2"/>
  <c r="I41" i="2"/>
  <c r="J41" i="2"/>
  <c r="K41" i="2"/>
  <c r="L41" i="2"/>
  <c r="M41" i="2"/>
  <c r="P41" i="2"/>
  <c r="Q41" i="2"/>
  <c r="R41" i="2"/>
  <c r="S41" i="2"/>
  <c r="T41" i="2"/>
  <c r="U41" i="2" s="1"/>
  <c r="X41" i="2"/>
  <c r="Y41" i="2"/>
  <c r="AA41" i="2"/>
  <c r="AB41" i="2"/>
  <c r="AC41" i="2" s="1"/>
  <c r="AD41" i="2"/>
  <c r="AE41" i="2"/>
  <c r="AF41" i="2"/>
  <c r="AG41" i="2"/>
  <c r="AH41" i="2"/>
  <c r="AI41" i="2"/>
  <c r="AJ41" i="2"/>
  <c r="AM41" i="2"/>
  <c r="AN41" i="2"/>
  <c r="AO41" i="2"/>
  <c r="AP41" i="2"/>
  <c r="A42" i="2"/>
  <c r="B42" i="2"/>
  <c r="C42" i="2"/>
  <c r="E42" i="2"/>
  <c r="F42" i="2"/>
  <c r="I42" i="2"/>
  <c r="J42" i="2"/>
  <c r="K42" i="2"/>
  <c r="L42" i="2"/>
  <c r="M42" i="2"/>
  <c r="P42" i="2"/>
  <c r="Q42" i="2"/>
  <c r="R42" i="2"/>
  <c r="S42" i="2"/>
  <c r="T42" i="2"/>
  <c r="U42" i="2" s="1"/>
  <c r="X42" i="2"/>
  <c r="Y42" i="2"/>
  <c r="AA42" i="2"/>
  <c r="AB42" i="2"/>
  <c r="AD42" i="2"/>
  <c r="AE42" i="2"/>
  <c r="AF42" i="2"/>
  <c r="AG42" i="2"/>
  <c r="AH42" i="2"/>
  <c r="AI42" i="2"/>
  <c r="AJ42" i="2"/>
  <c r="AM42" i="2"/>
  <c r="AN42" i="2"/>
  <c r="AO42" i="2"/>
  <c r="AP42" i="2"/>
  <c r="A43" i="2"/>
  <c r="B43" i="2"/>
  <c r="C43" i="2"/>
  <c r="E43" i="2"/>
  <c r="F43" i="2"/>
  <c r="I43" i="2"/>
  <c r="J43" i="2"/>
  <c r="K43" i="2"/>
  <c r="L43" i="2"/>
  <c r="M43" i="2"/>
  <c r="P43" i="2"/>
  <c r="Q43" i="2"/>
  <c r="R43" i="2"/>
  <c r="S43" i="2"/>
  <c r="T43" i="2"/>
  <c r="V43" i="2" s="1"/>
  <c r="X43" i="2"/>
  <c r="Y43" i="2"/>
  <c r="Z43" i="2"/>
  <c r="AA43" i="2"/>
  <c r="AB43" i="2"/>
  <c r="AD43" i="2"/>
  <c r="AE43" i="2"/>
  <c r="AF43" i="2"/>
  <c r="AG43" i="2"/>
  <c r="AH43" i="2"/>
  <c r="AI43" i="2"/>
  <c r="AJ43" i="2"/>
  <c r="AM43" i="2"/>
  <c r="AN43" i="2"/>
  <c r="AO43" i="2"/>
  <c r="AP43" i="2"/>
  <c r="A44" i="2"/>
  <c r="B44" i="2"/>
  <c r="C44" i="2"/>
  <c r="E44" i="2"/>
  <c r="F44" i="2"/>
  <c r="I44" i="2"/>
  <c r="J44" i="2"/>
  <c r="K44" i="2"/>
  <c r="L44" i="2"/>
  <c r="M44" i="2"/>
  <c r="P44" i="2"/>
  <c r="Q44" i="2"/>
  <c r="R44" i="2"/>
  <c r="S44" i="2"/>
  <c r="T44" i="2"/>
  <c r="X44" i="2"/>
  <c r="Y44" i="2"/>
  <c r="Z44" i="2"/>
  <c r="AA44" i="2"/>
  <c r="AB44" i="2"/>
  <c r="AD44" i="2"/>
  <c r="AE44" i="2"/>
  <c r="AF44" i="2"/>
  <c r="AG44" i="2"/>
  <c r="AH44" i="2"/>
  <c r="AI44" i="2"/>
  <c r="AJ44" i="2"/>
  <c r="AM44" i="2"/>
  <c r="AN44" i="2"/>
  <c r="AO44" i="2"/>
  <c r="AP44" i="2"/>
  <c r="A45" i="2"/>
  <c r="B45" i="2"/>
  <c r="C45" i="2"/>
  <c r="E45" i="2"/>
  <c r="F45" i="2"/>
  <c r="I45" i="2"/>
  <c r="J45" i="2"/>
  <c r="K45" i="2"/>
  <c r="L45" i="2"/>
  <c r="M45" i="2"/>
  <c r="P45" i="2"/>
  <c r="Q45" i="2"/>
  <c r="R45" i="2"/>
  <c r="S45" i="2"/>
  <c r="T45" i="2"/>
  <c r="V45" i="2" s="1"/>
  <c r="X45" i="2"/>
  <c r="Y45" i="2"/>
  <c r="Z45" i="2"/>
  <c r="AA45" i="2"/>
  <c r="AB45" i="2"/>
  <c r="AD45" i="2"/>
  <c r="AE45" i="2"/>
  <c r="AF45" i="2"/>
  <c r="AG45" i="2"/>
  <c r="AH45" i="2"/>
  <c r="AI45" i="2"/>
  <c r="AJ45" i="2"/>
  <c r="AM45" i="2"/>
  <c r="AN45" i="2"/>
  <c r="AO45" i="2"/>
  <c r="AP45" i="2"/>
  <c r="A46" i="2"/>
  <c r="B46" i="2"/>
  <c r="C46" i="2"/>
  <c r="E46" i="2"/>
  <c r="F46" i="2"/>
  <c r="I46" i="2"/>
  <c r="J46" i="2"/>
  <c r="K46" i="2"/>
  <c r="L46" i="2"/>
  <c r="M46" i="2"/>
  <c r="P46" i="2"/>
  <c r="Q46" i="2"/>
  <c r="R46" i="2"/>
  <c r="S46" i="2"/>
  <c r="T46" i="2"/>
  <c r="X46" i="2"/>
  <c r="Y46" i="2"/>
  <c r="Z46" i="2"/>
  <c r="AA46" i="2"/>
  <c r="AB46" i="2"/>
  <c r="AD46" i="2"/>
  <c r="AE46" i="2"/>
  <c r="AF46" i="2"/>
  <c r="AG46" i="2"/>
  <c r="AH46" i="2"/>
  <c r="AI46" i="2"/>
  <c r="AJ46" i="2"/>
  <c r="AM46" i="2"/>
  <c r="AN46" i="2"/>
  <c r="AO46" i="2"/>
  <c r="AP46" i="2"/>
  <c r="A47" i="2"/>
  <c r="B47" i="2"/>
  <c r="C47" i="2"/>
  <c r="E47" i="2"/>
  <c r="F47" i="2"/>
  <c r="I47" i="2"/>
  <c r="J47" i="2"/>
  <c r="K47" i="2"/>
  <c r="L47" i="2"/>
  <c r="M47" i="2"/>
  <c r="P47" i="2"/>
  <c r="Q47" i="2"/>
  <c r="R47" i="2"/>
  <c r="S47" i="2"/>
  <c r="T47" i="2"/>
  <c r="V47" i="2" s="1"/>
  <c r="X47" i="2"/>
  <c r="Y47" i="2"/>
  <c r="Z47" i="2"/>
  <c r="AA47" i="2"/>
  <c r="AB47" i="2"/>
  <c r="AD47" i="2"/>
  <c r="AE47" i="2"/>
  <c r="AF47" i="2"/>
  <c r="AG47" i="2"/>
  <c r="AH47" i="2"/>
  <c r="AI47" i="2"/>
  <c r="AJ47" i="2"/>
  <c r="AM47" i="2"/>
  <c r="AN47" i="2"/>
  <c r="AO47" i="2"/>
  <c r="AP47" i="2"/>
  <c r="A48" i="2"/>
  <c r="B48" i="2"/>
  <c r="C48" i="2"/>
  <c r="E48" i="2"/>
  <c r="F48" i="2"/>
  <c r="I48" i="2"/>
  <c r="J48" i="2"/>
  <c r="K48" i="2"/>
  <c r="L48" i="2"/>
  <c r="M48" i="2"/>
  <c r="P48" i="2"/>
  <c r="Q48" i="2"/>
  <c r="R48" i="2"/>
  <c r="S48" i="2"/>
  <c r="T48" i="2"/>
  <c r="AC48" i="2" s="1"/>
  <c r="X48" i="2"/>
  <c r="Y48" i="2"/>
  <c r="Z48" i="2"/>
  <c r="AA48" i="2"/>
  <c r="AB48" i="2"/>
  <c r="AD48" i="2"/>
  <c r="AE48" i="2"/>
  <c r="AF48" i="2"/>
  <c r="AG48" i="2"/>
  <c r="AH48" i="2"/>
  <c r="AI48" i="2"/>
  <c r="AJ48" i="2"/>
  <c r="AM48" i="2"/>
  <c r="AN48" i="2"/>
  <c r="AO48" i="2"/>
  <c r="AP48" i="2"/>
  <c r="A49" i="2"/>
  <c r="B49" i="2"/>
  <c r="C49" i="2"/>
  <c r="E49" i="2"/>
  <c r="F49" i="2"/>
  <c r="I49" i="2"/>
  <c r="J49" i="2"/>
  <c r="K49" i="2"/>
  <c r="L49" i="2"/>
  <c r="M49" i="2"/>
  <c r="P49" i="2"/>
  <c r="Q49" i="2"/>
  <c r="R49" i="2"/>
  <c r="S49" i="2"/>
  <c r="T49" i="2"/>
  <c r="V49" i="2" s="1"/>
  <c r="X49" i="2"/>
  <c r="Y49" i="2"/>
  <c r="Z49" i="2"/>
  <c r="AA49" i="2"/>
  <c r="AB49" i="2"/>
  <c r="AD49" i="2"/>
  <c r="AE49" i="2"/>
  <c r="AF49" i="2"/>
  <c r="AG49" i="2"/>
  <c r="AH49" i="2"/>
  <c r="AI49" i="2"/>
  <c r="AJ49" i="2"/>
  <c r="AM49" i="2"/>
  <c r="AN49" i="2"/>
  <c r="AO49" i="2"/>
  <c r="AP49" i="2"/>
  <c r="A50" i="2"/>
  <c r="B50" i="2"/>
  <c r="C50" i="2"/>
  <c r="E50" i="2"/>
  <c r="F50" i="2"/>
  <c r="I50" i="2"/>
  <c r="J50" i="2"/>
  <c r="K50" i="2"/>
  <c r="L50" i="2"/>
  <c r="M50" i="2"/>
  <c r="P50" i="2"/>
  <c r="Q50" i="2"/>
  <c r="R50" i="2"/>
  <c r="S50" i="2"/>
  <c r="T50" i="2"/>
  <c r="U50" i="2" s="1"/>
  <c r="X50" i="2"/>
  <c r="Y50" i="2"/>
  <c r="Z50" i="2"/>
  <c r="AA50" i="2"/>
  <c r="AB50" i="2"/>
  <c r="AD50" i="2"/>
  <c r="AE50" i="2"/>
  <c r="AF50" i="2"/>
  <c r="AG50" i="2"/>
  <c r="AH50" i="2"/>
  <c r="AI50" i="2"/>
  <c r="AJ50" i="2"/>
  <c r="AM50" i="2"/>
  <c r="AN50" i="2"/>
  <c r="AO50" i="2"/>
  <c r="AP50" i="2"/>
  <c r="A51" i="2"/>
  <c r="B51" i="2"/>
  <c r="C51" i="2"/>
  <c r="E51" i="2"/>
  <c r="F51" i="2"/>
  <c r="I51" i="2"/>
  <c r="J51" i="2"/>
  <c r="K51" i="2"/>
  <c r="L51" i="2"/>
  <c r="M51" i="2"/>
  <c r="P51" i="2"/>
  <c r="Q51" i="2"/>
  <c r="R51" i="2"/>
  <c r="S51" i="2"/>
  <c r="T51" i="2"/>
  <c r="V51" i="2" s="1"/>
  <c r="X51" i="2"/>
  <c r="Y51" i="2"/>
  <c r="Z51" i="2"/>
  <c r="AA51" i="2"/>
  <c r="AB51" i="2"/>
  <c r="AD51" i="2"/>
  <c r="AE51" i="2"/>
  <c r="AF51" i="2"/>
  <c r="AG51" i="2"/>
  <c r="AH51" i="2"/>
  <c r="AI51" i="2"/>
  <c r="AJ51" i="2"/>
  <c r="AM51" i="2"/>
  <c r="AN51" i="2"/>
  <c r="AO51" i="2"/>
  <c r="AP51" i="2"/>
  <c r="A52" i="2"/>
  <c r="B52" i="2"/>
  <c r="C52" i="2"/>
  <c r="E52" i="2"/>
  <c r="F52" i="2"/>
  <c r="I52" i="2"/>
  <c r="J52" i="2"/>
  <c r="K52" i="2"/>
  <c r="L52" i="2"/>
  <c r="M52" i="2"/>
  <c r="P52" i="2"/>
  <c r="Q52" i="2"/>
  <c r="R52" i="2"/>
  <c r="S52" i="2"/>
  <c r="T52" i="2"/>
  <c r="U52" i="2" s="1"/>
  <c r="X52" i="2"/>
  <c r="Y52" i="2"/>
  <c r="Z52" i="2"/>
  <c r="AA52" i="2"/>
  <c r="AB52" i="2"/>
  <c r="AD52" i="2"/>
  <c r="AE52" i="2"/>
  <c r="AF52" i="2"/>
  <c r="AG52" i="2"/>
  <c r="AH52" i="2"/>
  <c r="AI52" i="2"/>
  <c r="AJ52" i="2"/>
  <c r="AM52" i="2"/>
  <c r="AN52" i="2"/>
  <c r="AO52" i="2"/>
  <c r="AP52" i="2"/>
  <c r="A53" i="2"/>
  <c r="B53" i="2"/>
  <c r="C53" i="2"/>
  <c r="E53" i="2"/>
  <c r="F53" i="2"/>
  <c r="I53" i="2"/>
  <c r="J53" i="2"/>
  <c r="K53" i="2"/>
  <c r="L53" i="2"/>
  <c r="M53" i="2"/>
  <c r="P53" i="2"/>
  <c r="Q53" i="2"/>
  <c r="R53" i="2"/>
  <c r="S53" i="2"/>
  <c r="T53" i="2"/>
  <c r="X53" i="2"/>
  <c r="Y53" i="2"/>
  <c r="Z53" i="2"/>
  <c r="AA53" i="2"/>
  <c r="AB53" i="2"/>
  <c r="AD53" i="2"/>
  <c r="AE53" i="2"/>
  <c r="AF53" i="2"/>
  <c r="AG53" i="2"/>
  <c r="AH53" i="2"/>
  <c r="AI53" i="2"/>
  <c r="AJ53" i="2"/>
  <c r="AM53" i="2"/>
  <c r="AN53" i="2"/>
  <c r="AO53" i="2"/>
  <c r="AP53" i="2"/>
  <c r="A54" i="2"/>
  <c r="B54" i="2"/>
  <c r="C54" i="2"/>
  <c r="E54" i="2"/>
  <c r="F54" i="2"/>
  <c r="I54" i="2"/>
  <c r="J54" i="2"/>
  <c r="K54" i="2"/>
  <c r="L54" i="2"/>
  <c r="M54" i="2"/>
  <c r="P54" i="2"/>
  <c r="Q54" i="2"/>
  <c r="R54" i="2"/>
  <c r="S54" i="2"/>
  <c r="T54" i="2"/>
  <c r="U54" i="2" s="1"/>
  <c r="X54" i="2"/>
  <c r="Y54" i="2"/>
  <c r="Z54" i="2"/>
  <c r="AA54" i="2"/>
  <c r="AB54" i="2"/>
  <c r="AD54" i="2"/>
  <c r="AE54" i="2"/>
  <c r="AF54" i="2"/>
  <c r="AG54" i="2"/>
  <c r="AH54" i="2"/>
  <c r="AI54" i="2"/>
  <c r="AJ54" i="2"/>
  <c r="AM54" i="2"/>
  <c r="AN54" i="2"/>
  <c r="AO54" i="2"/>
  <c r="AP54" i="2"/>
  <c r="A55" i="2"/>
  <c r="B55" i="2"/>
  <c r="C55" i="2"/>
  <c r="E55" i="2"/>
  <c r="F55" i="2"/>
  <c r="I55" i="2"/>
  <c r="J55" i="2"/>
  <c r="K55" i="2"/>
  <c r="L55" i="2"/>
  <c r="M55" i="2"/>
  <c r="P55" i="2"/>
  <c r="Q55" i="2"/>
  <c r="R55" i="2"/>
  <c r="S55" i="2"/>
  <c r="T55" i="2"/>
  <c r="X55" i="2"/>
  <c r="Y55" i="2"/>
  <c r="Z55" i="2"/>
  <c r="AA55" i="2"/>
  <c r="AB55" i="2"/>
  <c r="AD55" i="2"/>
  <c r="AE55" i="2"/>
  <c r="AF55" i="2"/>
  <c r="AG55" i="2"/>
  <c r="AH55" i="2"/>
  <c r="AI55" i="2"/>
  <c r="AJ55" i="2"/>
  <c r="AM55" i="2"/>
  <c r="AN55" i="2"/>
  <c r="AO55" i="2"/>
  <c r="AP55" i="2"/>
  <c r="A56" i="2"/>
  <c r="B56" i="2"/>
  <c r="C56" i="2"/>
  <c r="E56" i="2"/>
  <c r="F56" i="2"/>
  <c r="I56" i="2"/>
  <c r="J56" i="2"/>
  <c r="K56" i="2"/>
  <c r="L56" i="2"/>
  <c r="M56" i="2"/>
  <c r="P56" i="2"/>
  <c r="Q56" i="2"/>
  <c r="R56" i="2"/>
  <c r="S56" i="2"/>
  <c r="T56" i="2"/>
  <c r="U56" i="2" s="1"/>
  <c r="X56" i="2"/>
  <c r="Y56" i="2"/>
  <c r="W56" i="2" s="1"/>
  <c r="Z56" i="2"/>
  <c r="AA56" i="2"/>
  <c r="AB56" i="2"/>
  <c r="AC56" i="2"/>
  <c r="AD56" i="2"/>
  <c r="AE56" i="2"/>
  <c r="AF56" i="2"/>
  <c r="AG56" i="2"/>
  <c r="AH56" i="2"/>
  <c r="AI56" i="2"/>
  <c r="AJ56" i="2"/>
  <c r="AM56" i="2"/>
  <c r="AN56" i="2"/>
  <c r="AO56" i="2"/>
  <c r="AP56" i="2"/>
  <c r="A57" i="2"/>
  <c r="B57" i="2"/>
  <c r="C57" i="2"/>
  <c r="E57" i="2"/>
  <c r="F57" i="2"/>
  <c r="I57" i="2"/>
  <c r="J57" i="2"/>
  <c r="K57" i="2"/>
  <c r="L57" i="2"/>
  <c r="M57" i="2"/>
  <c r="P57" i="2"/>
  <c r="Q57" i="2"/>
  <c r="R57" i="2"/>
  <c r="S57" i="2"/>
  <c r="T57" i="2"/>
  <c r="X57" i="2"/>
  <c r="Y57" i="2"/>
  <c r="Z57" i="2"/>
  <c r="AA57" i="2"/>
  <c r="AB57" i="2"/>
  <c r="AD57" i="2"/>
  <c r="AE57" i="2"/>
  <c r="AF57" i="2"/>
  <c r="AG57" i="2"/>
  <c r="AH57" i="2"/>
  <c r="AI57" i="2"/>
  <c r="AJ57" i="2"/>
  <c r="AM57" i="2"/>
  <c r="AN57" i="2"/>
  <c r="AO57" i="2"/>
  <c r="AP57" i="2"/>
  <c r="A58" i="2"/>
  <c r="B58" i="2"/>
  <c r="C58" i="2"/>
  <c r="E58" i="2"/>
  <c r="F58" i="2"/>
  <c r="I58" i="2"/>
  <c r="J58" i="2"/>
  <c r="K58" i="2"/>
  <c r="L58" i="2"/>
  <c r="M58" i="2"/>
  <c r="P58" i="2"/>
  <c r="Q58" i="2"/>
  <c r="R58" i="2"/>
  <c r="S58" i="2"/>
  <c r="T58" i="2"/>
  <c r="U58" i="2" s="1"/>
  <c r="X58" i="2"/>
  <c r="Y58" i="2"/>
  <c r="Z58" i="2"/>
  <c r="AA58" i="2"/>
  <c r="AB58" i="2"/>
  <c r="AD58" i="2"/>
  <c r="AE58" i="2"/>
  <c r="AF58" i="2"/>
  <c r="AG58" i="2"/>
  <c r="AH58" i="2"/>
  <c r="AI58" i="2"/>
  <c r="AJ58" i="2"/>
  <c r="AM58" i="2"/>
  <c r="AN58" i="2"/>
  <c r="AO58" i="2"/>
  <c r="AP58" i="2"/>
  <c r="A59" i="2"/>
  <c r="B59" i="2"/>
  <c r="C59" i="2"/>
  <c r="E59" i="2"/>
  <c r="F59" i="2"/>
  <c r="I59" i="2"/>
  <c r="J59" i="2"/>
  <c r="K59" i="2"/>
  <c r="L59" i="2"/>
  <c r="M59" i="2"/>
  <c r="P59" i="2"/>
  <c r="Q59" i="2"/>
  <c r="R59" i="2"/>
  <c r="S59" i="2"/>
  <c r="T59" i="2"/>
  <c r="V59" i="2" s="1"/>
  <c r="X59" i="2"/>
  <c r="Y59" i="2"/>
  <c r="Z59" i="2"/>
  <c r="AA59" i="2"/>
  <c r="AB59" i="2"/>
  <c r="AD59" i="2"/>
  <c r="AE59" i="2"/>
  <c r="AF59" i="2"/>
  <c r="AG59" i="2"/>
  <c r="AH59" i="2"/>
  <c r="AI59" i="2"/>
  <c r="AJ59" i="2"/>
  <c r="AM59" i="2"/>
  <c r="AN59" i="2"/>
  <c r="AO59" i="2"/>
  <c r="AP59" i="2"/>
  <c r="A60" i="2"/>
  <c r="B60" i="2"/>
  <c r="C60" i="2"/>
  <c r="E60" i="2"/>
  <c r="F60" i="2"/>
  <c r="I60" i="2"/>
  <c r="J60" i="2"/>
  <c r="K60" i="2"/>
  <c r="L60" i="2"/>
  <c r="M60" i="2"/>
  <c r="P60" i="2"/>
  <c r="Q60" i="2"/>
  <c r="R60" i="2"/>
  <c r="S60" i="2"/>
  <c r="T60" i="2"/>
  <c r="X60" i="2"/>
  <c r="Y60" i="2"/>
  <c r="Z60" i="2"/>
  <c r="AA60" i="2"/>
  <c r="AB60" i="2"/>
  <c r="AD60" i="2"/>
  <c r="AE60" i="2"/>
  <c r="AF60" i="2"/>
  <c r="AG60" i="2"/>
  <c r="AH60" i="2"/>
  <c r="AI60" i="2"/>
  <c r="AJ60" i="2"/>
  <c r="AM60" i="2"/>
  <c r="AN60" i="2"/>
  <c r="AO60" i="2"/>
  <c r="AP60" i="2"/>
  <c r="A61" i="2"/>
  <c r="B61" i="2"/>
  <c r="C61" i="2"/>
  <c r="E61" i="2"/>
  <c r="F61" i="2"/>
  <c r="I61" i="2"/>
  <c r="J61" i="2"/>
  <c r="K61" i="2"/>
  <c r="L61" i="2"/>
  <c r="M61" i="2"/>
  <c r="P61" i="2"/>
  <c r="Q61" i="2"/>
  <c r="R61" i="2"/>
  <c r="S61" i="2"/>
  <c r="T61" i="2"/>
  <c r="X61" i="2"/>
  <c r="Y61" i="2"/>
  <c r="Z61" i="2"/>
  <c r="AA61" i="2"/>
  <c r="AB61" i="2"/>
  <c r="AD61" i="2"/>
  <c r="AE61" i="2"/>
  <c r="AF61" i="2"/>
  <c r="AG61" i="2"/>
  <c r="AH61" i="2"/>
  <c r="AI61" i="2"/>
  <c r="AJ61" i="2"/>
  <c r="AM61" i="2"/>
  <c r="AN61" i="2"/>
  <c r="AO61" i="2"/>
  <c r="AP61" i="2"/>
  <c r="A62" i="2"/>
  <c r="B62" i="2"/>
  <c r="C62" i="2"/>
  <c r="E62" i="2"/>
  <c r="F62" i="2"/>
  <c r="I62" i="2"/>
  <c r="J62" i="2"/>
  <c r="K62" i="2"/>
  <c r="L62" i="2"/>
  <c r="M62" i="2"/>
  <c r="P62" i="2"/>
  <c r="Q62" i="2"/>
  <c r="R62" i="2"/>
  <c r="S62" i="2"/>
  <c r="T62" i="2"/>
  <c r="X62" i="2"/>
  <c r="Y62" i="2"/>
  <c r="Z62" i="2"/>
  <c r="AA62" i="2"/>
  <c r="AB62" i="2"/>
  <c r="AD62" i="2"/>
  <c r="AE62" i="2"/>
  <c r="AF62" i="2"/>
  <c r="AG62" i="2"/>
  <c r="AH62" i="2"/>
  <c r="AI62" i="2"/>
  <c r="AJ62" i="2"/>
  <c r="AM62" i="2"/>
  <c r="AN62" i="2"/>
  <c r="AO62" i="2"/>
  <c r="AP62" i="2"/>
  <c r="A63" i="2"/>
  <c r="B63" i="2"/>
  <c r="C63" i="2"/>
  <c r="E63" i="2"/>
  <c r="F63" i="2"/>
  <c r="I63" i="2"/>
  <c r="J63" i="2"/>
  <c r="K63" i="2"/>
  <c r="L63" i="2"/>
  <c r="M63" i="2"/>
  <c r="P63" i="2"/>
  <c r="Q63" i="2"/>
  <c r="R63" i="2"/>
  <c r="S63" i="2"/>
  <c r="T63" i="2"/>
  <c r="U63" i="2" s="1"/>
  <c r="X63" i="2"/>
  <c r="Y63" i="2"/>
  <c r="Z63" i="2"/>
  <c r="AA63" i="2"/>
  <c r="AB63" i="2"/>
  <c r="AD63" i="2"/>
  <c r="AE63" i="2"/>
  <c r="AF63" i="2"/>
  <c r="AG63" i="2"/>
  <c r="AH63" i="2"/>
  <c r="AI63" i="2"/>
  <c r="AJ63" i="2"/>
  <c r="AM63" i="2"/>
  <c r="AN63" i="2"/>
  <c r="AO63" i="2"/>
  <c r="AP63" i="2"/>
  <c r="A64" i="2"/>
  <c r="B64" i="2"/>
  <c r="C64" i="2"/>
  <c r="E64" i="2"/>
  <c r="F64" i="2"/>
  <c r="I64" i="2"/>
  <c r="J64" i="2"/>
  <c r="K64" i="2"/>
  <c r="L64" i="2"/>
  <c r="M64" i="2"/>
  <c r="P64" i="2"/>
  <c r="Q64" i="2"/>
  <c r="R64" i="2"/>
  <c r="S64" i="2"/>
  <c r="T64" i="2"/>
  <c r="X64" i="2"/>
  <c r="Y64" i="2"/>
  <c r="Z64" i="2"/>
  <c r="AA64" i="2"/>
  <c r="AB64" i="2"/>
  <c r="AD64" i="2"/>
  <c r="AE64" i="2"/>
  <c r="AF64" i="2"/>
  <c r="AG64" i="2"/>
  <c r="AH64" i="2"/>
  <c r="AI64" i="2"/>
  <c r="AJ64" i="2"/>
  <c r="AM64" i="2"/>
  <c r="AN64" i="2"/>
  <c r="AO64" i="2"/>
  <c r="AP64" i="2"/>
  <c r="A65" i="2"/>
  <c r="B65" i="2"/>
  <c r="C65" i="2"/>
  <c r="E65" i="2"/>
  <c r="F65" i="2"/>
  <c r="I65" i="2"/>
  <c r="J65" i="2"/>
  <c r="K65" i="2"/>
  <c r="L65" i="2"/>
  <c r="M65" i="2"/>
  <c r="P65" i="2"/>
  <c r="Q65" i="2"/>
  <c r="R65" i="2"/>
  <c r="S65" i="2"/>
  <c r="T65" i="2"/>
  <c r="X65" i="2"/>
  <c r="Y65" i="2"/>
  <c r="Z65" i="2"/>
  <c r="AA65" i="2"/>
  <c r="AB65" i="2"/>
  <c r="AD65" i="2"/>
  <c r="AE65" i="2"/>
  <c r="AF65" i="2"/>
  <c r="AG65" i="2"/>
  <c r="AH65" i="2"/>
  <c r="AI65" i="2"/>
  <c r="AJ65" i="2"/>
  <c r="AM65" i="2"/>
  <c r="AN65" i="2"/>
  <c r="AO65" i="2"/>
  <c r="AP65" i="2"/>
  <c r="A66" i="2"/>
  <c r="B66" i="2"/>
  <c r="C66" i="2"/>
  <c r="E66" i="2"/>
  <c r="F66" i="2"/>
  <c r="I66" i="2"/>
  <c r="J66" i="2"/>
  <c r="K66" i="2"/>
  <c r="L66" i="2"/>
  <c r="M66" i="2"/>
  <c r="P66" i="2"/>
  <c r="Q66" i="2"/>
  <c r="R66" i="2"/>
  <c r="S66" i="2"/>
  <c r="T66" i="2"/>
  <c r="U66" i="2" s="1"/>
  <c r="X66" i="2"/>
  <c r="Y66" i="2"/>
  <c r="W66" i="2" s="1"/>
  <c r="Z66" i="2"/>
  <c r="AA66" i="2"/>
  <c r="AB66" i="2"/>
  <c r="AD66" i="2"/>
  <c r="AE66" i="2"/>
  <c r="AF66" i="2"/>
  <c r="AG66" i="2"/>
  <c r="AH66" i="2"/>
  <c r="AI66" i="2"/>
  <c r="AJ66" i="2"/>
  <c r="AM66" i="2"/>
  <c r="AN66" i="2"/>
  <c r="AO66" i="2"/>
  <c r="AP66" i="2"/>
  <c r="A67" i="2"/>
  <c r="B67" i="2"/>
  <c r="C67" i="2"/>
  <c r="E67" i="2"/>
  <c r="F67" i="2"/>
  <c r="I67" i="2"/>
  <c r="J67" i="2"/>
  <c r="K67" i="2"/>
  <c r="L67" i="2"/>
  <c r="M67" i="2"/>
  <c r="P67" i="2"/>
  <c r="Q67" i="2"/>
  <c r="R67" i="2"/>
  <c r="S67" i="2"/>
  <c r="T67" i="2"/>
  <c r="U67" i="2" s="1"/>
  <c r="X67" i="2"/>
  <c r="Y67" i="2"/>
  <c r="Z67" i="2"/>
  <c r="AA67" i="2"/>
  <c r="AB67" i="2"/>
  <c r="AD67" i="2"/>
  <c r="AE67" i="2"/>
  <c r="AF67" i="2"/>
  <c r="AG67" i="2"/>
  <c r="AH67" i="2"/>
  <c r="AI67" i="2"/>
  <c r="AJ67" i="2"/>
  <c r="AM67" i="2"/>
  <c r="AN67" i="2"/>
  <c r="AO67" i="2"/>
  <c r="AP67" i="2"/>
  <c r="A68" i="2"/>
  <c r="B68" i="2"/>
  <c r="C68" i="2"/>
  <c r="E68" i="2"/>
  <c r="F68" i="2"/>
  <c r="I68" i="2"/>
  <c r="J68" i="2"/>
  <c r="K68" i="2"/>
  <c r="L68" i="2"/>
  <c r="M68" i="2"/>
  <c r="P68" i="2"/>
  <c r="Q68" i="2"/>
  <c r="R68" i="2"/>
  <c r="S68" i="2"/>
  <c r="T68" i="2"/>
  <c r="U68" i="2" s="1"/>
  <c r="X68" i="2"/>
  <c r="Y68" i="2"/>
  <c r="Z68" i="2"/>
  <c r="AA68" i="2"/>
  <c r="AB68" i="2"/>
  <c r="AD68" i="2"/>
  <c r="AE68" i="2"/>
  <c r="AF68" i="2"/>
  <c r="AG68" i="2"/>
  <c r="AH68" i="2"/>
  <c r="AI68" i="2"/>
  <c r="AJ68" i="2"/>
  <c r="AM68" i="2"/>
  <c r="AN68" i="2"/>
  <c r="AO68" i="2"/>
  <c r="AP68" i="2"/>
  <c r="A69" i="2"/>
  <c r="B69" i="2"/>
  <c r="C69" i="2"/>
  <c r="E69" i="2"/>
  <c r="F69" i="2"/>
  <c r="I69" i="2"/>
  <c r="J69" i="2"/>
  <c r="K69" i="2"/>
  <c r="L69" i="2"/>
  <c r="M69" i="2"/>
  <c r="P69" i="2"/>
  <c r="Q69" i="2"/>
  <c r="R69" i="2"/>
  <c r="S69" i="2"/>
  <c r="T69" i="2"/>
  <c r="U69" i="2" s="1"/>
  <c r="X69" i="2"/>
  <c r="Y69" i="2"/>
  <c r="Z69" i="2"/>
  <c r="AA69" i="2"/>
  <c r="AB69" i="2"/>
  <c r="AD69" i="2"/>
  <c r="AE69" i="2"/>
  <c r="AF69" i="2"/>
  <c r="AG69" i="2"/>
  <c r="AH69" i="2"/>
  <c r="AI69" i="2"/>
  <c r="AJ69" i="2"/>
  <c r="AM69" i="2"/>
  <c r="AN69" i="2"/>
  <c r="AO69" i="2"/>
  <c r="AP69" i="2"/>
  <c r="A70" i="2"/>
  <c r="B70" i="2"/>
  <c r="C70" i="2"/>
  <c r="E70" i="2"/>
  <c r="F70" i="2"/>
  <c r="I70" i="2"/>
  <c r="J70" i="2"/>
  <c r="K70" i="2"/>
  <c r="L70" i="2"/>
  <c r="M70" i="2"/>
  <c r="P70" i="2"/>
  <c r="Q70" i="2"/>
  <c r="R70" i="2"/>
  <c r="S70" i="2"/>
  <c r="T70" i="2"/>
  <c r="U70" i="2" s="1"/>
  <c r="X70" i="2"/>
  <c r="Y70" i="2"/>
  <c r="Z70" i="2"/>
  <c r="AA70" i="2"/>
  <c r="AB70" i="2"/>
  <c r="AD70" i="2"/>
  <c r="AE70" i="2"/>
  <c r="AF70" i="2"/>
  <c r="AG70" i="2"/>
  <c r="AH70" i="2"/>
  <c r="AI70" i="2"/>
  <c r="AJ70" i="2"/>
  <c r="AM70" i="2"/>
  <c r="AN70" i="2"/>
  <c r="AO70" i="2"/>
  <c r="AP70" i="2"/>
  <c r="A71" i="2"/>
  <c r="B71" i="2"/>
  <c r="C71" i="2"/>
  <c r="E71" i="2"/>
  <c r="F71" i="2"/>
  <c r="I71" i="2"/>
  <c r="J71" i="2"/>
  <c r="K71" i="2"/>
  <c r="L71" i="2"/>
  <c r="M71" i="2"/>
  <c r="P71" i="2"/>
  <c r="Q71" i="2"/>
  <c r="R71" i="2"/>
  <c r="S71" i="2"/>
  <c r="T71" i="2"/>
  <c r="V71" i="2" s="1"/>
  <c r="X71" i="2"/>
  <c r="Y71" i="2"/>
  <c r="Z71" i="2"/>
  <c r="AA71" i="2"/>
  <c r="AB71" i="2"/>
  <c r="AD71" i="2"/>
  <c r="AE71" i="2"/>
  <c r="AF71" i="2"/>
  <c r="AG71" i="2"/>
  <c r="AH71" i="2"/>
  <c r="AI71" i="2"/>
  <c r="AJ71" i="2"/>
  <c r="AM71" i="2"/>
  <c r="AN71" i="2"/>
  <c r="AO71" i="2"/>
  <c r="AP71" i="2"/>
  <c r="A72" i="2"/>
  <c r="B72" i="2"/>
  <c r="C72" i="2"/>
  <c r="E72" i="2"/>
  <c r="F72" i="2"/>
  <c r="I72" i="2"/>
  <c r="J72" i="2"/>
  <c r="K72" i="2"/>
  <c r="L72" i="2"/>
  <c r="M72" i="2"/>
  <c r="P72" i="2"/>
  <c r="Q72" i="2"/>
  <c r="R72" i="2"/>
  <c r="S72" i="2"/>
  <c r="T72" i="2"/>
  <c r="X72" i="2"/>
  <c r="Y72" i="2"/>
  <c r="Z72" i="2"/>
  <c r="AA72" i="2"/>
  <c r="AB72" i="2"/>
  <c r="AD72" i="2"/>
  <c r="AE72" i="2"/>
  <c r="AF72" i="2"/>
  <c r="AG72" i="2"/>
  <c r="AH72" i="2"/>
  <c r="AI72" i="2"/>
  <c r="AJ72" i="2"/>
  <c r="AM72" i="2"/>
  <c r="AN72" i="2"/>
  <c r="AO72" i="2"/>
  <c r="AP72" i="2"/>
  <c r="A73" i="2"/>
  <c r="B73" i="2"/>
  <c r="C73" i="2"/>
  <c r="E73" i="2"/>
  <c r="F73" i="2"/>
  <c r="I73" i="2"/>
  <c r="J73" i="2"/>
  <c r="K73" i="2"/>
  <c r="L73" i="2"/>
  <c r="M73" i="2"/>
  <c r="P73" i="2"/>
  <c r="Q73" i="2"/>
  <c r="R73" i="2"/>
  <c r="S73" i="2"/>
  <c r="T73" i="2"/>
  <c r="X73" i="2"/>
  <c r="Y73" i="2"/>
  <c r="Z73" i="2"/>
  <c r="AA73" i="2"/>
  <c r="AB73" i="2"/>
  <c r="AD73" i="2"/>
  <c r="AE73" i="2"/>
  <c r="AF73" i="2"/>
  <c r="AG73" i="2"/>
  <c r="AH73" i="2"/>
  <c r="AI73" i="2"/>
  <c r="AJ73" i="2"/>
  <c r="AM73" i="2"/>
  <c r="AN73" i="2"/>
  <c r="AO73" i="2"/>
  <c r="AP73" i="2"/>
  <c r="A74" i="2"/>
  <c r="B74" i="2"/>
  <c r="C74" i="2"/>
  <c r="E74" i="2"/>
  <c r="F74" i="2"/>
  <c r="I74" i="2"/>
  <c r="J74" i="2"/>
  <c r="K74" i="2"/>
  <c r="L74" i="2"/>
  <c r="M74" i="2"/>
  <c r="P74" i="2"/>
  <c r="Q74" i="2"/>
  <c r="R74" i="2"/>
  <c r="S74" i="2"/>
  <c r="T74" i="2"/>
  <c r="U74" i="2" s="1"/>
  <c r="X74" i="2"/>
  <c r="Y74" i="2"/>
  <c r="Z74" i="2"/>
  <c r="AA74" i="2"/>
  <c r="AB74" i="2"/>
  <c r="AD74" i="2"/>
  <c r="AE74" i="2"/>
  <c r="AF74" i="2"/>
  <c r="AG74" i="2"/>
  <c r="AH74" i="2"/>
  <c r="AI74" i="2"/>
  <c r="AJ74" i="2"/>
  <c r="AM74" i="2"/>
  <c r="AN74" i="2"/>
  <c r="AO74" i="2"/>
  <c r="AP74" i="2"/>
  <c r="A75" i="2"/>
  <c r="B75" i="2"/>
  <c r="C75" i="2"/>
  <c r="E75" i="2"/>
  <c r="F75" i="2"/>
  <c r="I75" i="2"/>
  <c r="J75" i="2"/>
  <c r="K75" i="2"/>
  <c r="L75" i="2"/>
  <c r="M75" i="2"/>
  <c r="P75" i="2"/>
  <c r="Q75" i="2"/>
  <c r="R75" i="2"/>
  <c r="S75" i="2"/>
  <c r="T75" i="2"/>
  <c r="V75" i="2" s="1"/>
  <c r="X75" i="2"/>
  <c r="Y75" i="2"/>
  <c r="Z75" i="2"/>
  <c r="AA75" i="2"/>
  <c r="AB75" i="2"/>
  <c r="AD75" i="2"/>
  <c r="AE75" i="2"/>
  <c r="AF75" i="2"/>
  <c r="AG75" i="2"/>
  <c r="AH75" i="2"/>
  <c r="AI75" i="2"/>
  <c r="AJ75" i="2"/>
  <c r="AM75" i="2"/>
  <c r="AN75" i="2"/>
  <c r="AO75" i="2"/>
  <c r="AP75" i="2"/>
  <c r="A76" i="2"/>
  <c r="B76" i="2"/>
  <c r="C76" i="2"/>
  <c r="E76" i="2"/>
  <c r="F76" i="2"/>
  <c r="I76" i="2"/>
  <c r="J76" i="2"/>
  <c r="K76" i="2"/>
  <c r="L76" i="2"/>
  <c r="M76" i="2"/>
  <c r="P76" i="2"/>
  <c r="Q76" i="2"/>
  <c r="R76" i="2"/>
  <c r="S76" i="2"/>
  <c r="T76" i="2"/>
  <c r="U76" i="2" s="1"/>
  <c r="V76" i="2"/>
  <c r="X76" i="2"/>
  <c r="Y76" i="2"/>
  <c r="Z76" i="2"/>
  <c r="AA76" i="2"/>
  <c r="AB76" i="2"/>
  <c r="AD76" i="2"/>
  <c r="AE76" i="2"/>
  <c r="AF76" i="2"/>
  <c r="AG76" i="2"/>
  <c r="AH76" i="2"/>
  <c r="AI76" i="2"/>
  <c r="AJ76" i="2"/>
  <c r="AM76" i="2"/>
  <c r="AN76" i="2"/>
  <c r="AO76" i="2"/>
  <c r="AP76" i="2"/>
  <c r="A77" i="2"/>
  <c r="B77" i="2"/>
  <c r="C77" i="2"/>
  <c r="E77" i="2"/>
  <c r="F77" i="2"/>
  <c r="I77" i="2"/>
  <c r="J77" i="2"/>
  <c r="K77" i="2"/>
  <c r="L77" i="2"/>
  <c r="M77" i="2"/>
  <c r="P77" i="2"/>
  <c r="Q77" i="2"/>
  <c r="R77" i="2"/>
  <c r="S77" i="2"/>
  <c r="T77" i="2"/>
  <c r="U77" i="2" s="1"/>
  <c r="X77" i="2"/>
  <c r="Y77" i="2"/>
  <c r="Z77" i="2"/>
  <c r="AA77" i="2"/>
  <c r="AB77" i="2"/>
  <c r="AD77" i="2"/>
  <c r="AE77" i="2"/>
  <c r="AF77" i="2"/>
  <c r="AG77" i="2"/>
  <c r="AH77" i="2"/>
  <c r="AI77" i="2"/>
  <c r="AJ77" i="2"/>
  <c r="AM77" i="2"/>
  <c r="AN77" i="2"/>
  <c r="AO77" i="2"/>
  <c r="AP77" i="2"/>
  <c r="A78" i="2"/>
  <c r="B78" i="2"/>
  <c r="C78" i="2"/>
  <c r="E78" i="2"/>
  <c r="F78" i="2"/>
  <c r="I78" i="2"/>
  <c r="J78" i="2"/>
  <c r="K78" i="2"/>
  <c r="L78" i="2"/>
  <c r="M78" i="2"/>
  <c r="P78" i="2"/>
  <c r="Q78" i="2"/>
  <c r="R78" i="2"/>
  <c r="S78" i="2"/>
  <c r="T78" i="2"/>
  <c r="U78" i="2" s="1"/>
  <c r="X78" i="2"/>
  <c r="Y78" i="2"/>
  <c r="W78" i="2" s="1"/>
  <c r="Z78" i="2"/>
  <c r="AA78" i="2"/>
  <c r="AB78" i="2"/>
  <c r="AD78" i="2"/>
  <c r="AE78" i="2"/>
  <c r="AF78" i="2"/>
  <c r="AG78" i="2"/>
  <c r="AH78" i="2"/>
  <c r="AI78" i="2"/>
  <c r="AJ78" i="2"/>
  <c r="AM78" i="2"/>
  <c r="AN78" i="2"/>
  <c r="AO78" i="2"/>
  <c r="AP78" i="2"/>
  <c r="A79" i="2"/>
  <c r="B79" i="2"/>
  <c r="C79" i="2"/>
  <c r="E79" i="2"/>
  <c r="F79" i="2"/>
  <c r="I79" i="2"/>
  <c r="J79" i="2"/>
  <c r="K79" i="2"/>
  <c r="L79" i="2"/>
  <c r="M79" i="2"/>
  <c r="P79" i="2"/>
  <c r="Q79" i="2"/>
  <c r="R79" i="2"/>
  <c r="S79" i="2"/>
  <c r="T79" i="2"/>
  <c r="V79" i="2" s="1"/>
  <c r="U79" i="2"/>
  <c r="X79" i="2"/>
  <c r="Y79" i="2"/>
  <c r="Z79" i="2"/>
  <c r="AA79" i="2"/>
  <c r="AB79" i="2"/>
  <c r="AD79" i="2"/>
  <c r="AE79" i="2"/>
  <c r="AF79" i="2"/>
  <c r="AG79" i="2"/>
  <c r="AH79" i="2"/>
  <c r="AI79" i="2"/>
  <c r="AJ79" i="2"/>
  <c r="AM79" i="2"/>
  <c r="AN79" i="2"/>
  <c r="AO79" i="2"/>
  <c r="AP79" i="2"/>
  <c r="A80" i="2"/>
  <c r="B80" i="2"/>
  <c r="C80" i="2"/>
  <c r="E80" i="2"/>
  <c r="F80" i="2"/>
  <c r="I80" i="2"/>
  <c r="J80" i="2"/>
  <c r="K80" i="2"/>
  <c r="L80" i="2"/>
  <c r="M80" i="2"/>
  <c r="P80" i="2"/>
  <c r="Q80" i="2"/>
  <c r="R80" i="2"/>
  <c r="S80" i="2"/>
  <c r="T80" i="2"/>
  <c r="X80" i="2"/>
  <c r="Y80" i="2"/>
  <c r="Z80" i="2"/>
  <c r="AA80" i="2"/>
  <c r="AB80" i="2"/>
  <c r="AD80" i="2"/>
  <c r="AE80" i="2"/>
  <c r="AF80" i="2"/>
  <c r="AG80" i="2"/>
  <c r="AH80" i="2"/>
  <c r="AI80" i="2"/>
  <c r="AJ80" i="2"/>
  <c r="AM80" i="2"/>
  <c r="AN80" i="2"/>
  <c r="AO80" i="2"/>
  <c r="AP80" i="2"/>
  <c r="A81" i="2"/>
  <c r="B81" i="2"/>
  <c r="C81" i="2"/>
  <c r="E81" i="2"/>
  <c r="F81" i="2"/>
  <c r="I81" i="2"/>
  <c r="J81" i="2"/>
  <c r="K81" i="2"/>
  <c r="L81" i="2"/>
  <c r="M81" i="2"/>
  <c r="P81" i="2"/>
  <c r="Q81" i="2"/>
  <c r="R81" i="2"/>
  <c r="S81" i="2"/>
  <c r="T81" i="2"/>
  <c r="V81" i="2" s="1"/>
  <c r="X81" i="2"/>
  <c r="Y81" i="2"/>
  <c r="Z81" i="2"/>
  <c r="AA81" i="2"/>
  <c r="AB81" i="2"/>
  <c r="AD81" i="2"/>
  <c r="AE81" i="2"/>
  <c r="AF81" i="2"/>
  <c r="AG81" i="2"/>
  <c r="AH81" i="2"/>
  <c r="AI81" i="2"/>
  <c r="AJ81" i="2"/>
  <c r="AM81" i="2"/>
  <c r="AN81" i="2"/>
  <c r="AO81" i="2"/>
  <c r="AP81" i="2"/>
  <c r="A82" i="2"/>
  <c r="B82" i="2"/>
  <c r="C82" i="2"/>
  <c r="E82" i="2"/>
  <c r="F82" i="2"/>
  <c r="I82" i="2"/>
  <c r="J82" i="2"/>
  <c r="K82" i="2"/>
  <c r="L82" i="2"/>
  <c r="M82" i="2"/>
  <c r="P82" i="2"/>
  <c r="Q82" i="2"/>
  <c r="R82" i="2"/>
  <c r="S82" i="2"/>
  <c r="T82" i="2"/>
  <c r="U82" i="2" s="1"/>
  <c r="X82" i="2"/>
  <c r="Y82" i="2"/>
  <c r="Z82" i="2"/>
  <c r="AA82" i="2"/>
  <c r="AB82" i="2"/>
  <c r="AD82" i="2"/>
  <c r="AE82" i="2"/>
  <c r="AF82" i="2"/>
  <c r="AG82" i="2"/>
  <c r="AH82" i="2"/>
  <c r="AI82" i="2"/>
  <c r="AJ82" i="2"/>
  <c r="AM82" i="2"/>
  <c r="AN82" i="2"/>
  <c r="AO82" i="2"/>
  <c r="AP82" i="2"/>
  <c r="A83" i="2"/>
  <c r="B83" i="2"/>
  <c r="C83" i="2"/>
  <c r="E83" i="2"/>
  <c r="F83" i="2"/>
  <c r="I83" i="2"/>
  <c r="J83" i="2"/>
  <c r="K83" i="2"/>
  <c r="L83" i="2"/>
  <c r="M83" i="2"/>
  <c r="P83" i="2"/>
  <c r="Q83" i="2"/>
  <c r="R83" i="2"/>
  <c r="S83" i="2"/>
  <c r="T83" i="2"/>
  <c r="V83" i="2" s="1"/>
  <c r="X83" i="2"/>
  <c r="Y83" i="2"/>
  <c r="Z83" i="2"/>
  <c r="AA83" i="2"/>
  <c r="AB83" i="2"/>
  <c r="AD83" i="2"/>
  <c r="AE83" i="2"/>
  <c r="AF83" i="2"/>
  <c r="AG83" i="2"/>
  <c r="AH83" i="2"/>
  <c r="AI83" i="2"/>
  <c r="AJ83" i="2"/>
  <c r="AM83" i="2"/>
  <c r="AN83" i="2"/>
  <c r="AO83" i="2"/>
  <c r="AP83" i="2"/>
  <c r="A84" i="2"/>
  <c r="B84" i="2"/>
  <c r="C84" i="2"/>
  <c r="E84" i="2"/>
  <c r="F84" i="2"/>
  <c r="I84" i="2"/>
  <c r="J84" i="2"/>
  <c r="K84" i="2"/>
  <c r="L84" i="2"/>
  <c r="M84" i="2"/>
  <c r="P84" i="2"/>
  <c r="Q84" i="2"/>
  <c r="R84" i="2"/>
  <c r="S84" i="2"/>
  <c r="T84" i="2"/>
  <c r="X84" i="2"/>
  <c r="Y84" i="2"/>
  <c r="Z84" i="2"/>
  <c r="AA84" i="2"/>
  <c r="AB84" i="2"/>
  <c r="AD84" i="2"/>
  <c r="AE84" i="2"/>
  <c r="AF84" i="2"/>
  <c r="AG84" i="2"/>
  <c r="AH84" i="2"/>
  <c r="AI84" i="2"/>
  <c r="AJ84" i="2"/>
  <c r="AM84" i="2"/>
  <c r="AN84" i="2"/>
  <c r="AO84" i="2"/>
  <c r="AP84" i="2"/>
  <c r="A85" i="2"/>
  <c r="B85" i="2"/>
  <c r="C85" i="2"/>
  <c r="E85" i="2"/>
  <c r="F85" i="2"/>
  <c r="I85" i="2"/>
  <c r="J85" i="2"/>
  <c r="K85" i="2"/>
  <c r="L85" i="2"/>
  <c r="M85" i="2"/>
  <c r="P85" i="2"/>
  <c r="Q85" i="2"/>
  <c r="R85" i="2"/>
  <c r="S85" i="2"/>
  <c r="T85" i="2"/>
  <c r="V85" i="2" s="1"/>
  <c r="X85" i="2"/>
  <c r="Y85" i="2"/>
  <c r="Z85" i="2"/>
  <c r="AA85" i="2"/>
  <c r="AB85" i="2"/>
  <c r="AD85" i="2"/>
  <c r="AE85" i="2"/>
  <c r="AF85" i="2"/>
  <c r="AG85" i="2"/>
  <c r="AH85" i="2"/>
  <c r="AI85" i="2"/>
  <c r="AJ85" i="2"/>
  <c r="AM85" i="2"/>
  <c r="AN85" i="2"/>
  <c r="AO85" i="2"/>
  <c r="AP85" i="2"/>
  <c r="A86" i="2"/>
  <c r="B86" i="2"/>
  <c r="C86" i="2"/>
  <c r="E86" i="2"/>
  <c r="F86" i="2"/>
  <c r="I86" i="2"/>
  <c r="J86" i="2"/>
  <c r="K86" i="2"/>
  <c r="L86" i="2"/>
  <c r="M86" i="2"/>
  <c r="P86" i="2"/>
  <c r="Q86" i="2"/>
  <c r="R86" i="2"/>
  <c r="S86" i="2"/>
  <c r="T86" i="2"/>
  <c r="U86" i="2" s="1"/>
  <c r="X86" i="2"/>
  <c r="Y86" i="2"/>
  <c r="W86" i="2" s="1"/>
  <c r="Z86" i="2"/>
  <c r="AA86" i="2"/>
  <c r="AB86" i="2"/>
  <c r="AD86" i="2"/>
  <c r="AE86" i="2"/>
  <c r="AF86" i="2"/>
  <c r="AG86" i="2"/>
  <c r="AH86" i="2"/>
  <c r="AI86" i="2"/>
  <c r="AJ86" i="2"/>
  <c r="AM86" i="2"/>
  <c r="AN86" i="2"/>
  <c r="AO86" i="2"/>
  <c r="AP86" i="2"/>
  <c r="A87" i="2"/>
  <c r="B87" i="2"/>
  <c r="C87" i="2"/>
  <c r="E87" i="2"/>
  <c r="F87" i="2"/>
  <c r="I87" i="2"/>
  <c r="J87" i="2"/>
  <c r="K87" i="2"/>
  <c r="L87" i="2"/>
  <c r="M87" i="2"/>
  <c r="P87" i="2"/>
  <c r="Q87" i="2"/>
  <c r="R87" i="2"/>
  <c r="S87" i="2"/>
  <c r="T87" i="2"/>
  <c r="V87" i="2" s="1"/>
  <c r="X87" i="2"/>
  <c r="Y87" i="2"/>
  <c r="Z87" i="2"/>
  <c r="AA87" i="2"/>
  <c r="AB87" i="2"/>
  <c r="AD87" i="2"/>
  <c r="AE87" i="2"/>
  <c r="AF87" i="2"/>
  <c r="AG87" i="2"/>
  <c r="AH87" i="2"/>
  <c r="AI87" i="2"/>
  <c r="AJ87" i="2"/>
  <c r="AM87" i="2"/>
  <c r="AN87" i="2"/>
  <c r="AO87" i="2"/>
  <c r="AP87" i="2"/>
  <c r="A88" i="2"/>
  <c r="B88" i="2"/>
  <c r="C88" i="2"/>
  <c r="E88" i="2"/>
  <c r="F88" i="2"/>
  <c r="I88" i="2"/>
  <c r="J88" i="2"/>
  <c r="K88" i="2"/>
  <c r="L88" i="2"/>
  <c r="M88" i="2"/>
  <c r="P88" i="2"/>
  <c r="Q88" i="2"/>
  <c r="R88" i="2"/>
  <c r="S88" i="2"/>
  <c r="T88" i="2"/>
  <c r="X88" i="2"/>
  <c r="Y88" i="2"/>
  <c r="Z88" i="2"/>
  <c r="AA88" i="2"/>
  <c r="AB88" i="2"/>
  <c r="AD88" i="2"/>
  <c r="AE88" i="2"/>
  <c r="AF88" i="2"/>
  <c r="AG88" i="2"/>
  <c r="AH88" i="2"/>
  <c r="AI88" i="2"/>
  <c r="AJ88" i="2"/>
  <c r="AM88" i="2"/>
  <c r="AN88" i="2"/>
  <c r="AO88" i="2"/>
  <c r="AP88" i="2"/>
  <c r="A89" i="2"/>
  <c r="B89" i="2"/>
  <c r="C89" i="2"/>
  <c r="E89" i="2"/>
  <c r="F89" i="2"/>
  <c r="I89" i="2"/>
  <c r="J89" i="2"/>
  <c r="K89" i="2"/>
  <c r="L89" i="2"/>
  <c r="M89" i="2"/>
  <c r="P89" i="2"/>
  <c r="Q89" i="2"/>
  <c r="R89" i="2"/>
  <c r="S89" i="2"/>
  <c r="T89" i="2"/>
  <c r="V89" i="2" s="1"/>
  <c r="X89" i="2"/>
  <c r="Y89" i="2"/>
  <c r="Z89" i="2"/>
  <c r="AA89" i="2"/>
  <c r="AB89" i="2"/>
  <c r="AD89" i="2"/>
  <c r="AE89" i="2"/>
  <c r="AF89" i="2"/>
  <c r="AG89" i="2"/>
  <c r="AH89" i="2"/>
  <c r="AI89" i="2"/>
  <c r="AJ89" i="2"/>
  <c r="AM89" i="2"/>
  <c r="AN89" i="2"/>
  <c r="AO89" i="2"/>
  <c r="AP89" i="2"/>
  <c r="A90" i="2"/>
  <c r="B90" i="2"/>
  <c r="C90" i="2"/>
  <c r="E90" i="2"/>
  <c r="F90" i="2"/>
  <c r="I90" i="2"/>
  <c r="J90" i="2"/>
  <c r="K90" i="2"/>
  <c r="L90" i="2"/>
  <c r="M90" i="2"/>
  <c r="P90" i="2"/>
  <c r="Q90" i="2"/>
  <c r="R90" i="2"/>
  <c r="S90" i="2"/>
  <c r="T90" i="2"/>
  <c r="U90" i="2" s="1"/>
  <c r="X90" i="2"/>
  <c r="Y90" i="2"/>
  <c r="Z90" i="2"/>
  <c r="AA90" i="2"/>
  <c r="AB90" i="2"/>
  <c r="AD90" i="2"/>
  <c r="AE90" i="2"/>
  <c r="AF90" i="2"/>
  <c r="AG90" i="2"/>
  <c r="AH90" i="2"/>
  <c r="AI90" i="2"/>
  <c r="AJ90" i="2"/>
  <c r="AM90" i="2"/>
  <c r="AN90" i="2"/>
  <c r="AO90" i="2"/>
  <c r="AP90" i="2"/>
  <c r="A91" i="2"/>
  <c r="B91" i="2"/>
  <c r="C91" i="2"/>
  <c r="E91" i="2"/>
  <c r="F91" i="2"/>
  <c r="I91" i="2"/>
  <c r="J91" i="2"/>
  <c r="K91" i="2"/>
  <c r="L91" i="2"/>
  <c r="M91" i="2"/>
  <c r="P91" i="2"/>
  <c r="Q91" i="2"/>
  <c r="R91" i="2"/>
  <c r="S91" i="2"/>
  <c r="T91" i="2"/>
  <c r="V91" i="2" s="1"/>
  <c r="X91" i="2"/>
  <c r="Y91" i="2"/>
  <c r="Z91" i="2"/>
  <c r="AA91" i="2"/>
  <c r="AB91" i="2"/>
  <c r="AD91" i="2"/>
  <c r="AE91" i="2"/>
  <c r="AF91" i="2"/>
  <c r="AG91" i="2"/>
  <c r="AH91" i="2"/>
  <c r="AI91" i="2"/>
  <c r="AJ91" i="2"/>
  <c r="AM91" i="2"/>
  <c r="AN91" i="2"/>
  <c r="AO91" i="2"/>
  <c r="AP91" i="2"/>
  <c r="A92" i="2"/>
  <c r="B92" i="2"/>
  <c r="C92" i="2"/>
  <c r="E92" i="2"/>
  <c r="F92" i="2"/>
  <c r="I92" i="2"/>
  <c r="J92" i="2"/>
  <c r="K92" i="2"/>
  <c r="L92" i="2"/>
  <c r="M92" i="2"/>
  <c r="P92" i="2"/>
  <c r="Q92" i="2"/>
  <c r="R92" i="2"/>
  <c r="S92" i="2"/>
  <c r="T92" i="2"/>
  <c r="X92" i="2"/>
  <c r="Y92" i="2"/>
  <c r="Z92" i="2"/>
  <c r="AA92" i="2"/>
  <c r="AB92" i="2"/>
  <c r="AD92" i="2"/>
  <c r="AE92" i="2"/>
  <c r="AF92" i="2"/>
  <c r="AG92" i="2"/>
  <c r="AH92" i="2"/>
  <c r="AI92" i="2"/>
  <c r="AJ92" i="2"/>
  <c r="AM92" i="2"/>
  <c r="AN92" i="2"/>
  <c r="AO92" i="2"/>
  <c r="AP92" i="2"/>
  <c r="A93" i="2"/>
  <c r="B93" i="2"/>
  <c r="C93" i="2"/>
  <c r="E93" i="2"/>
  <c r="F93" i="2"/>
  <c r="I93" i="2"/>
  <c r="J93" i="2"/>
  <c r="K93" i="2"/>
  <c r="L93" i="2"/>
  <c r="M93" i="2"/>
  <c r="P93" i="2"/>
  <c r="Q93" i="2"/>
  <c r="R93" i="2"/>
  <c r="S93" i="2"/>
  <c r="T93" i="2"/>
  <c r="V93" i="2" s="1"/>
  <c r="X93" i="2"/>
  <c r="Y93" i="2"/>
  <c r="Z93" i="2"/>
  <c r="AA93" i="2"/>
  <c r="AB93" i="2"/>
  <c r="AD93" i="2"/>
  <c r="AE93" i="2"/>
  <c r="AF93" i="2"/>
  <c r="AG93" i="2"/>
  <c r="AH93" i="2"/>
  <c r="AI93" i="2"/>
  <c r="AJ93" i="2"/>
  <c r="AM93" i="2"/>
  <c r="AN93" i="2"/>
  <c r="AO93" i="2"/>
  <c r="AP93" i="2"/>
  <c r="A94" i="2"/>
  <c r="B94" i="2"/>
  <c r="C94" i="2"/>
  <c r="E94" i="2"/>
  <c r="F94" i="2"/>
  <c r="I94" i="2"/>
  <c r="J94" i="2"/>
  <c r="K94" i="2"/>
  <c r="L94" i="2"/>
  <c r="M94" i="2"/>
  <c r="P94" i="2"/>
  <c r="Q94" i="2"/>
  <c r="R94" i="2"/>
  <c r="S94" i="2"/>
  <c r="T94" i="2"/>
  <c r="U94" i="2" s="1"/>
  <c r="X94" i="2"/>
  <c r="Y94" i="2"/>
  <c r="Z94" i="2"/>
  <c r="AA94" i="2"/>
  <c r="AB94" i="2"/>
  <c r="AD94" i="2"/>
  <c r="AE94" i="2"/>
  <c r="AF94" i="2"/>
  <c r="AG94" i="2"/>
  <c r="AH94" i="2"/>
  <c r="AI94" i="2"/>
  <c r="AJ94" i="2"/>
  <c r="AM94" i="2"/>
  <c r="AN94" i="2"/>
  <c r="AO94" i="2"/>
  <c r="AP94" i="2"/>
  <c r="A95" i="2"/>
  <c r="B95" i="2"/>
  <c r="C95" i="2"/>
  <c r="E95" i="2"/>
  <c r="F95" i="2"/>
  <c r="I95" i="2"/>
  <c r="J95" i="2"/>
  <c r="K95" i="2"/>
  <c r="L95" i="2"/>
  <c r="M95" i="2"/>
  <c r="P95" i="2"/>
  <c r="Q95" i="2"/>
  <c r="R95" i="2"/>
  <c r="S95" i="2"/>
  <c r="T95" i="2"/>
  <c r="V95" i="2" s="1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M95" i="2"/>
  <c r="AN95" i="2"/>
  <c r="AO95" i="2"/>
  <c r="AP95" i="2"/>
  <c r="A96" i="2"/>
  <c r="B96" i="2"/>
  <c r="C96" i="2"/>
  <c r="E96" i="2"/>
  <c r="F96" i="2"/>
  <c r="I96" i="2"/>
  <c r="J96" i="2"/>
  <c r="K96" i="2"/>
  <c r="L96" i="2"/>
  <c r="M96" i="2"/>
  <c r="P96" i="2"/>
  <c r="Q96" i="2"/>
  <c r="R96" i="2"/>
  <c r="S96" i="2"/>
  <c r="T96" i="2"/>
  <c r="X96" i="2"/>
  <c r="Y96" i="2"/>
  <c r="Z96" i="2"/>
  <c r="AA96" i="2"/>
  <c r="AB96" i="2"/>
  <c r="AD96" i="2"/>
  <c r="AE96" i="2"/>
  <c r="AF96" i="2"/>
  <c r="AG96" i="2"/>
  <c r="AH96" i="2"/>
  <c r="AI96" i="2"/>
  <c r="AJ96" i="2"/>
  <c r="AM96" i="2"/>
  <c r="AN96" i="2"/>
  <c r="AO96" i="2"/>
  <c r="AP96" i="2"/>
  <c r="A97" i="2"/>
  <c r="B97" i="2"/>
  <c r="C97" i="2"/>
  <c r="E97" i="2"/>
  <c r="F97" i="2"/>
  <c r="I97" i="2"/>
  <c r="J97" i="2"/>
  <c r="K97" i="2"/>
  <c r="L97" i="2"/>
  <c r="M97" i="2"/>
  <c r="P97" i="2"/>
  <c r="Q97" i="2"/>
  <c r="R97" i="2"/>
  <c r="S97" i="2"/>
  <c r="T97" i="2"/>
  <c r="V97" i="2" s="1"/>
  <c r="X97" i="2"/>
  <c r="Y97" i="2"/>
  <c r="Z97" i="2"/>
  <c r="AA97" i="2"/>
  <c r="AB97" i="2"/>
  <c r="AD97" i="2"/>
  <c r="AE97" i="2"/>
  <c r="AF97" i="2"/>
  <c r="AG97" i="2"/>
  <c r="AH97" i="2"/>
  <c r="AI97" i="2"/>
  <c r="AJ97" i="2"/>
  <c r="AM97" i="2"/>
  <c r="AN97" i="2"/>
  <c r="AO97" i="2"/>
  <c r="AP97" i="2"/>
  <c r="A98" i="2"/>
  <c r="B98" i="2"/>
  <c r="C98" i="2"/>
  <c r="E98" i="2"/>
  <c r="F98" i="2"/>
  <c r="I98" i="2"/>
  <c r="J98" i="2"/>
  <c r="K98" i="2"/>
  <c r="L98" i="2"/>
  <c r="M98" i="2"/>
  <c r="P98" i="2"/>
  <c r="Q98" i="2"/>
  <c r="R98" i="2"/>
  <c r="S98" i="2"/>
  <c r="T98" i="2"/>
  <c r="U98" i="2" s="1"/>
  <c r="X98" i="2"/>
  <c r="Y98" i="2"/>
  <c r="Z98" i="2"/>
  <c r="AA98" i="2"/>
  <c r="AB98" i="2"/>
  <c r="AD98" i="2"/>
  <c r="AE98" i="2"/>
  <c r="AF98" i="2"/>
  <c r="AG98" i="2"/>
  <c r="AH98" i="2"/>
  <c r="AI98" i="2"/>
  <c r="AJ98" i="2"/>
  <c r="AM98" i="2"/>
  <c r="AN98" i="2"/>
  <c r="AO98" i="2"/>
  <c r="AP98" i="2"/>
  <c r="A99" i="2"/>
  <c r="B99" i="2"/>
  <c r="C99" i="2"/>
  <c r="E99" i="2"/>
  <c r="F99" i="2"/>
  <c r="I99" i="2"/>
  <c r="J99" i="2"/>
  <c r="K99" i="2"/>
  <c r="L99" i="2"/>
  <c r="M99" i="2"/>
  <c r="P99" i="2"/>
  <c r="Q99" i="2"/>
  <c r="R99" i="2"/>
  <c r="S99" i="2"/>
  <c r="T99" i="2"/>
  <c r="U99" i="2" s="1"/>
  <c r="X99" i="2"/>
  <c r="Y99" i="2"/>
  <c r="Z99" i="2"/>
  <c r="AA99" i="2"/>
  <c r="AB99" i="2"/>
  <c r="AD99" i="2"/>
  <c r="AE99" i="2"/>
  <c r="AF99" i="2"/>
  <c r="AG99" i="2"/>
  <c r="AH99" i="2"/>
  <c r="AI99" i="2"/>
  <c r="AJ99" i="2"/>
  <c r="AM99" i="2"/>
  <c r="AN99" i="2"/>
  <c r="AO99" i="2"/>
  <c r="AP99" i="2"/>
  <c r="A100" i="2"/>
  <c r="B100" i="2"/>
  <c r="C100" i="2"/>
  <c r="E100" i="2"/>
  <c r="F100" i="2"/>
  <c r="I100" i="2"/>
  <c r="J100" i="2"/>
  <c r="K100" i="2"/>
  <c r="L100" i="2"/>
  <c r="M100" i="2"/>
  <c r="P100" i="2"/>
  <c r="Q100" i="2"/>
  <c r="R100" i="2"/>
  <c r="S100" i="2"/>
  <c r="T100" i="2"/>
  <c r="U100" i="2" s="1"/>
  <c r="X100" i="2"/>
  <c r="Y100" i="2"/>
  <c r="Z100" i="2"/>
  <c r="AA100" i="2"/>
  <c r="AB100" i="2"/>
  <c r="AD100" i="2"/>
  <c r="AE100" i="2"/>
  <c r="AF100" i="2"/>
  <c r="AG100" i="2"/>
  <c r="AH100" i="2"/>
  <c r="AI100" i="2"/>
  <c r="AJ100" i="2"/>
  <c r="AM100" i="2"/>
  <c r="AN100" i="2"/>
  <c r="AO100" i="2"/>
  <c r="AP100" i="2"/>
  <c r="A101" i="2"/>
  <c r="B101" i="2"/>
  <c r="C101" i="2"/>
  <c r="E101" i="2"/>
  <c r="F101" i="2"/>
  <c r="I101" i="2"/>
  <c r="J101" i="2"/>
  <c r="K101" i="2"/>
  <c r="L101" i="2"/>
  <c r="M101" i="2"/>
  <c r="P101" i="2"/>
  <c r="Q101" i="2"/>
  <c r="R101" i="2"/>
  <c r="S101" i="2"/>
  <c r="T101" i="2"/>
  <c r="U101" i="2" s="1"/>
  <c r="X101" i="2"/>
  <c r="Y101" i="2"/>
  <c r="Z101" i="2"/>
  <c r="AA101" i="2"/>
  <c r="AB101" i="2"/>
  <c r="AD101" i="2"/>
  <c r="AE101" i="2"/>
  <c r="AF101" i="2"/>
  <c r="AG101" i="2"/>
  <c r="AH101" i="2"/>
  <c r="AI101" i="2"/>
  <c r="AJ101" i="2"/>
  <c r="AM101" i="2"/>
  <c r="AN101" i="2"/>
  <c r="AO101" i="2"/>
  <c r="AP101" i="2"/>
  <c r="A102" i="2"/>
  <c r="B102" i="2"/>
  <c r="C102" i="2"/>
  <c r="E102" i="2"/>
  <c r="F102" i="2"/>
  <c r="I102" i="2"/>
  <c r="J102" i="2"/>
  <c r="K102" i="2"/>
  <c r="L102" i="2"/>
  <c r="M102" i="2"/>
  <c r="P102" i="2"/>
  <c r="Q102" i="2"/>
  <c r="R102" i="2"/>
  <c r="S102" i="2"/>
  <c r="T102" i="2"/>
  <c r="U102" i="2" s="1"/>
  <c r="X102" i="2"/>
  <c r="Y102" i="2"/>
  <c r="Z102" i="2"/>
  <c r="AA102" i="2"/>
  <c r="AB102" i="2"/>
  <c r="AD102" i="2"/>
  <c r="AE102" i="2"/>
  <c r="AF102" i="2"/>
  <c r="AG102" i="2"/>
  <c r="AH102" i="2"/>
  <c r="AI102" i="2"/>
  <c r="AJ102" i="2"/>
  <c r="AM102" i="2"/>
  <c r="AN102" i="2"/>
  <c r="AO102" i="2"/>
  <c r="AP102" i="2"/>
  <c r="A103" i="2"/>
  <c r="B103" i="2"/>
  <c r="C103" i="2"/>
  <c r="E103" i="2"/>
  <c r="F103" i="2"/>
  <c r="I103" i="2"/>
  <c r="J103" i="2"/>
  <c r="K103" i="2"/>
  <c r="L103" i="2"/>
  <c r="M103" i="2"/>
  <c r="P103" i="2"/>
  <c r="Q103" i="2"/>
  <c r="R103" i="2"/>
  <c r="S103" i="2"/>
  <c r="T103" i="2"/>
  <c r="U103" i="2" s="1"/>
  <c r="X103" i="2"/>
  <c r="Y103" i="2"/>
  <c r="Z103" i="2"/>
  <c r="AA103" i="2"/>
  <c r="AB103" i="2"/>
  <c r="AD103" i="2"/>
  <c r="AE103" i="2"/>
  <c r="AF103" i="2"/>
  <c r="AG103" i="2"/>
  <c r="AH103" i="2"/>
  <c r="AI103" i="2"/>
  <c r="AJ103" i="2"/>
  <c r="AM103" i="2"/>
  <c r="AN103" i="2"/>
  <c r="AO103" i="2"/>
  <c r="AP103" i="2"/>
  <c r="A38" i="1"/>
  <c r="B38" i="1"/>
  <c r="C38" i="1"/>
  <c r="E38" i="1"/>
  <c r="I38" i="1"/>
  <c r="J38" i="1"/>
  <c r="K38" i="1"/>
  <c r="L38" i="1"/>
  <c r="M38" i="1"/>
  <c r="P38" i="1"/>
  <c r="V38" i="1"/>
  <c r="Y38" i="1"/>
  <c r="Z38" i="1"/>
  <c r="AG38" i="1"/>
  <c r="AI38" i="1"/>
  <c r="AJ38" i="1"/>
  <c r="A39" i="1"/>
  <c r="B39" i="1"/>
  <c r="C39" i="1"/>
  <c r="E39" i="1"/>
  <c r="I39" i="1"/>
  <c r="J39" i="1"/>
  <c r="K39" i="1"/>
  <c r="L39" i="1"/>
  <c r="M39" i="1"/>
  <c r="P39" i="1"/>
  <c r="V39" i="1"/>
  <c r="Y39" i="1"/>
  <c r="Z39" i="1"/>
  <c r="AG39" i="1"/>
  <c r="AI39" i="1"/>
  <c r="AJ39" i="1"/>
  <c r="A40" i="1"/>
  <c r="B40" i="1"/>
  <c r="C40" i="1"/>
  <c r="E40" i="1"/>
  <c r="I40" i="1"/>
  <c r="J40" i="1"/>
  <c r="K40" i="1"/>
  <c r="L40" i="1"/>
  <c r="M40" i="1"/>
  <c r="P40" i="1"/>
  <c r="V40" i="1"/>
  <c r="Y40" i="1"/>
  <c r="Z40" i="1"/>
  <c r="AG40" i="1"/>
  <c r="AI40" i="1"/>
  <c r="AJ40" i="1"/>
  <c r="A41" i="1"/>
  <c r="B41" i="1"/>
  <c r="C41" i="1"/>
  <c r="E41" i="1"/>
  <c r="I41" i="1"/>
  <c r="J41" i="1"/>
  <c r="K41" i="1"/>
  <c r="L41" i="1"/>
  <c r="M41" i="1"/>
  <c r="P41" i="1"/>
  <c r="V41" i="1"/>
  <c r="Y41" i="1"/>
  <c r="Z41" i="1"/>
  <c r="AG41" i="1"/>
  <c r="AI41" i="1"/>
  <c r="AJ41" i="1"/>
  <c r="A42" i="1"/>
  <c r="B42" i="1"/>
  <c r="C42" i="1"/>
  <c r="E42" i="1"/>
  <c r="I42" i="1"/>
  <c r="J42" i="1"/>
  <c r="K42" i="1"/>
  <c r="L42" i="1"/>
  <c r="M42" i="1"/>
  <c r="P42" i="1"/>
  <c r="V42" i="1"/>
  <c r="Y42" i="1"/>
  <c r="Z42" i="1"/>
  <c r="AG42" i="1"/>
  <c r="AI42" i="1"/>
  <c r="AJ42" i="1"/>
  <c r="A43" i="1"/>
  <c r="B43" i="1"/>
  <c r="C43" i="1"/>
  <c r="E43" i="1"/>
  <c r="I43" i="1"/>
  <c r="J43" i="1"/>
  <c r="K43" i="1"/>
  <c r="L43" i="1"/>
  <c r="M43" i="1"/>
  <c r="P43" i="1"/>
  <c r="V43" i="1"/>
  <c r="Y43" i="1"/>
  <c r="Z43" i="1"/>
  <c r="AG43" i="1"/>
  <c r="AI43" i="1"/>
  <c r="AJ43" i="1"/>
  <c r="A44" i="1"/>
  <c r="B44" i="1"/>
  <c r="C44" i="1"/>
  <c r="E44" i="1"/>
  <c r="I44" i="1"/>
  <c r="J44" i="1"/>
  <c r="K44" i="1"/>
  <c r="L44" i="1"/>
  <c r="M44" i="1"/>
  <c r="P44" i="1"/>
  <c r="V44" i="1"/>
  <c r="Y44" i="1"/>
  <c r="Z44" i="1"/>
  <c r="AG44" i="1"/>
  <c r="AI44" i="1"/>
  <c r="AJ44" i="1"/>
  <c r="A45" i="1"/>
  <c r="B45" i="1"/>
  <c r="C45" i="1"/>
  <c r="E45" i="1"/>
  <c r="I45" i="1"/>
  <c r="J45" i="1"/>
  <c r="K45" i="1"/>
  <c r="L45" i="1"/>
  <c r="M45" i="1"/>
  <c r="P45" i="1"/>
  <c r="V45" i="1"/>
  <c r="Y45" i="1"/>
  <c r="Z45" i="1"/>
  <c r="AG45" i="1"/>
  <c r="AI45" i="1"/>
  <c r="AJ45" i="1"/>
  <c r="A46" i="1"/>
  <c r="B46" i="1"/>
  <c r="C46" i="1"/>
  <c r="E46" i="1"/>
  <c r="I46" i="1"/>
  <c r="J46" i="1"/>
  <c r="K46" i="1"/>
  <c r="L46" i="1"/>
  <c r="M46" i="1"/>
  <c r="P46" i="1"/>
  <c r="V46" i="1"/>
  <c r="Y46" i="1"/>
  <c r="Z46" i="1"/>
  <c r="AG46" i="1"/>
  <c r="AI46" i="1"/>
  <c r="AJ46" i="1"/>
  <c r="A47" i="1"/>
  <c r="B47" i="1"/>
  <c r="C47" i="1"/>
  <c r="E47" i="1"/>
  <c r="I47" i="1"/>
  <c r="J47" i="1"/>
  <c r="K47" i="1"/>
  <c r="L47" i="1"/>
  <c r="M47" i="1"/>
  <c r="P47" i="1"/>
  <c r="V47" i="1"/>
  <c r="Y47" i="1"/>
  <c r="Z47" i="1"/>
  <c r="AG47" i="1"/>
  <c r="AI47" i="1"/>
  <c r="AJ47" i="1"/>
  <c r="A48" i="1"/>
  <c r="B48" i="1"/>
  <c r="C48" i="1"/>
  <c r="E48" i="1"/>
  <c r="I48" i="1"/>
  <c r="J48" i="1"/>
  <c r="K48" i="1"/>
  <c r="L48" i="1"/>
  <c r="M48" i="1"/>
  <c r="P48" i="1"/>
  <c r="V48" i="1"/>
  <c r="Y48" i="1"/>
  <c r="Z48" i="1"/>
  <c r="AG48" i="1"/>
  <c r="AI48" i="1"/>
  <c r="AJ48" i="1"/>
  <c r="A49" i="1"/>
  <c r="B49" i="1"/>
  <c r="C49" i="1"/>
  <c r="E49" i="1"/>
  <c r="I49" i="1"/>
  <c r="J49" i="1"/>
  <c r="K49" i="1"/>
  <c r="L49" i="1"/>
  <c r="M49" i="1"/>
  <c r="P49" i="1"/>
  <c r="V49" i="1"/>
  <c r="Y49" i="1"/>
  <c r="Z49" i="1"/>
  <c r="AG49" i="1"/>
  <c r="AI49" i="1"/>
  <c r="AJ49" i="1"/>
  <c r="A50" i="1"/>
  <c r="B50" i="1"/>
  <c r="C50" i="1"/>
  <c r="E50" i="1"/>
  <c r="I50" i="1"/>
  <c r="J50" i="1"/>
  <c r="K50" i="1"/>
  <c r="L50" i="1"/>
  <c r="M50" i="1"/>
  <c r="P50" i="1"/>
  <c r="V50" i="1"/>
  <c r="Y50" i="1"/>
  <c r="Z50" i="1"/>
  <c r="AG50" i="1"/>
  <c r="AI50" i="1"/>
  <c r="AJ50" i="1"/>
  <c r="A51" i="1"/>
  <c r="B51" i="1"/>
  <c r="C51" i="1"/>
  <c r="E51" i="1"/>
  <c r="I51" i="1"/>
  <c r="J51" i="1"/>
  <c r="K51" i="1"/>
  <c r="L51" i="1"/>
  <c r="M51" i="1"/>
  <c r="P51" i="1"/>
  <c r="V51" i="1"/>
  <c r="Y51" i="1"/>
  <c r="Z51" i="1"/>
  <c r="AG51" i="1"/>
  <c r="AI51" i="1"/>
  <c r="AJ51" i="1"/>
  <c r="A52" i="1"/>
  <c r="B52" i="1"/>
  <c r="C52" i="1"/>
  <c r="E52" i="1"/>
  <c r="I52" i="1"/>
  <c r="J52" i="1"/>
  <c r="K52" i="1"/>
  <c r="L52" i="1"/>
  <c r="M52" i="1"/>
  <c r="P52" i="1"/>
  <c r="V52" i="1"/>
  <c r="Y52" i="1"/>
  <c r="Z52" i="1"/>
  <c r="AG52" i="1"/>
  <c r="AI52" i="1"/>
  <c r="AJ52" i="1"/>
  <c r="A53" i="1"/>
  <c r="B53" i="1"/>
  <c r="C53" i="1"/>
  <c r="E53" i="1"/>
  <c r="I53" i="1"/>
  <c r="J53" i="1"/>
  <c r="K53" i="1"/>
  <c r="L53" i="1"/>
  <c r="M53" i="1"/>
  <c r="P53" i="1"/>
  <c r="V53" i="1"/>
  <c r="Y53" i="1"/>
  <c r="Z53" i="1"/>
  <c r="AG53" i="1"/>
  <c r="AI53" i="1"/>
  <c r="AJ53" i="1"/>
  <c r="A54" i="1"/>
  <c r="B54" i="1"/>
  <c r="C54" i="1"/>
  <c r="E54" i="1"/>
  <c r="I54" i="1"/>
  <c r="J54" i="1"/>
  <c r="K54" i="1"/>
  <c r="L54" i="1"/>
  <c r="M54" i="1"/>
  <c r="P54" i="1"/>
  <c r="V54" i="1"/>
  <c r="Y54" i="1"/>
  <c r="Z54" i="1"/>
  <c r="AG54" i="1"/>
  <c r="AI54" i="1"/>
  <c r="AJ54" i="1"/>
  <c r="A55" i="1"/>
  <c r="B55" i="1"/>
  <c r="C55" i="1"/>
  <c r="E55" i="1"/>
  <c r="I55" i="1"/>
  <c r="J55" i="1"/>
  <c r="K55" i="1"/>
  <c r="L55" i="1"/>
  <c r="M55" i="1"/>
  <c r="P55" i="1"/>
  <c r="V55" i="1"/>
  <c r="Y55" i="1"/>
  <c r="Z55" i="1"/>
  <c r="AG55" i="1"/>
  <c r="AI55" i="1"/>
  <c r="AJ55" i="1"/>
  <c r="A56" i="1"/>
  <c r="B56" i="1"/>
  <c r="C56" i="1"/>
  <c r="E56" i="1"/>
  <c r="I56" i="1"/>
  <c r="J56" i="1"/>
  <c r="K56" i="1"/>
  <c r="L56" i="1"/>
  <c r="M56" i="1"/>
  <c r="P56" i="1"/>
  <c r="V56" i="1"/>
  <c r="Y56" i="1"/>
  <c r="Z56" i="1"/>
  <c r="AG56" i="1"/>
  <c r="AI56" i="1"/>
  <c r="AJ56" i="1"/>
  <c r="A57" i="1"/>
  <c r="B57" i="1"/>
  <c r="C57" i="1"/>
  <c r="E57" i="1"/>
  <c r="I57" i="1"/>
  <c r="J57" i="1"/>
  <c r="K57" i="1"/>
  <c r="L57" i="1"/>
  <c r="M57" i="1"/>
  <c r="P57" i="1"/>
  <c r="V57" i="1"/>
  <c r="Y57" i="1"/>
  <c r="Z57" i="1"/>
  <c r="AG57" i="1"/>
  <c r="AI57" i="1"/>
  <c r="AJ57" i="1"/>
  <c r="A58" i="1"/>
  <c r="B58" i="1"/>
  <c r="C58" i="1"/>
  <c r="E58" i="1"/>
  <c r="I58" i="1"/>
  <c r="J58" i="1"/>
  <c r="K58" i="1"/>
  <c r="L58" i="1"/>
  <c r="M58" i="1"/>
  <c r="P58" i="1"/>
  <c r="V58" i="1"/>
  <c r="Y58" i="1"/>
  <c r="Z58" i="1"/>
  <c r="AG58" i="1"/>
  <c r="AI58" i="1"/>
  <c r="AJ58" i="1"/>
  <c r="A59" i="1"/>
  <c r="B59" i="1"/>
  <c r="C59" i="1"/>
  <c r="E59" i="1"/>
  <c r="I59" i="1"/>
  <c r="J59" i="1"/>
  <c r="K59" i="1"/>
  <c r="L59" i="1"/>
  <c r="M59" i="1"/>
  <c r="P59" i="1"/>
  <c r="V59" i="1"/>
  <c r="Y59" i="1"/>
  <c r="Z59" i="1"/>
  <c r="AG59" i="1"/>
  <c r="AI59" i="1"/>
  <c r="AJ59" i="1"/>
  <c r="A60" i="1"/>
  <c r="B60" i="1"/>
  <c r="C60" i="1"/>
  <c r="E60" i="1"/>
  <c r="I60" i="1"/>
  <c r="J60" i="1"/>
  <c r="K60" i="1"/>
  <c r="L60" i="1"/>
  <c r="M60" i="1"/>
  <c r="P60" i="1"/>
  <c r="V60" i="1"/>
  <c r="Y60" i="1"/>
  <c r="Z60" i="1"/>
  <c r="AG60" i="1"/>
  <c r="AI60" i="1"/>
  <c r="AJ60" i="1"/>
  <c r="A61" i="1"/>
  <c r="B61" i="1"/>
  <c r="C61" i="1"/>
  <c r="E61" i="1"/>
  <c r="I61" i="1"/>
  <c r="J61" i="1"/>
  <c r="K61" i="1"/>
  <c r="L61" i="1"/>
  <c r="M61" i="1"/>
  <c r="P61" i="1"/>
  <c r="V61" i="1"/>
  <c r="Y61" i="1"/>
  <c r="Z61" i="1"/>
  <c r="AG61" i="1"/>
  <c r="AI61" i="1"/>
  <c r="AJ61" i="1"/>
  <c r="A62" i="1"/>
  <c r="B62" i="1"/>
  <c r="C62" i="1"/>
  <c r="E62" i="1"/>
  <c r="I62" i="1"/>
  <c r="J62" i="1"/>
  <c r="K62" i="1"/>
  <c r="L62" i="1"/>
  <c r="M62" i="1"/>
  <c r="P62" i="1"/>
  <c r="V62" i="1"/>
  <c r="Y62" i="1"/>
  <c r="Z62" i="1"/>
  <c r="AG62" i="1"/>
  <c r="AI62" i="1"/>
  <c r="AJ62" i="1"/>
  <c r="A63" i="1"/>
  <c r="B63" i="1"/>
  <c r="C63" i="1"/>
  <c r="E63" i="1"/>
  <c r="I63" i="1"/>
  <c r="J63" i="1"/>
  <c r="K63" i="1"/>
  <c r="L63" i="1"/>
  <c r="M63" i="1"/>
  <c r="P63" i="1"/>
  <c r="V63" i="1"/>
  <c r="Y63" i="1"/>
  <c r="Z63" i="1"/>
  <c r="AG63" i="1"/>
  <c r="AI63" i="1"/>
  <c r="AJ63" i="1"/>
  <c r="A64" i="1"/>
  <c r="B64" i="1"/>
  <c r="C64" i="1"/>
  <c r="E64" i="1"/>
  <c r="I64" i="1"/>
  <c r="J64" i="1"/>
  <c r="K64" i="1"/>
  <c r="L64" i="1"/>
  <c r="M64" i="1"/>
  <c r="P64" i="1"/>
  <c r="V64" i="1"/>
  <c r="Y64" i="1"/>
  <c r="Z64" i="1"/>
  <c r="AG64" i="1"/>
  <c r="AI64" i="1"/>
  <c r="AJ64" i="1"/>
  <c r="A65" i="1"/>
  <c r="B65" i="1"/>
  <c r="C65" i="1"/>
  <c r="E65" i="1"/>
  <c r="I65" i="1"/>
  <c r="J65" i="1"/>
  <c r="K65" i="1"/>
  <c r="L65" i="1"/>
  <c r="M65" i="1"/>
  <c r="P65" i="1"/>
  <c r="V65" i="1"/>
  <c r="Y65" i="1"/>
  <c r="Z65" i="1"/>
  <c r="AG65" i="1"/>
  <c r="AI65" i="1"/>
  <c r="AJ65" i="1"/>
  <c r="A66" i="1"/>
  <c r="B66" i="1"/>
  <c r="C66" i="1"/>
  <c r="E66" i="1"/>
  <c r="I66" i="1"/>
  <c r="J66" i="1"/>
  <c r="K66" i="1"/>
  <c r="L66" i="1"/>
  <c r="M66" i="1"/>
  <c r="P66" i="1"/>
  <c r="V66" i="1"/>
  <c r="Y66" i="1"/>
  <c r="Z66" i="1"/>
  <c r="AG66" i="1"/>
  <c r="AI66" i="1"/>
  <c r="AJ66" i="1"/>
  <c r="A67" i="1"/>
  <c r="B67" i="1"/>
  <c r="C67" i="1"/>
  <c r="E67" i="1"/>
  <c r="I67" i="1"/>
  <c r="J67" i="1"/>
  <c r="K67" i="1"/>
  <c r="L67" i="1"/>
  <c r="M67" i="1"/>
  <c r="P67" i="1"/>
  <c r="V67" i="1"/>
  <c r="Y67" i="1"/>
  <c r="Z67" i="1"/>
  <c r="AG67" i="1"/>
  <c r="AI67" i="1"/>
  <c r="AJ67" i="1"/>
  <c r="A68" i="1"/>
  <c r="B68" i="1"/>
  <c r="C68" i="1"/>
  <c r="E68" i="1"/>
  <c r="I68" i="1"/>
  <c r="J68" i="1"/>
  <c r="K68" i="1"/>
  <c r="L68" i="1"/>
  <c r="M68" i="1"/>
  <c r="P68" i="1"/>
  <c r="V68" i="1"/>
  <c r="Y68" i="1"/>
  <c r="Z68" i="1"/>
  <c r="AG68" i="1"/>
  <c r="AI68" i="1"/>
  <c r="AJ68" i="1"/>
  <c r="A69" i="1"/>
  <c r="B69" i="1"/>
  <c r="C69" i="1"/>
  <c r="E69" i="1"/>
  <c r="I69" i="1"/>
  <c r="J69" i="1"/>
  <c r="K69" i="1"/>
  <c r="L69" i="1"/>
  <c r="M69" i="1"/>
  <c r="P69" i="1"/>
  <c r="V69" i="1"/>
  <c r="Y69" i="1"/>
  <c r="Z69" i="1"/>
  <c r="AG69" i="1"/>
  <c r="AI69" i="1"/>
  <c r="AJ69" i="1"/>
  <c r="A70" i="1"/>
  <c r="B70" i="1"/>
  <c r="C70" i="1"/>
  <c r="E70" i="1"/>
  <c r="I70" i="1"/>
  <c r="J70" i="1"/>
  <c r="K70" i="1"/>
  <c r="L70" i="1"/>
  <c r="M70" i="1"/>
  <c r="P70" i="1"/>
  <c r="V70" i="1"/>
  <c r="Y70" i="1"/>
  <c r="Z70" i="1"/>
  <c r="AG70" i="1"/>
  <c r="AI70" i="1"/>
  <c r="AJ70" i="1"/>
  <c r="A71" i="1"/>
  <c r="B71" i="1"/>
  <c r="C71" i="1"/>
  <c r="E71" i="1"/>
  <c r="I71" i="1"/>
  <c r="J71" i="1"/>
  <c r="K71" i="1"/>
  <c r="L71" i="1"/>
  <c r="M71" i="1"/>
  <c r="P71" i="1"/>
  <c r="V71" i="1"/>
  <c r="Y71" i="1"/>
  <c r="Z71" i="1"/>
  <c r="AG71" i="1"/>
  <c r="AI71" i="1"/>
  <c r="AJ71" i="1"/>
  <c r="A72" i="1"/>
  <c r="B72" i="1"/>
  <c r="C72" i="1"/>
  <c r="E72" i="1"/>
  <c r="I72" i="1"/>
  <c r="J72" i="1"/>
  <c r="K72" i="1"/>
  <c r="L72" i="1"/>
  <c r="M72" i="1"/>
  <c r="P72" i="1"/>
  <c r="V72" i="1"/>
  <c r="Y72" i="1"/>
  <c r="Z72" i="1"/>
  <c r="AG72" i="1"/>
  <c r="AI72" i="1"/>
  <c r="AJ72" i="1"/>
  <c r="A73" i="1"/>
  <c r="B73" i="1"/>
  <c r="C73" i="1"/>
  <c r="E73" i="1"/>
  <c r="I73" i="1"/>
  <c r="J73" i="1"/>
  <c r="K73" i="1"/>
  <c r="L73" i="1"/>
  <c r="M73" i="1"/>
  <c r="P73" i="1"/>
  <c r="V73" i="1"/>
  <c r="Y73" i="1"/>
  <c r="Z73" i="1"/>
  <c r="AG73" i="1"/>
  <c r="AI73" i="1"/>
  <c r="AJ73" i="1"/>
  <c r="A74" i="1"/>
  <c r="B74" i="1"/>
  <c r="C74" i="1"/>
  <c r="E74" i="1"/>
  <c r="I74" i="1"/>
  <c r="J74" i="1"/>
  <c r="K74" i="1"/>
  <c r="L74" i="1"/>
  <c r="M74" i="1"/>
  <c r="P74" i="1"/>
  <c r="V74" i="1"/>
  <c r="Y74" i="1"/>
  <c r="Z74" i="1"/>
  <c r="AG74" i="1"/>
  <c r="AI74" i="1"/>
  <c r="AJ74" i="1"/>
  <c r="A75" i="1"/>
  <c r="B75" i="1"/>
  <c r="C75" i="1"/>
  <c r="E75" i="1"/>
  <c r="I75" i="1"/>
  <c r="J75" i="1"/>
  <c r="K75" i="1"/>
  <c r="L75" i="1"/>
  <c r="M75" i="1"/>
  <c r="P75" i="1"/>
  <c r="V75" i="1"/>
  <c r="Y75" i="1"/>
  <c r="Z75" i="1"/>
  <c r="AG75" i="1"/>
  <c r="AI75" i="1"/>
  <c r="AJ75" i="1"/>
  <c r="A76" i="1"/>
  <c r="B76" i="1"/>
  <c r="C76" i="1"/>
  <c r="E76" i="1"/>
  <c r="I76" i="1"/>
  <c r="J76" i="1"/>
  <c r="K76" i="1"/>
  <c r="L76" i="1"/>
  <c r="M76" i="1"/>
  <c r="P76" i="1"/>
  <c r="V76" i="1"/>
  <c r="Y76" i="1"/>
  <c r="Z76" i="1"/>
  <c r="AG76" i="1"/>
  <c r="AI76" i="1"/>
  <c r="AJ76" i="1"/>
  <c r="A77" i="1"/>
  <c r="B77" i="1"/>
  <c r="C77" i="1"/>
  <c r="E77" i="1"/>
  <c r="I77" i="1"/>
  <c r="J77" i="1"/>
  <c r="K77" i="1"/>
  <c r="L77" i="1"/>
  <c r="M77" i="1"/>
  <c r="P77" i="1"/>
  <c r="V77" i="1"/>
  <c r="Y77" i="1"/>
  <c r="Z77" i="1"/>
  <c r="AG77" i="1"/>
  <c r="AI77" i="1"/>
  <c r="AJ77" i="1"/>
  <c r="A78" i="1"/>
  <c r="B78" i="1"/>
  <c r="C78" i="1"/>
  <c r="E78" i="1"/>
  <c r="I78" i="1"/>
  <c r="J78" i="1"/>
  <c r="K78" i="1"/>
  <c r="L78" i="1"/>
  <c r="M78" i="1"/>
  <c r="P78" i="1"/>
  <c r="V78" i="1"/>
  <c r="Y78" i="1"/>
  <c r="Z78" i="1"/>
  <c r="AG78" i="1"/>
  <c r="AI78" i="1"/>
  <c r="AJ78" i="1"/>
  <c r="A79" i="1"/>
  <c r="B79" i="1"/>
  <c r="C79" i="1"/>
  <c r="E79" i="1"/>
  <c r="I79" i="1"/>
  <c r="J79" i="1"/>
  <c r="K79" i="1"/>
  <c r="L79" i="1"/>
  <c r="M79" i="1"/>
  <c r="P79" i="1"/>
  <c r="V79" i="1"/>
  <c r="Y79" i="1"/>
  <c r="Z79" i="1"/>
  <c r="AG79" i="1"/>
  <c r="AI79" i="1"/>
  <c r="AJ79" i="1"/>
  <c r="A80" i="1"/>
  <c r="B80" i="1"/>
  <c r="C80" i="1"/>
  <c r="E80" i="1"/>
  <c r="I80" i="1"/>
  <c r="J80" i="1"/>
  <c r="K80" i="1"/>
  <c r="L80" i="1"/>
  <c r="M80" i="1"/>
  <c r="P80" i="1"/>
  <c r="V80" i="1"/>
  <c r="Y80" i="1"/>
  <c r="Z80" i="1"/>
  <c r="AG80" i="1"/>
  <c r="AI80" i="1"/>
  <c r="AJ80" i="1"/>
  <c r="A81" i="1"/>
  <c r="B81" i="1"/>
  <c r="C81" i="1"/>
  <c r="E81" i="1"/>
  <c r="I81" i="1"/>
  <c r="J81" i="1"/>
  <c r="K81" i="1"/>
  <c r="L81" i="1"/>
  <c r="M81" i="1"/>
  <c r="P81" i="1"/>
  <c r="V81" i="1"/>
  <c r="Y81" i="1"/>
  <c r="Z81" i="1"/>
  <c r="AG81" i="1"/>
  <c r="AI81" i="1"/>
  <c r="AJ81" i="1"/>
  <c r="A82" i="1"/>
  <c r="B82" i="1"/>
  <c r="C82" i="1"/>
  <c r="E82" i="1"/>
  <c r="I82" i="1"/>
  <c r="J82" i="1"/>
  <c r="K82" i="1"/>
  <c r="L82" i="1"/>
  <c r="M82" i="1"/>
  <c r="P82" i="1"/>
  <c r="V82" i="1"/>
  <c r="Y82" i="1"/>
  <c r="Z82" i="1"/>
  <c r="AG82" i="1"/>
  <c r="AI82" i="1"/>
  <c r="AJ82" i="1"/>
  <c r="A83" i="1"/>
  <c r="B83" i="1"/>
  <c r="C83" i="1"/>
  <c r="E83" i="1"/>
  <c r="I83" i="1"/>
  <c r="J83" i="1"/>
  <c r="K83" i="1"/>
  <c r="L83" i="1"/>
  <c r="M83" i="1"/>
  <c r="P83" i="1"/>
  <c r="V83" i="1"/>
  <c r="Y83" i="1"/>
  <c r="Z83" i="1"/>
  <c r="AG83" i="1"/>
  <c r="AI83" i="1"/>
  <c r="AJ83" i="1"/>
  <c r="A84" i="1"/>
  <c r="B84" i="1"/>
  <c r="C84" i="1"/>
  <c r="E84" i="1"/>
  <c r="I84" i="1"/>
  <c r="J84" i="1"/>
  <c r="K84" i="1"/>
  <c r="L84" i="1"/>
  <c r="M84" i="1"/>
  <c r="P84" i="1"/>
  <c r="V84" i="1"/>
  <c r="Y84" i="1"/>
  <c r="Z84" i="1"/>
  <c r="AG84" i="1"/>
  <c r="AI84" i="1"/>
  <c r="AJ84" i="1"/>
  <c r="A85" i="1"/>
  <c r="B85" i="1"/>
  <c r="C85" i="1"/>
  <c r="E85" i="1"/>
  <c r="I85" i="1"/>
  <c r="J85" i="1"/>
  <c r="K85" i="1"/>
  <c r="L85" i="1"/>
  <c r="M85" i="1"/>
  <c r="P85" i="1"/>
  <c r="V85" i="1"/>
  <c r="Y85" i="1"/>
  <c r="Z85" i="1"/>
  <c r="AG85" i="1"/>
  <c r="AI85" i="1"/>
  <c r="AJ85" i="1"/>
  <c r="A86" i="1"/>
  <c r="B86" i="1"/>
  <c r="C86" i="1"/>
  <c r="E86" i="1"/>
  <c r="I86" i="1"/>
  <c r="J86" i="1"/>
  <c r="K86" i="1"/>
  <c r="L86" i="1"/>
  <c r="M86" i="1"/>
  <c r="P86" i="1"/>
  <c r="V86" i="1"/>
  <c r="Y86" i="1"/>
  <c r="Z86" i="1"/>
  <c r="AG86" i="1"/>
  <c r="AI86" i="1"/>
  <c r="AJ86" i="1"/>
  <c r="A87" i="1"/>
  <c r="B87" i="1"/>
  <c r="C87" i="1"/>
  <c r="E87" i="1"/>
  <c r="I87" i="1"/>
  <c r="J87" i="1"/>
  <c r="K87" i="1"/>
  <c r="L87" i="1"/>
  <c r="M87" i="1"/>
  <c r="P87" i="1"/>
  <c r="V87" i="1"/>
  <c r="Y87" i="1"/>
  <c r="Z87" i="1"/>
  <c r="AG87" i="1"/>
  <c r="AI87" i="1"/>
  <c r="AJ87" i="1"/>
  <c r="A88" i="1"/>
  <c r="B88" i="1"/>
  <c r="C88" i="1"/>
  <c r="E88" i="1"/>
  <c r="I88" i="1"/>
  <c r="J88" i="1"/>
  <c r="K88" i="1"/>
  <c r="L88" i="1"/>
  <c r="M88" i="1"/>
  <c r="P88" i="1"/>
  <c r="V88" i="1"/>
  <c r="Y88" i="1"/>
  <c r="Z88" i="1"/>
  <c r="AG88" i="1"/>
  <c r="AI88" i="1"/>
  <c r="AJ88" i="1"/>
  <c r="A89" i="1"/>
  <c r="B89" i="1"/>
  <c r="C89" i="1"/>
  <c r="E89" i="1"/>
  <c r="I89" i="1"/>
  <c r="J89" i="1"/>
  <c r="K89" i="1"/>
  <c r="L89" i="1"/>
  <c r="M89" i="1"/>
  <c r="P89" i="1"/>
  <c r="V89" i="1"/>
  <c r="Y89" i="1"/>
  <c r="Z89" i="1"/>
  <c r="AG89" i="1"/>
  <c r="AI89" i="1"/>
  <c r="AJ89" i="1"/>
  <c r="A90" i="1"/>
  <c r="B90" i="1"/>
  <c r="C90" i="1"/>
  <c r="E90" i="1"/>
  <c r="I90" i="1"/>
  <c r="J90" i="1"/>
  <c r="K90" i="1"/>
  <c r="L90" i="1"/>
  <c r="M90" i="1"/>
  <c r="P90" i="1"/>
  <c r="V90" i="1"/>
  <c r="Y90" i="1"/>
  <c r="Z90" i="1"/>
  <c r="AG90" i="1"/>
  <c r="AI90" i="1"/>
  <c r="AJ90" i="1"/>
  <c r="A91" i="1"/>
  <c r="B91" i="1"/>
  <c r="C91" i="1"/>
  <c r="E91" i="1"/>
  <c r="I91" i="1"/>
  <c r="J91" i="1"/>
  <c r="K91" i="1"/>
  <c r="L91" i="1"/>
  <c r="M91" i="1"/>
  <c r="P91" i="1"/>
  <c r="V91" i="1"/>
  <c r="Y91" i="1"/>
  <c r="Z91" i="1"/>
  <c r="AG91" i="1"/>
  <c r="AI91" i="1"/>
  <c r="AJ91" i="1"/>
  <c r="A92" i="1"/>
  <c r="B92" i="1"/>
  <c r="C92" i="1"/>
  <c r="E92" i="1"/>
  <c r="I92" i="1"/>
  <c r="J92" i="1"/>
  <c r="K92" i="1"/>
  <c r="L92" i="1"/>
  <c r="M92" i="1"/>
  <c r="P92" i="1"/>
  <c r="V92" i="1"/>
  <c r="Y92" i="1"/>
  <c r="Z92" i="1"/>
  <c r="AG92" i="1"/>
  <c r="AI92" i="1"/>
  <c r="AJ92" i="1"/>
  <c r="A93" i="1"/>
  <c r="B93" i="1"/>
  <c r="C93" i="1"/>
  <c r="E93" i="1"/>
  <c r="I93" i="1"/>
  <c r="J93" i="1"/>
  <c r="K93" i="1"/>
  <c r="L93" i="1"/>
  <c r="M93" i="1"/>
  <c r="P93" i="1"/>
  <c r="V93" i="1"/>
  <c r="Y93" i="1"/>
  <c r="Z93" i="1"/>
  <c r="AG93" i="1"/>
  <c r="AI93" i="1"/>
  <c r="AJ93" i="1"/>
  <c r="A94" i="1"/>
  <c r="B94" i="1"/>
  <c r="C94" i="1"/>
  <c r="E94" i="1"/>
  <c r="I94" i="1"/>
  <c r="J94" i="1"/>
  <c r="K94" i="1"/>
  <c r="L94" i="1"/>
  <c r="M94" i="1"/>
  <c r="P94" i="1"/>
  <c r="V94" i="1"/>
  <c r="Y94" i="1"/>
  <c r="Z94" i="1"/>
  <c r="AG94" i="1"/>
  <c r="AI94" i="1"/>
  <c r="AJ94" i="1"/>
  <c r="A95" i="1"/>
  <c r="B95" i="1"/>
  <c r="C95" i="1"/>
  <c r="E95" i="1"/>
  <c r="I95" i="1"/>
  <c r="J95" i="1"/>
  <c r="K95" i="1"/>
  <c r="L95" i="1"/>
  <c r="M95" i="1"/>
  <c r="P95" i="1"/>
  <c r="V95" i="1"/>
  <c r="Y95" i="1"/>
  <c r="Z95" i="1"/>
  <c r="AG95" i="1"/>
  <c r="AI95" i="1"/>
  <c r="AJ95" i="1"/>
  <c r="A96" i="1"/>
  <c r="B96" i="1"/>
  <c r="C96" i="1"/>
  <c r="E96" i="1"/>
  <c r="I96" i="1"/>
  <c r="J96" i="1"/>
  <c r="K96" i="1"/>
  <c r="L96" i="1"/>
  <c r="M96" i="1"/>
  <c r="P96" i="1"/>
  <c r="V96" i="1"/>
  <c r="Y96" i="1"/>
  <c r="Z96" i="1"/>
  <c r="AG96" i="1"/>
  <c r="AI96" i="1"/>
  <c r="AJ96" i="1"/>
  <c r="A97" i="1"/>
  <c r="B97" i="1"/>
  <c r="C97" i="1"/>
  <c r="E97" i="1"/>
  <c r="I97" i="1"/>
  <c r="J97" i="1"/>
  <c r="K97" i="1"/>
  <c r="L97" i="1"/>
  <c r="M97" i="1"/>
  <c r="P97" i="1"/>
  <c r="V97" i="1"/>
  <c r="Y97" i="1"/>
  <c r="Z97" i="1"/>
  <c r="AG97" i="1"/>
  <c r="AI97" i="1"/>
  <c r="AJ97" i="1"/>
  <c r="A98" i="1"/>
  <c r="B98" i="1"/>
  <c r="C98" i="1"/>
  <c r="E98" i="1"/>
  <c r="I98" i="1"/>
  <c r="J98" i="1"/>
  <c r="K98" i="1"/>
  <c r="L98" i="1"/>
  <c r="M98" i="1"/>
  <c r="P98" i="1"/>
  <c r="V98" i="1"/>
  <c r="Y98" i="1"/>
  <c r="Z98" i="1"/>
  <c r="AG98" i="1"/>
  <c r="AI98" i="1"/>
  <c r="AJ98" i="1"/>
  <c r="A99" i="1"/>
  <c r="B99" i="1"/>
  <c r="C99" i="1"/>
  <c r="E99" i="1"/>
  <c r="I99" i="1"/>
  <c r="J99" i="1"/>
  <c r="K99" i="1"/>
  <c r="L99" i="1"/>
  <c r="M99" i="1"/>
  <c r="P99" i="1"/>
  <c r="V99" i="1"/>
  <c r="Y99" i="1"/>
  <c r="Z99" i="1"/>
  <c r="AG99" i="1"/>
  <c r="AI99" i="1"/>
  <c r="AJ99" i="1"/>
  <c r="A100" i="1"/>
  <c r="B100" i="1"/>
  <c r="C100" i="1"/>
  <c r="E100" i="1"/>
  <c r="I100" i="1"/>
  <c r="J100" i="1"/>
  <c r="K100" i="1"/>
  <c r="L100" i="1"/>
  <c r="M100" i="1"/>
  <c r="P100" i="1"/>
  <c r="V100" i="1"/>
  <c r="Y100" i="1"/>
  <c r="Z100" i="1"/>
  <c r="AG100" i="1"/>
  <c r="AI100" i="1"/>
  <c r="AJ100" i="1"/>
  <c r="A101" i="1"/>
  <c r="B101" i="1"/>
  <c r="C101" i="1"/>
  <c r="E101" i="1"/>
  <c r="I101" i="1"/>
  <c r="J101" i="1"/>
  <c r="K101" i="1"/>
  <c r="L101" i="1"/>
  <c r="M101" i="1"/>
  <c r="P101" i="1"/>
  <c r="V101" i="1"/>
  <c r="Y101" i="1"/>
  <c r="Z101" i="1"/>
  <c r="AG101" i="1"/>
  <c r="AI101" i="1"/>
  <c r="AJ101" i="1"/>
  <c r="A102" i="1"/>
  <c r="B102" i="1"/>
  <c r="C102" i="1"/>
  <c r="E102" i="1"/>
  <c r="I102" i="1"/>
  <c r="J102" i="1"/>
  <c r="K102" i="1"/>
  <c r="L102" i="1"/>
  <c r="M102" i="1"/>
  <c r="P102" i="1"/>
  <c r="V102" i="1"/>
  <c r="Y102" i="1"/>
  <c r="Z102" i="1"/>
  <c r="AG102" i="1"/>
  <c r="AI102" i="1"/>
  <c r="AJ102" i="1"/>
  <c r="A103" i="1"/>
  <c r="B103" i="1"/>
  <c r="C103" i="1"/>
  <c r="E103" i="1"/>
  <c r="I103" i="1"/>
  <c r="J103" i="1"/>
  <c r="K103" i="1"/>
  <c r="L103" i="1"/>
  <c r="M103" i="1"/>
  <c r="P103" i="1"/>
  <c r="V103" i="1"/>
  <c r="Y103" i="1"/>
  <c r="Z103" i="1"/>
  <c r="AG103" i="1"/>
  <c r="AI103" i="1"/>
  <c r="AJ103" i="1"/>
  <c r="A36" i="1"/>
  <c r="B36" i="1"/>
  <c r="C36" i="1"/>
  <c r="E36" i="1"/>
  <c r="I36" i="1"/>
  <c r="J36" i="1"/>
  <c r="K36" i="1"/>
  <c r="L36" i="1"/>
  <c r="M36" i="1"/>
  <c r="P36" i="1"/>
  <c r="V36" i="1"/>
  <c r="Y36" i="1"/>
  <c r="Z36" i="1"/>
  <c r="AG36" i="1"/>
  <c r="AI36" i="1"/>
  <c r="AJ36" i="1"/>
  <c r="A37" i="1"/>
  <c r="B37" i="1"/>
  <c r="C37" i="1"/>
  <c r="E37" i="1"/>
  <c r="I37" i="1"/>
  <c r="J37" i="1"/>
  <c r="K37" i="1"/>
  <c r="L37" i="1"/>
  <c r="M37" i="1"/>
  <c r="P37" i="1"/>
  <c r="V37" i="1"/>
  <c r="Y37" i="1"/>
  <c r="Z37" i="1"/>
  <c r="AG37" i="1"/>
  <c r="AI37" i="1"/>
  <c r="AJ37" i="1"/>
  <c r="W68" i="2" l="1"/>
  <c r="W80" i="2"/>
  <c r="W44" i="2"/>
  <c r="W82" i="2"/>
  <c r="W77" i="2"/>
  <c r="AC59" i="2"/>
  <c r="V99" i="2"/>
  <c r="W94" i="2"/>
  <c r="W90" i="2"/>
  <c r="U83" i="2"/>
  <c r="AC75" i="2"/>
  <c r="W52" i="2"/>
  <c r="AC54" i="2"/>
  <c r="AC99" i="2"/>
  <c r="V90" i="2"/>
  <c r="V78" i="2"/>
  <c r="W72" i="2"/>
  <c r="W67" i="2"/>
  <c r="W55" i="2"/>
  <c r="W54" i="2"/>
  <c r="V52" i="2"/>
  <c r="N41" i="12"/>
  <c r="O41" i="12"/>
  <c r="O39" i="12"/>
  <c r="N39" i="12"/>
  <c r="N37" i="12"/>
  <c r="O37" i="12"/>
  <c r="N42" i="12"/>
  <c r="O42" i="12"/>
  <c r="O40" i="12"/>
  <c r="N40" i="12"/>
  <c r="O38" i="12"/>
  <c r="N38" i="12"/>
  <c r="O36" i="12"/>
  <c r="N36" i="12"/>
  <c r="W100" i="2"/>
  <c r="W99" i="2"/>
  <c r="W98" i="2"/>
  <c r="V86" i="2"/>
  <c r="AC68" i="2"/>
  <c r="W58" i="2"/>
  <c r="V50" i="2"/>
  <c r="V68" i="2"/>
  <c r="V56" i="2"/>
  <c r="V82" i="2"/>
  <c r="U43" i="2"/>
  <c r="V98" i="2"/>
  <c r="V94" i="2"/>
  <c r="U91" i="2"/>
  <c r="U87" i="2"/>
  <c r="W76" i="2"/>
  <c r="V74" i="2"/>
  <c r="U71" i="2"/>
  <c r="V70" i="2"/>
  <c r="V58" i="2"/>
  <c r="V54" i="2"/>
  <c r="U45" i="2"/>
  <c r="W96" i="2"/>
  <c r="AC91" i="2"/>
  <c r="AC87" i="2"/>
  <c r="AC71" i="2"/>
  <c r="W61" i="2"/>
  <c r="AC45" i="2"/>
  <c r="U95" i="2"/>
  <c r="W88" i="2"/>
  <c r="AC83" i="2"/>
  <c r="AC79" i="2"/>
  <c r="U75" i="2"/>
  <c r="W70" i="2"/>
  <c r="W69" i="2"/>
  <c r="W64" i="2"/>
  <c r="W62" i="2"/>
  <c r="U59" i="2"/>
  <c r="W57" i="2"/>
  <c r="W53" i="2"/>
  <c r="AC50" i="2"/>
  <c r="W50" i="2"/>
  <c r="W48" i="2"/>
  <c r="AC43" i="2"/>
  <c r="W38" i="2"/>
  <c r="W36" i="2"/>
  <c r="N100" i="12"/>
  <c r="N100" i="2" s="1"/>
  <c r="O100" i="12"/>
  <c r="O100" i="2" s="1"/>
  <c r="O97" i="12"/>
  <c r="O97" i="2" s="1"/>
  <c r="N97" i="12"/>
  <c r="N97" i="2" s="1"/>
  <c r="U96" i="2"/>
  <c r="V96" i="2"/>
  <c r="N92" i="12"/>
  <c r="N92" i="2" s="1"/>
  <c r="O92" i="12"/>
  <c r="O92" i="2" s="1"/>
  <c r="N86" i="12"/>
  <c r="N86" i="2" s="1"/>
  <c r="O86" i="12"/>
  <c r="O86" i="2" s="1"/>
  <c r="U84" i="2"/>
  <c r="V84" i="2"/>
  <c r="O81" i="12"/>
  <c r="O81" i="2" s="1"/>
  <c r="N81" i="12"/>
  <c r="N81" i="2" s="1"/>
  <c r="U80" i="2"/>
  <c r="V80" i="2"/>
  <c r="N76" i="12"/>
  <c r="N76" i="2" s="1"/>
  <c r="O76" i="12"/>
  <c r="O76" i="2" s="1"/>
  <c r="V73" i="2"/>
  <c r="U73" i="2"/>
  <c r="V65" i="2"/>
  <c r="U65" i="2"/>
  <c r="U60" i="2"/>
  <c r="V60" i="2"/>
  <c r="N56" i="12"/>
  <c r="N56" i="2" s="1"/>
  <c r="O56" i="12"/>
  <c r="O56" i="2" s="1"/>
  <c r="V55" i="2"/>
  <c r="AC55" i="2"/>
  <c r="N54" i="12"/>
  <c r="N54" i="2" s="1"/>
  <c r="O54" i="12"/>
  <c r="O54" i="2" s="1"/>
  <c r="O53" i="12"/>
  <c r="O53" i="2" s="1"/>
  <c r="N53" i="12"/>
  <c r="N53" i="2" s="1"/>
  <c r="N103" i="12"/>
  <c r="N103" i="2" s="1"/>
  <c r="O103" i="12"/>
  <c r="O103" i="2" s="1"/>
  <c r="N99" i="12"/>
  <c r="N99" i="2" s="1"/>
  <c r="O99" i="12"/>
  <c r="O99" i="2" s="1"/>
  <c r="N96" i="12"/>
  <c r="N96" i="2" s="1"/>
  <c r="O96" i="12"/>
  <c r="O96" i="2" s="1"/>
  <c r="W92" i="2"/>
  <c r="N90" i="12"/>
  <c r="N90" i="2" s="1"/>
  <c r="O90" i="12"/>
  <c r="O90" i="2" s="1"/>
  <c r="N83" i="12"/>
  <c r="N83" i="2" s="1"/>
  <c r="O83" i="12"/>
  <c r="O83" i="2" s="1"/>
  <c r="N80" i="12"/>
  <c r="N80" i="2" s="1"/>
  <c r="O80" i="12"/>
  <c r="O80" i="2" s="1"/>
  <c r="O73" i="12"/>
  <c r="O73" i="2" s="1"/>
  <c r="N73" i="12"/>
  <c r="N73" i="2" s="1"/>
  <c r="N70" i="12"/>
  <c r="N70" i="2" s="1"/>
  <c r="O70" i="12"/>
  <c r="O70" i="2" s="1"/>
  <c r="V69" i="2"/>
  <c r="AC69" i="2"/>
  <c r="N59" i="12"/>
  <c r="N59" i="2" s="1"/>
  <c r="O59" i="12"/>
  <c r="O59" i="2" s="1"/>
  <c r="AC51" i="2"/>
  <c r="N102" i="12"/>
  <c r="N102" i="2" s="1"/>
  <c r="O102" i="12"/>
  <c r="O102" i="2" s="1"/>
  <c r="N94" i="12"/>
  <c r="N94" i="2" s="1"/>
  <c r="O94" i="12"/>
  <c r="O94" i="2" s="1"/>
  <c r="U92" i="2"/>
  <c r="V92" i="2"/>
  <c r="O89" i="12"/>
  <c r="O89" i="2" s="1"/>
  <c r="N89" i="12"/>
  <c r="N89" i="2" s="1"/>
  <c r="U88" i="2"/>
  <c r="V88" i="2"/>
  <c r="N84" i="12"/>
  <c r="N84" i="2" s="1"/>
  <c r="O84" i="12"/>
  <c r="O84" i="2" s="1"/>
  <c r="N78" i="12"/>
  <c r="N78" i="2" s="1"/>
  <c r="O78" i="12"/>
  <c r="O78" i="2" s="1"/>
  <c r="V77" i="2"/>
  <c r="AC77" i="2"/>
  <c r="AC73" i="2"/>
  <c r="U72" i="2"/>
  <c r="V72" i="2"/>
  <c r="N71" i="12"/>
  <c r="N71" i="2" s="1"/>
  <c r="O71" i="12"/>
  <c r="O71" i="2" s="1"/>
  <c r="O69" i="12"/>
  <c r="O69" i="2" s="1"/>
  <c r="N69" i="12"/>
  <c r="N69" i="2" s="1"/>
  <c r="N67" i="12"/>
  <c r="N67" i="2" s="1"/>
  <c r="O67" i="12"/>
  <c r="O67" i="2" s="1"/>
  <c r="AC65" i="2"/>
  <c r="U64" i="2"/>
  <c r="V64" i="2"/>
  <c r="N60" i="12"/>
  <c r="N60" i="2" s="1"/>
  <c r="O60" i="12"/>
  <c r="O60" i="2" s="1"/>
  <c r="V57" i="2"/>
  <c r="AC57" i="2"/>
  <c r="U57" i="2"/>
  <c r="O49" i="12"/>
  <c r="N49" i="12"/>
  <c r="U46" i="2"/>
  <c r="V46" i="2"/>
  <c r="N46" i="12"/>
  <c r="O46" i="12"/>
  <c r="N98" i="12"/>
  <c r="N98" i="2" s="1"/>
  <c r="O98" i="12"/>
  <c r="O98" i="2" s="1"/>
  <c r="N91" i="12"/>
  <c r="N91" i="2" s="1"/>
  <c r="O91" i="12"/>
  <c r="O91" i="2" s="1"/>
  <c r="N88" i="12"/>
  <c r="N88" i="2" s="1"/>
  <c r="O88" i="12"/>
  <c r="O88" i="2" s="1"/>
  <c r="W84" i="2"/>
  <c r="N82" i="12"/>
  <c r="N82" i="2" s="1"/>
  <c r="O82" i="12"/>
  <c r="O82" i="2" s="1"/>
  <c r="W73" i="2"/>
  <c r="V66" i="2"/>
  <c r="AC64" i="2"/>
  <c r="N64" i="12"/>
  <c r="N64" i="2" s="1"/>
  <c r="O64" i="12"/>
  <c r="O64" i="2" s="1"/>
  <c r="V63" i="2"/>
  <c r="AC63" i="2"/>
  <c r="U62" i="2"/>
  <c r="V62" i="2"/>
  <c r="V61" i="2"/>
  <c r="U61" i="2"/>
  <c r="AC61" i="2"/>
  <c r="W60" i="2"/>
  <c r="N58" i="12"/>
  <c r="N58" i="2" s="1"/>
  <c r="O58" i="12"/>
  <c r="O58" i="2" s="1"/>
  <c r="O57" i="12"/>
  <c r="O57" i="2" s="1"/>
  <c r="N57" i="12"/>
  <c r="N57" i="2" s="1"/>
  <c r="U55" i="2"/>
  <c r="V53" i="2"/>
  <c r="AC53" i="2"/>
  <c r="U53" i="2"/>
  <c r="N52" i="12"/>
  <c r="N52" i="2" s="1"/>
  <c r="O52" i="12"/>
  <c r="O52" i="2" s="1"/>
  <c r="U51" i="2"/>
  <c r="N50" i="12"/>
  <c r="O50" i="12"/>
  <c r="U48" i="2"/>
  <c r="V48" i="2"/>
  <c r="N48" i="12"/>
  <c r="O48" i="12"/>
  <c r="O45" i="12"/>
  <c r="N45" i="12"/>
  <c r="U44" i="2"/>
  <c r="AC44" i="2"/>
  <c r="N44" i="12"/>
  <c r="O44" i="12"/>
  <c r="W102" i="2"/>
  <c r="O101" i="12"/>
  <c r="O101" i="2" s="1"/>
  <c r="N101" i="12"/>
  <c r="N101" i="2" s="1"/>
  <c r="N95" i="12"/>
  <c r="N95" i="2" s="1"/>
  <c r="O95" i="12"/>
  <c r="O95" i="2" s="1"/>
  <c r="O93" i="12"/>
  <c r="O93" i="2" s="1"/>
  <c r="N93" i="12"/>
  <c r="N93" i="2" s="1"/>
  <c r="N87" i="12"/>
  <c r="N87" i="2" s="1"/>
  <c r="O87" i="12"/>
  <c r="O87" i="2" s="1"/>
  <c r="O85" i="12"/>
  <c r="O85" i="2" s="1"/>
  <c r="N85" i="12"/>
  <c r="N85" i="2" s="1"/>
  <c r="N79" i="12"/>
  <c r="N79" i="2" s="1"/>
  <c r="O79" i="12"/>
  <c r="O79" i="2" s="1"/>
  <c r="O77" i="12"/>
  <c r="O77" i="2" s="1"/>
  <c r="N77" i="12"/>
  <c r="N77" i="2" s="1"/>
  <c r="W74" i="2"/>
  <c r="N72" i="12"/>
  <c r="N72" i="2" s="1"/>
  <c r="O72" i="12"/>
  <c r="O72" i="2" s="1"/>
  <c r="N68" i="12"/>
  <c r="N68" i="2" s="1"/>
  <c r="O68" i="12"/>
  <c r="O68" i="2" s="1"/>
  <c r="V67" i="2"/>
  <c r="AC67" i="2"/>
  <c r="N66" i="12"/>
  <c r="N66" i="2" s="1"/>
  <c r="O66" i="12"/>
  <c r="O66" i="2" s="1"/>
  <c r="O61" i="12"/>
  <c r="O61" i="2" s="1"/>
  <c r="N61" i="12"/>
  <c r="N61" i="2" s="1"/>
  <c r="N55" i="12"/>
  <c r="N55" i="2" s="1"/>
  <c r="O55" i="12"/>
  <c r="O55" i="2" s="1"/>
  <c r="W46" i="2"/>
  <c r="W103" i="2"/>
  <c r="W101" i="2"/>
  <c r="W97" i="2"/>
  <c r="W93" i="2"/>
  <c r="W89" i="2"/>
  <c r="W85" i="2"/>
  <c r="W81" i="2"/>
  <c r="N75" i="12"/>
  <c r="N75" i="2" s="1"/>
  <c r="O75" i="12"/>
  <c r="O75" i="2" s="1"/>
  <c r="N74" i="12"/>
  <c r="N74" i="2" s="1"/>
  <c r="O74" i="12"/>
  <c r="O74" i="2" s="1"/>
  <c r="O65" i="12"/>
  <c r="O65" i="2" s="1"/>
  <c r="N65" i="12"/>
  <c r="N65" i="2" s="1"/>
  <c r="N63" i="12"/>
  <c r="N63" i="2" s="1"/>
  <c r="O63" i="12"/>
  <c r="O63" i="2" s="1"/>
  <c r="N62" i="12"/>
  <c r="N62" i="2" s="1"/>
  <c r="O62" i="12"/>
  <c r="O62" i="2" s="1"/>
  <c r="N51" i="12"/>
  <c r="N51" i="2" s="1"/>
  <c r="O51" i="12"/>
  <c r="O51" i="2" s="1"/>
  <c r="N47" i="12"/>
  <c r="O47" i="12"/>
  <c r="O47" i="2" s="1"/>
  <c r="N43" i="12"/>
  <c r="N43" i="2" s="1"/>
  <c r="O43" i="12"/>
  <c r="O43" i="2" s="1"/>
  <c r="N41" i="2"/>
  <c r="N37" i="2"/>
  <c r="N49" i="2"/>
  <c r="O49" i="2"/>
  <c r="N47" i="2"/>
  <c r="O36" i="2"/>
  <c r="N36" i="2"/>
  <c r="N50" i="2"/>
  <c r="O50" i="2"/>
  <c r="U49" i="2"/>
  <c r="O48" i="2"/>
  <c r="N48" i="2"/>
  <c r="U47" i="2"/>
  <c r="W45" i="2"/>
  <c r="N45" i="2"/>
  <c r="O45" i="2"/>
  <c r="W43" i="2"/>
  <c r="N46" i="2"/>
  <c r="O46" i="2"/>
  <c r="O44" i="2"/>
  <c r="N44" i="2"/>
  <c r="O42" i="2"/>
  <c r="N42" i="2"/>
  <c r="O41" i="2"/>
  <c r="O40" i="2"/>
  <c r="N40" i="2"/>
  <c r="O39" i="2"/>
  <c r="N39" i="2"/>
  <c r="AC49" i="2"/>
  <c r="AC47" i="2"/>
  <c r="AC46" i="2"/>
  <c r="V44" i="2"/>
  <c r="O38" i="2"/>
  <c r="N38" i="2"/>
  <c r="O37" i="2"/>
  <c r="W42" i="2"/>
  <c r="W40" i="2"/>
  <c r="AC38" i="2"/>
  <c r="Z38" i="2" s="1"/>
  <c r="V38" i="2"/>
  <c r="Z41" i="2"/>
  <c r="U39" i="2"/>
  <c r="U37" i="2"/>
  <c r="V36" i="2"/>
  <c r="V42" i="2"/>
  <c r="V41" i="2"/>
  <c r="Z40" i="2"/>
  <c r="V40" i="2"/>
  <c r="AC39" i="2"/>
  <c r="Z39" i="2" s="1"/>
  <c r="AC37" i="2"/>
  <c r="Z37" i="2" s="1"/>
  <c r="V103" i="2"/>
  <c r="V101" i="2"/>
  <c r="AC103" i="2"/>
  <c r="AC101" i="2"/>
  <c r="AC97" i="2"/>
  <c r="W95" i="2"/>
  <c r="U93" i="2"/>
  <c r="AC89" i="2"/>
  <c r="W87" i="2"/>
  <c r="U85" i="2"/>
  <c r="AC81" i="2"/>
  <c r="W79" i="2"/>
  <c r="W71" i="2"/>
  <c r="W59" i="2"/>
  <c r="V102" i="2"/>
  <c r="V100" i="2"/>
  <c r="AC102" i="2"/>
  <c r="AC100" i="2"/>
  <c r="U97" i="2"/>
  <c r="AC93" i="2"/>
  <c r="W91" i="2"/>
  <c r="U89" i="2"/>
  <c r="AC85" i="2"/>
  <c r="W83" i="2"/>
  <c r="U81" i="2"/>
  <c r="W75" i="2"/>
  <c r="W65" i="2"/>
  <c r="W63" i="2"/>
  <c r="W51" i="2"/>
  <c r="W49" i="2"/>
  <c r="W47" i="2"/>
  <c r="W41" i="2"/>
  <c r="W39" i="2"/>
  <c r="W37" i="2"/>
  <c r="AC98" i="2"/>
  <c r="AC96" i="2"/>
  <c r="AC94" i="2"/>
  <c r="AC92" i="2"/>
  <c r="AC90" i="2"/>
  <c r="AC88" i="2"/>
  <c r="AC86" i="2"/>
  <c r="AC84" i="2"/>
  <c r="AC82" i="2"/>
  <c r="AC80" i="2"/>
  <c r="AC78" i="2"/>
  <c r="AC76" i="2"/>
  <c r="AC74" i="2"/>
  <c r="AC72" i="2"/>
  <c r="AC70" i="2"/>
  <c r="AC66" i="2"/>
  <c r="AC62" i="2"/>
  <c r="AC60" i="2"/>
  <c r="AC58" i="2"/>
  <c r="AC52" i="2"/>
  <c r="AC42" i="2"/>
  <c r="Z42" i="2" s="1"/>
  <c r="AC36" i="2"/>
  <c r="Z36" i="2" s="1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C35" i="5"/>
  <c r="B35" i="5"/>
  <c r="A35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C34" i="5"/>
  <c r="B34" i="5"/>
  <c r="A34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C33" i="5"/>
  <c r="B33" i="5"/>
  <c r="A33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C32" i="5"/>
  <c r="B32" i="5"/>
  <c r="A32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C31" i="5"/>
  <c r="B31" i="5"/>
  <c r="A31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C30" i="5"/>
  <c r="B30" i="5"/>
  <c r="A30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C29" i="5"/>
  <c r="B29" i="5"/>
  <c r="A29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C28" i="5"/>
  <c r="B28" i="5"/>
  <c r="A28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C27" i="5"/>
  <c r="B27" i="5"/>
  <c r="A27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C26" i="5"/>
  <c r="B26" i="5"/>
  <c r="A26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C25" i="5"/>
  <c r="B25" i="5"/>
  <c r="A25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C24" i="5"/>
  <c r="B24" i="5"/>
  <c r="A24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C23" i="5"/>
  <c r="B23" i="5"/>
  <c r="A23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C22" i="5"/>
  <c r="B22" i="5"/>
  <c r="A22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C21" i="5"/>
  <c r="B21" i="5"/>
  <c r="A21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C20" i="5"/>
  <c r="B20" i="5"/>
  <c r="A20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C19" i="5"/>
  <c r="B19" i="5"/>
  <c r="A19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C18" i="5"/>
  <c r="B18" i="5"/>
  <c r="A18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C17" i="5"/>
  <c r="B17" i="5"/>
  <c r="A17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C16" i="5"/>
  <c r="B16" i="5"/>
  <c r="A16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C15" i="5"/>
  <c r="B15" i="5"/>
  <c r="A15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C14" i="5"/>
  <c r="B14" i="5"/>
  <c r="A14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C13" i="5"/>
  <c r="B13" i="5"/>
  <c r="A13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C12" i="5"/>
  <c r="B12" i="5"/>
  <c r="A12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C11" i="5"/>
  <c r="B11" i="5"/>
  <c r="A11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C10" i="5"/>
  <c r="B10" i="5"/>
  <c r="A10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C9" i="5"/>
  <c r="B9" i="5"/>
  <c r="A9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C8" i="5"/>
  <c r="B8" i="5"/>
  <c r="A8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C7" i="5"/>
  <c r="B7" i="5"/>
  <c r="A7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C6" i="5"/>
  <c r="B6" i="5"/>
  <c r="A6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C5" i="5"/>
  <c r="B5" i="5"/>
  <c r="A5" i="5"/>
  <c r="AG4" i="5"/>
  <c r="AF4" i="5"/>
  <c r="AE4" i="5"/>
  <c r="AD4" i="5"/>
  <c r="AC4" i="5"/>
  <c r="AA4" i="5"/>
  <c r="AP35" i="2"/>
  <c r="AO35" i="2"/>
  <c r="AN35" i="2"/>
  <c r="AM35" i="2"/>
  <c r="AJ35" i="2"/>
  <c r="AI35" i="2"/>
  <c r="AH35" i="2"/>
  <c r="AG35" i="2"/>
  <c r="AF35" i="2"/>
  <c r="AE35" i="2"/>
  <c r="AD35" i="2"/>
  <c r="AB35" i="2"/>
  <c r="AA35" i="2"/>
  <c r="Y35" i="2"/>
  <c r="X35" i="2"/>
  <c r="T35" i="2"/>
  <c r="AC35" i="2" s="1"/>
  <c r="S35" i="2"/>
  <c r="R35" i="2"/>
  <c r="Q35" i="2"/>
  <c r="P35" i="2"/>
  <c r="M35" i="2"/>
  <c r="L35" i="2"/>
  <c r="K35" i="2"/>
  <c r="J35" i="2"/>
  <c r="I35" i="2"/>
  <c r="F35" i="2"/>
  <c r="E35" i="2"/>
  <c r="C35" i="2"/>
  <c r="B35" i="2"/>
  <c r="A35" i="2"/>
  <c r="AP34" i="2"/>
  <c r="AO34" i="2"/>
  <c r="AN34" i="2"/>
  <c r="AM34" i="2"/>
  <c r="AJ34" i="2"/>
  <c r="AI34" i="2"/>
  <c r="AH34" i="2"/>
  <c r="AG34" i="2"/>
  <c r="AF34" i="2"/>
  <c r="AE34" i="2"/>
  <c r="AD34" i="2"/>
  <c r="AB34" i="2"/>
  <c r="AA34" i="2"/>
  <c r="Y34" i="2"/>
  <c r="X34" i="2"/>
  <c r="T34" i="2"/>
  <c r="S34" i="2"/>
  <c r="R34" i="2"/>
  <c r="Q34" i="2"/>
  <c r="P34" i="2"/>
  <c r="M34" i="2"/>
  <c r="L34" i="2"/>
  <c r="K34" i="2"/>
  <c r="J34" i="2"/>
  <c r="I34" i="2"/>
  <c r="F34" i="2"/>
  <c r="E34" i="2"/>
  <c r="C34" i="2"/>
  <c r="B34" i="2"/>
  <c r="A34" i="2"/>
  <c r="AP33" i="2"/>
  <c r="AO33" i="2"/>
  <c r="AN33" i="2"/>
  <c r="AM33" i="2"/>
  <c r="AJ33" i="2"/>
  <c r="AI33" i="2"/>
  <c r="AH33" i="2"/>
  <c r="AG33" i="2"/>
  <c r="AF33" i="2"/>
  <c r="AE33" i="2"/>
  <c r="AD33" i="2"/>
  <c r="AB33" i="2"/>
  <c r="AA33" i="2"/>
  <c r="Y33" i="2"/>
  <c r="X33" i="2"/>
  <c r="T33" i="2"/>
  <c r="AC33" i="2" s="1"/>
  <c r="S33" i="2"/>
  <c r="R33" i="2"/>
  <c r="Q33" i="2"/>
  <c r="P33" i="2"/>
  <c r="M33" i="2"/>
  <c r="L33" i="2"/>
  <c r="K33" i="2"/>
  <c r="J33" i="2"/>
  <c r="I33" i="2"/>
  <c r="F33" i="2"/>
  <c r="E33" i="2"/>
  <c r="C33" i="2"/>
  <c r="B33" i="2"/>
  <c r="A33" i="2"/>
  <c r="AP32" i="2"/>
  <c r="AO32" i="2"/>
  <c r="AN32" i="2"/>
  <c r="AM32" i="2"/>
  <c r="AJ32" i="2"/>
  <c r="AI32" i="2"/>
  <c r="AH32" i="2"/>
  <c r="AG32" i="2"/>
  <c r="AF32" i="2"/>
  <c r="AE32" i="2"/>
  <c r="AD32" i="2"/>
  <c r="AB32" i="2"/>
  <c r="AA32" i="2"/>
  <c r="Y32" i="2"/>
  <c r="X32" i="2"/>
  <c r="T32" i="2"/>
  <c r="S32" i="2"/>
  <c r="R32" i="2"/>
  <c r="Q32" i="2"/>
  <c r="P32" i="2"/>
  <c r="M32" i="2"/>
  <c r="L32" i="2"/>
  <c r="K32" i="2"/>
  <c r="J32" i="2"/>
  <c r="I32" i="2"/>
  <c r="F32" i="2"/>
  <c r="E32" i="2"/>
  <c r="C32" i="2"/>
  <c r="B32" i="2"/>
  <c r="A32" i="2"/>
  <c r="AP31" i="2"/>
  <c r="AO31" i="2"/>
  <c r="AN31" i="2"/>
  <c r="AM31" i="2"/>
  <c r="AJ31" i="2"/>
  <c r="AI31" i="2"/>
  <c r="AH31" i="2"/>
  <c r="AG31" i="2"/>
  <c r="AF31" i="2"/>
  <c r="AE31" i="2"/>
  <c r="AD31" i="2"/>
  <c r="AB31" i="2"/>
  <c r="AA31" i="2"/>
  <c r="Y31" i="2"/>
  <c r="X31" i="2"/>
  <c r="T31" i="2"/>
  <c r="S31" i="2"/>
  <c r="R31" i="2"/>
  <c r="Q31" i="2"/>
  <c r="P31" i="2"/>
  <c r="M31" i="2"/>
  <c r="L31" i="2"/>
  <c r="K31" i="2"/>
  <c r="J31" i="2"/>
  <c r="I31" i="2"/>
  <c r="F31" i="2"/>
  <c r="E31" i="2"/>
  <c r="C31" i="2"/>
  <c r="B31" i="2"/>
  <c r="A31" i="2"/>
  <c r="AP30" i="2"/>
  <c r="AO30" i="2"/>
  <c r="AN30" i="2"/>
  <c r="AM30" i="2"/>
  <c r="AJ30" i="2"/>
  <c r="AI30" i="2"/>
  <c r="AH30" i="2"/>
  <c r="AG30" i="2"/>
  <c r="AF30" i="2"/>
  <c r="AE30" i="2"/>
  <c r="AD30" i="2"/>
  <c r="AB30" i="2"/>
  <c r="AA30" i="2"/>
  <c r="Y30" i="2"/>
  <c r="X30" i="2"/>
  <c r="T30" i="2"/>
  <c r="AC30" i="2" s="1"/>
  <c r="S30" i="2"/>
  <c r="R30" i="2"/>
  <c r="Q30" i="2"/>
  <c r="P30" i="2"/>
  <c r="M30" i="2"/>
  <c r="L30" i="2"/>
  <c r="K30" i="2"/>
  <c r="J30" i="2"/>
  <c r="I30" i="2"/>
  <c r="F30" i="2"/>
  <c r="E30" i="2"/>
  <c r="C30" i="2"/>
  <c r="B30" i="2"/>
  <c r="A30" i="2"/>
  <c r="AP29" i="2"/>
  <c r="AO29" i="2"/>
  <c r="AN29" i="2"/>
  <c r="AM29" i="2"/>
  <c r="AJ29" i="2"/>
  <c r="AI29" i="2"/>
  <c r="AH29" i="2"/>
  <c r="AG29" i="2"/>
  <c r="AF29" i="2"/>
  <c r="AE29" i="2"/>
  <c r="AD29" i="2"/>
  <c r="AB29" i="2"/>
  <c r="AA29" i="2"/>
  <c r="Y29" i="2"/>
  <c r="X29" i="2"/>
  <c r="T29" i="2"/>
  <c r="U29" i="2" s="1"/>
  <c r="S29" i="2"/>
  <c r="R29" i="2"/>
  <c r="Q29" i="2"/>
  <c r="P29" i="2"/>
  <c r="M29" i="2"/>
  <c r="L29" i="2"/>
  <c r="K29" i="2"/>
  <c r="J29" i="2"/>
  <c r="I29" i="2"/>
  <c r="F29" i="2"/>
  <c r="E29" i="2"/>
  <c r="C29" i="2"/>
  <c r="B29" i="2"/>
  <c r="A29" i="2"/>
  <c r="AP28" i="2"/>
  <c r="AO28" i="2"/>
  <c r="AN28" i="2"/>
  <c r="AM28" i="2"/>
  <c r="AJ28" i="2"/>
  <c r="AI28" i="2"/>
  <c r="AH28" i="2"/>
  <c r="AG28" i="2"/>
  <c r="AF28" i="2"/>
  <c r="AE28" i="2"/>
  <c r="AD28" i="2"/>
  <c r="AB28" i="2"/>
  <c r="AA28" i="2"/>
  <c r="Y28" i="2"/>
  <c r="X28" i="2"/>
  <c r="T28" i="2"/>
  <c r="S28" i="2"/>
  <c r="R28" i="2"/>
  <c r="Q28" i="2"/>
  <c r="P28" i="2"/>
  <c r="M28" i="2"/>
  <c r="L28" i="2"/>
  <c r="K28" i="2"/>
  <c r="J28" i="2"/>
  <c r="I28" i="2"/>
  <c r="F28" i="2"/>
  <c r="E28" i="2"/>
  <c r="C28" i="2"/>
  <c r="B28" i="2"/>
  <c r="A28" i="2"/>
  <c r="AP27" i="2"/>
  <c r="AO27" i="2"/>
  <c r="AN27" i="2"/>
  <c r="AM27" i="2"/>
  <c r="AJ27" i="2"/>
  <c r="AI27" i="2"/>
  <c r="AH27" i="2"/>
  <c r="AG27" i="2"/>
  <c r="AF27" i="2"/>
  <c r="AE27" i="2"/>
  <c r="AD27" i="2"/>
  <c r="AB27" i="2"/>
  <c r="AA27" i="2"/>
  <c r="Y27" i="2"/>
  <c r="X27" i="2"/>
  <c r="T27" i="2"/>
  <c r="AC27" i="2" s="1"/>
  <c r="S27" i="2"/>
  <c r="R27" i="2"/>
  <c r="Q27" i="2"/>
  <c r="P27" i="2"/>
  <c r="M27" i="2"/>
  <c r="L27" i="2"/>
  <c r="K27" i="2"/>
  <c r="J27" i="2"/>
  <c r="I27" i="2"/>
  <c r="F27" i="2"/>
  <c r="E27" i="2"/>
  <c r="C27" i="2"/>
  <c r="B27" i="2"/>
  <c r="A27" i="2"/>
  <c r="AP26" i="2"/>
  <c r="AO26" i="2"/>
  <c r="AN26" i="2"/>
  <c r="AM26" i="2"/>
  <c r="AJ26" i="2"/>
  <c r="AI26" i="2"/>
  <c r="AH26" i="2"/>
  <c r="AG26" i="2"/>
  <c r="AF26" i="2"/>
  <c r="AE26" i="2"/>
  <c r="AD26" i="2"/>
  <c r="AB26" i="2"/>
  <c r="AA26" i="2"/>
  <c r="Y26" i="2"/>
  <c r="X26" i="2"/>
  <c r="T26" i="2"/>
  <c r="S26" i="2"/>
  <c r="R26" i="2"/>
  <c r="Q26" i="2"/>
  <c r="P26" i="2"/>
  <c r="M26" i="2"/>
  <c r="L26" i="2"/>
  <c r="K26" i="2"/>
  <c r="J26" i="2"/>
  <c r="I26" i="2"/>
  <c r="F26" i="2"/>
  <c r="E26" i="2"/>
  <c r="C26" i="2"/>
  <c r="B26" i="2"/>
  <c r="A26" i="2"/>
  <c r="AP25" i="2"/>
  <c r="AO25" i="2"/>
  <c r="AN25" i="2"/>
  <c r="AM25" i="2"/>
  <c r="AJ25" i="2"/>
  <c r="AI25" i="2"/>
  <c r="AH25" i="2"/>
  <c r="AG25" i="2"/>
  <c r="AF25" i="2"/>
  <c r="AE25" i="2"/>
  <c r="AD25" i="2"/>
  <c r="AB25" i="2"/>
  <c r="AA25" i="2"/>
  <c r="Y25" i="2"/>
  <c r="X25" i="2"/>
  <c r="T25" i="2"/>
  <c r="U25" i="2" s="1"/>
  <c r="S25" i="2"/>
  <c r="R25" i="2"/>
  <c r="Q25" i="2"/>
  <c r="P25" i="2"/>
  <c r="M25" i="2"/>
  <c r="L25" i="2"/>
  <c r="K25" i="2"/>
  <c r="J25" i="2"/>
  <c r="I25" i="2"/>
  <c r="F25" i="2"/>
  <c r="E25" i="2"/>
  <c r="C25" i="2"/>
  <c r="B25" i="2"/>
  <c r="A25" i="2"/>
  <c r="AP24" i="2"/>
  <c r="AO24" i="2"/>
  <c r="AN24" i="2"/>
  <c r="AM24" i="2"/>
  <c r="AJ24" i="2"/>
  <c r="AI24" i="2"/>
  <c r="AH24" i="2"/>
  <c r="AG24" i="2"/>
  <c r="AF24" i="2"/>
  <c r="AE24" i="2"/>
  <c r="AD24" i="2"/>
  <c r="AB24" i="2"/>
  <c r="AA24" i="2"/>
  <c r="Y24" i="2"/>
  <c r="X24" i="2"/>
  <c r="T24" i="2"/>
  <c r="S24" i="2"/>
  <c r="R24" i="2"/>
  <c r="Q24" i="2"/>
  <c r="P24" i="2"/>
  <c r="M24" i="2"/>
  <c r="L24" i="2"/>
  <c r="K24" i="2"/>
  <c r="J24" i="2"/>
  <c r="I24" i="2"/>
  <c r="F24" i="2"/>
  <c r="E24" i="2"/>
  <c r="C24" i="2"/>
  <c r="B24" i="2"/>
  <c r="A24" i="2"/>
  <c r="AP23" i="2"/>
  <c r="AO23" i="2"/>
  <c r="AN23" i="2"/>
  <c r="AM23" i="2"/>
  <c r="AJ23" i="2"/>
  <c r="AI23" i="2"/>
  <c r="AH23" i="2"/>
  <c r="AG23" i="2"/>
  <c r="AF23" i="2"/>
  <c r="AE23" i="2"/>
  <c r="AD23" i="2"/>
  <c r="AB23" i="2"/>
  <c r="AA23" i="2"/>
  <c r="Y23" i="2"/>
  <c r="X23" i="2"/>
  <c r="T23" i="2"/>
  <c r="S23" i="2"/>
  <c r="R23" i="2"/>
  <c r="Q23" i="2"/>
  <c r="P23" i="2"/>
  <c r="M23" i="2"/>
  <c r="L23" i="2"/>
  <c r="K23" i="2"/>
  <c r="J23" i="2"/>
  <c r="I23" i="2"/>
  <c r="F23" i="2"/>
  <c r="E23" i="2"/>
  <c r="C23" i="2"/>
  <c r="B23" i="2"/>
  <c r="A23" i="2"/>
  <c r="AP22" i="2"/>
  <c r="AO22" i="2"/>
  <c r="AN22" i="2"/>
  <c r="AM22" i="2"/>
  <c r="AJ22" i="2"/>
  <c r="AI22" i="2"/>
  <c r="AH22" i="2"/>
  <c r="AG22" i="2"/>
  <c r="AF22" i="2"/>
  <c r="AE22" i="2"/>
  <c r="AD22" i="2"/>
  <c r="AB22" i="2"/>
  <c r="AA22" i="2"/>
  <c r="Y22" i="2"/>
  <c r="X22" i="2"/>
  <c r="T22" i="2"/>
  <c r="S22" i="2"/>
  <c r="R22" i="2"/>
  <c r="Q22" i="2"/>
  <c r="P22" i="2"/>
  <c r="M22" i="2"/>
  <c r="L22" i="2"/>
  <c r="K22" i="2"/>
  <c r="J22" i="2"/>
  <c r="I22" i="2"/>
  <c r="F22" i="2"/>
  <c r="E22" i="2"/>
  <c r="C22" i="2"/>
  <c r="B22" i="2"/>
  <c r="A22" i="2"/>
  <c r="AP21" i="2"/>
  <c r="AO21" i="2"/>
  <c r="AN21" i="2"/>
  <c r="AM21" i="2"/>
  <c r="AJ21" i="2"/>
  <c r="AI21" i="2"/>
  <c r="AH21" i="2"/>
  <c r="AG21" i="2"/>
  <c r="AF21" i="2"/>
  <c r="AE21" i="2"/>
  <c r="AD21" i="2"/>
  <c r="AB21" i="2"/>
  <c r="AA21" i="2"/>
  <c r="Y21" i="2"/>
  <c r="X21" i="2"/>
  <c r="T21" i="2"/>
  <c r="U21" i="2" s="1"/>
  <c r="S21" i="2"/>
  <c r="R21" i="2"/>
  <c r="Q21" i="2"/>
  <c r="P21" i="2"/>
  <c r="M21" i="2"/>
  <c r="L21" i="2"/>
  <c r="K21" i="2"/>
  <c r="J21" i="2"/>
  <c r="I21" i="2"/>
  <c r="F21" i="2"/>
  <c r="E21" i="2"/>
  <c r="C21" i="2"/>
  <c r="B21" i="2"/>
  <c r="A21" i="2"/>
  <c r="AP20" i="2"/>
  <c r="AO20" i="2"/>
  <c r="AN20" i="2"/>
  <c r="AM20" i="2"/>
  <c r="AJ20" i="2"/>
  <c r="AI20" i="2"/>
  <c r="AH20" i="2"/>
  <c r="AG20" i="2"/>
  <c r="AF20" i="2"/>
  <c r="AE20" i="2"/>
  <c r="AD20" i="2"/>
  <c r="AB20" i="2"/>
  <c r="AA20" i="2"/>
  <c r="Y20" i="2"/>
  <c r="X20" i="2"/>
  <c r="T20" i="2"/>
  <c r="S20" i="2"/>
  <c r="R20" i="2"/>
  <c r="Q20" i="2"/>
  <c r="P20" i="2"/>
  <c r="M20" i="2"/>
  <c r="L20" i="2"/>
  <c r="K20" i="2"/>
  <c r="J20" i="2"/>
  <c r="I20" i="2"/>
  <c r="F20" i="2"/>
  <c r="E20" i="2"/>
  <c r="C20" i="2"/>
  <c r="B20" i="2"/>
  <c r="A20" i="2"/>
  <c r="AP19" i="2"/>
  <c r="AO19" i="2"/>
  <c r="AN19" i="2"/>
  <c r="AM19" i="2"/>
  <c r="AJ19" i="2"/>
  <c r="AI19" i="2"/>
  <c r="AH19" i="2"/>
  <c r="AG19" i="2"/>
  <c r="AF19" i="2"/>
  <c r="AE19" i="2"/>
  <c r="AD19" i="2"/>
  <c r="AB19" i="2"/>
  <c r="AA19" i="2"/>
  <c r="Y19" i="2"/>
  <c r="X19" i="2"/>
  <c r="T19" i="2"/>
  <c r="S19" i="2"/>
  <c r="R19" i="2"/>
  <c r="Q19" i="2"/>
  <c r="P19" i="2"/>
  <c r="M19" i="2"/>
  <c r="L19" i="2"/>
  <c r="K19" i="2"/>
  <c r="J19" i="2"/>
  <c r="I19" i="2"/>
  <c r="F19" i="2"/>
  <c r="E19" i="2"/>
  <c r="C19" i="2"/>
  <c r="B19" i="2"/>
  <c r="A19" i="2"/>
  <c r="AP18" i="2"/>
  <c r="AO18" i="2"/>
  <c r="AN18" i="2"/>
  <c r="AM18" i="2"/>
  <c r="AJ18" i="2"/>
  <c r="AI18" i="2"/>
  <c r="AH18" i="2"/>
  <c r="AG18" i="2"/>
  <c r="AF18" i="2"/>
  <c r="AE18" i="2"/>
  <c r="AD18" i="2"/>
  <c r="AB18" i="2"/>
  <c r="AA18" i="2"/>
  <c r="Y18" i="2"/>
  <c r="X18" i="2"/>
  <c r="T18" i="2"/>
  <c r="S18" i="2"/>
  <c r="R18" i="2"/>
  <c r="Q18" i="2"/>
  <c r="P18" i="2"/>
  <c r="M18" i="2"/>
  <c r="L18" i="2"/>
  <c r="K18" i="2"/>
  <c r="J18" i="2"/>
  <c r="I18" i="2"/>
  <c r="F18" i="2"/>
  <c r="E18" i="2"/>
  <c r="C18" i="2"/>
  <c r="B18" i="2"/>
  <c r="A18" i="2"/>
  <c r="AP17" i="2"/>
  <c r="AO17" i="2"/>
  <c r="AN17" i="2"/>
  <c r="AM17" i="2"/>
  <c r="AJ17" i="2"/>
  <c r="AI17" i="2"/>
  <c r="AH17" i="2"/>
  <c r="AG17" i="2"/>
  <c r="AF17" i="2"/>
  <c r="AE17" i="2"/>
  <c r="AD17" i="2"/>
  <c r="AB17" i="2"/>
  <c r="AA17" i="2"/>
  <c r="Y17" i="2"/>
  <c r="X17" i="2"/>
  <c r="T17" i="2"/>
  <c r="U17" i="2" s="1"/>
  <c r="S17" i="2"/>
  <c r="R17" i="2"/>
  <c r="Q17" i="2"/>
  <c r="P17" i="2"/>
  <c r="M17" i="2"/>
  <c r="L17" i="2"/>
  <c r="K17" i="2"/>
  <c r="J17" i="2"/>
  <c r="I17" i="2"/>
  <c r="F17" i="2"/>
  <c r="E17" i="2"/>
  <c r="C17" i="2"/>
  <c r="B17" i="2"/>
  <c r="A17" i="2"/>
  <c r="AP16" i="2"/>
  <c r="AO16" i="2"/>
  <c r="AN16" i="2"/>
  <c r="AM16" i="2"/>
  <c r="AJ16" i="2"/>
  <c r="AI16" i="2"/>
  <c r="AH16" i="2"/>
  <c r="AG16" i="2"/>
  <c r="AF16" i="2"/>
  <c r="AE16" i="2"/>
  <c r="AD16" i="2"/>
  <c r="AB16" i="2"/>
  <c r="AA16" i="2"/>
  <c r="Y16" i="2"/>
  <c r="X16" i="2"/>
  <c r="T16" i="2"/>
  <c r="S16" i="2"/>
  <c r="R16" i="2"/>
  <c r="Q16" i="2"/>
  <c r="P16" i="2"/>
  <c r="M16" i="2"/>
  <c r="L16" i="2"/>
  <c r="K16" i="2"/>
  <c r="J16" i="2"/>
  <c r="I16" i="2"/>
  <c r="F16" i="2"/>
  <c r="E16" i="2"/>
  <c r="C16" i="2"/>
  <c r="B16" i="2"/>
  <c r="A16" i="2"/>
  <c r="AP15" i="2"/>
  <c r="AO15" i="2"/>
  <c r="AN15" i="2"/>
  <c r="AM15" i="2"/>
  <c r="AJ15" i="2"/>
  <c r="AI15" i="2"/>
  <c r="AH15" i="2"/>
  <c r="AG15" i="2"/>
  <c r="AF15" i="2"/>
  <c r="AE15" i="2"/>
  <c r="AD15" i="2"/>
  <c r="AB15" i="2"/>
  <c r="AA15" i="2"/>
  <c r="Y15" i="2"/>
  <c r="X15" i="2"/>
  <c r="T15" i="2"/>
  <c r="AC15" i="2" s="1"/>
  <c r="S15" i="2"/>
  <c r="R15" i="2"/>
  <c r="Q15" i="2"/>
  <c r="P15" i="2"/>
  <c r="M15" i="2"/>
  <c r="L15" i="2"/>
  <c r="K15" i="2"/>
  <c r="J15" i="2"/>
  <c r="I15" i="2"/>
  <c r="F15" i="2"/>
  <c r="E15" i="2"/>
  <c r="C15" i="2"/>
  <c r="B15" i="2"/>
  <c r="A15" i="2"/>
  <c r="AP14" i="2"/>
  <c r="AO14" i="2"/>
  <c r="AN14" i="2"/>
  <c r="AM14" i="2"/>
  <c r="AJ14" i="2"/>
  <c r="AI14" i="2"/>
  <c r="AH14" i="2"/>
  <c r="AG14" i="2"/>
  <c r="AF14" i="2"/>
  <c r="AE14" i="2"/>
  <c r="AD14" i="2"/>
  <c r="AB14" i="2"/>
  <c r="AA14" i="2"/>
  <c r="Y14" i="2"/>
  <c r="X14" i="2"/>
  <c r="T14" i="2"/>
  <c r="AC14" i="2" s="1"/>
  <c r="S14" i="2"/>
  <c r="R14" i="2"/>
  <c r="Q14" i="2"/>
  <c r="P14" i="2"/>
  <c r="M14" i="2"/>
  <c r="L14" i="2"/>
  <c r="K14" i="2"/>
  <c r="J14" i="2"/>
  <c r="I14" i="2"/>
  <c r="F14" i="2"/>
  <c r="E14" i="2"/>
  <c r="C14" i="2"/>
  <c r="B14" i="2"/>
  <c r="A14" i="2"/>
  <c r="AP13" i="2"/>
  <c r="AO13" i="2"/>
  <c r="AN13" i="2"/>
  <c r="AM13" i="2"/>
  <c r="AJ13" i="2"/>
  <c r="AI13" i="2"/>
  <c r="AH13" i="2"/>
  <c r="AG13" i="2"/>
  <c r="AF13" i="2"/>
  <c r="AE13" i="2"/>
  <c r="AD13" i="2"/>
  <c r="AB13" i="2"/>
  <c r="AA13" i="2"/>
  <c r="Y13" i="2"/>
  <c r="X13" i="2"/>
  <c r="T13" i="2"/>
  <c r="U13" i="2" s="1"/>
  <c r="S13" i="2"/>
  <c r="R13" i="2"/>
  <c r="Q13" i="2"/>
  <c r="P13" i="2"/>
  <c r="M13" i="2"/>
  <c r="L13" i="2"/>
  <c r="K13" i="2"/>
  <c r="J13" i="2"/>
  <c r="I13" i="2"/>
  <c r="F13" i="2"/>
  <c r="E13" i="2"/>
  <c r="C13" i="2"/>
  <c r="B13" i="2"/>
  <c r="A13" i="2"/>
  <c r="AP12" i="2"/>
  <c r="AO12" i="2"/>
  <c r="AN12" i="2"/>
  <c r="AM12" i="2"/>
  <c r="AJ12" i="2"/>
  <c r="AI12" i="2"/>
  <c r="AH12" i="2"/>
  <c r="AG12" i="2"/>
  <c r="AF12" i="2"/>
  <c r="AE12" i="2"/>
  <c r="AD12" i="2"/>
  <c r="AB12" i="2"/>
  <c r="AA12" i="2"/>
  <c r="Y12" i="2"/>
  <c r="X12" i="2"/>
  <c r="T12" i="2"/>
  <c r="S12" i="2"/>
  <c r="R12" i="2"/>
  <c r="Q12" i="2"/>
  <c r="P12" i="2"/>
  <c r="M12" i="2"/>
  <c r="L12" i="2"/>
  <c r="K12" i="2"/>
  <c r="J12" i="2"/>
  <c r="I12" i="2"/>
  <c r="F12" i="2"/>
  <c r="E12" i="2"/>
  <c r="C12" i="2"/>
  <c r="B12" i="2"/>
  <c r="A12" i="2"/>
  <c r="AP11" i="2"/>
  <c r="AO11" i="2"/>
  <c r="AN11" i="2"/>
  <c r="AM11" i="2"/>
  <c r="AJ11" i="2"/>
  <c r="AI11" i="2"/>
  <c r="AH11" i="2"/>
  <c r="AG11" i="2"/>
  <c r="AF11" i="2"/>
  <c r="AE11" i="2"/>
  <c r="AD11" i="2"/>
  <c r="AB11" i="2"/>
  <c r="AA11" i="2"/>
  <c r="Y11" i="2"/>
  <c r="X11" i="2"/>
  <c r="T11" i="2"/>
  <c r="AC11" i="2" s="1"/>
  <c r="S11" i="2"/>
  <c r="R11" i="2"/>
  <c r="Q11" i="2"/>
  <c r="P11" i="2"/>
  <c r="M11" i="2"/>
  <c r="L11" i="2"/>
  <c r="K11" i="2"/>
  <c r="J11" i="2"/>
  <c r="I11" i="2"/>
  <c r="F11" i="2"/>
  <c r="E11" i="2"/>
  <c r="C11" i="2"/>
  <c r="B11" i="2"/>
  <c r="A11" i="2"/>
  <c r="AP10" i="2"/>
  <c r="AO10" i="2"/>
  <c r="AN10" i="2"/>
  <c r="AM10" i="2"/>
  <c r="AJ10" i="2"/>
  <c r="AI10" i="2"/>
  <c r="AH10" i="2"/>
  <c r="AG10" i="2"/>
  <c r="AF10" i="2"/>
  <c r="AE10" i="2"/>
  <c r="AD10" i="2"/>
  <c r="AB10" i="2"/>
  <c r="AA10" i="2"/>
  <c r="Y10" i="2"/>
  <c r="X10" i="2"/>
  <c r="T10" i="2"/>
  <c r="S10" i="2"/>
  <c r="R10" i="2"/>
  <c r="Q10" i="2"/>
  <c r="P10" i="2"/>
  <c r="M10" i="2"/>
  <c r="L10" i="2"/>
  <c r="K10" i="2"/>
  <c r="J10" i="2"/>
  <c r="I10" i="2"/>
  <c r="F10" i="2"/>
  <c r="E10" i="2"/>
  <c r="C10" i="2"/>
  <c r="B10" i="2"/>
  <c r="A10" i="2"/>
  <c r="AP9" i="2"/>
  <c r="AO9" i="2"/>
  <c r="AN9" i="2"/>
  <c r="AM9" i="2"/>
  <c r="AJ9" i="2"/>
  <c r="AI9" i="2"/>
  <c r="AH9" i="2"/>
  <c r="AG9" i="2"/>
  <c r="AF9" i="2"/>
  <c r="AE9" i="2"/>
  <c r="AD9" i="2"/>
  <c r="AB9" i="2"/>
  <c r="AA9" i="2"/>
  <c r="Y9" i="2"/>
  <c r="X9" i="2"/>
  <c r="T9" i="2"/>
  <c r="S9" i="2"/>
  <c r="R9" i="2"/>
  <c r="Q9" i="2"/>
  <c r="P9" i="2"/>
  <c r="M9" i="2"/>
  <c r="L9" i="2"/>
  <c r="K9" i="2"/>
  <c r="J9" i="2"/>
  <c r="I9" i="2"/>
  <c r="F9" i="2"/>
  <c r="E9" i="2"/>
  <c r="C9" i="2"/>
  <c r="B9" i="2"/>
  <c r="A9" i="2"/>
  <c r="AP8" i="2"/>
  <c r="AO8" i="2"/>
  <c r="AN8" i="2"/>
  <c r="AM8" i="2"/>
  <c r="AJ8" i="2"/>
  <c r="AI8" i="2"/>
  <c r="AH8" i="2"/>
  <c r="AG8" i="2"/>
  <c r="AF8" i="2"/>
  <c r="AE8" i="2"/>
  <c r="AD8" i="2"/>
  <c r="AB8" i="2"/>
  <c r="AA8" i="2"/>
  <c r="Y8" i="2"/>
  <c r="X8" i="2"/>
  <c r="T8" i="2"/>
  <c r="S8" i="2"/>
  <c r="R8" i="2"/>
  <c r="Q8" i="2"/>
  <c r="P8" i="2"/>
  <c r="M8" i="2"/>
  <c r="L8" i="2"/>
  <c r="K8" i="2"/>
  <c r="J8" i="2"/>
  <c r="I8" i="2"/>
  <c r="F8" i="2"/>
  <c r="E8" i="2"/>
  <c r="C8" i="2"/>
  <c r="B8" i="2"/>
  <c r="A8" i="2"/>
  <c r="AP7" i="2"/>
  <c r="AO7" i="2"/>
  <c r="AN7" i="2"/>
  <c r="AM7" i="2"/>
  <c r="AJ7" i="2"/>
  <c r="AI7" i="2"/>
  <c r="AH7" i="2"/>
  <c r="AG7" i="2"/>
  <c r="AF7" i="2"/>
  <c r="AE7" i="2"/>
  <c r="AD7" i="2"/>
  <c r="AB7" i="2"/>
  <c r="AA7" i="2"/>
  <c r="Y7" i="2"/>
  <c r="X7" i="2"/>
  <c r="T7" i="2"/>
  <c r="S7" i="2"/>
  <c r="R7" i="2"/>
  <c r="Q7" i="2"/>
  <c r="P7" i="2"/>
  <c r="M7" i="2"/>
  <c r="L7" i="2"/>
  <c r="K7" i="2"/>
  <c r="J7" i="2"/>
  <c r="I7" i="2"/>
  <c r="F7" i="2"/>
  <c r="E7" i="2"/>
  <c r="C7" i="2"/>
  <c r="B7" i="2"/>
  <c r="A7" i="2"/>
  <c r="AP6" i="2"/>
  <c r="AO6" i="2"/>
  <c r="AN6" i="2"/>
  <c r="AM6" i="2"/>
  <c r="AJ6" i="2"/>
  <c r="AI6" i="2"/>
  <c r="AH6" i="2"/>
  <c r="AG6" i="2"/>
  <c r="AF6" i="2"/>
  <c r="AE6" i="2"/>
  <c r="AD6" i="2"/>
  <c r="AB6" i="2"/>
  <c r="AA6" i="2"/>
  <c r="Y6" i="2"/>
  <c r="X6" i="2"/>
  <c r="T6" i="2"/>
  <c r="S6" i="2"/>
  <c r="R6" i="2"/>
  <c r="Q6" i="2"/>
  <c r="P6" i="2"/>
  <c r="M6" i="2"/>
  <c r="L6" i="2"/>
  <c r="K6" i="2"/>
  <c r="J6" i="2"/>
  <c r="I6" i="2"/>
  <c r="F6" i="2"/>
  <c r="E6" i="2"/>
  <c r="C6" i="2"/>
  <c r="B6" i="2"/>
  <c r="A6" i="2"/>
  <c r="AP5" i="2"/>
  <c r="AO5" i="2"/>
  <c r="AN5" i="2"/>
  <c r="AM5" i="2"/>
  <c r="AJ5" i="2"/>
  <c r="AI5" i="2"/>
  <c r="AH5" i="2"/>
  <c r="AG5" i="2"/>
  <c r="AF5" i="2"/>
  <c r="AE5" i="2"/>
  <c r="AD5" i="2"/>
  <c r="AB5" i="2"/>
  <c r="AA5" i="2"/>
  <c r="Y5" i="2"/>
  <c r="X5" i="2"/>
  <c r="T5" i="2"/>
  <c r="U5" i="2" s="1"/>
  <c r="S5" i="2"/>
  <c r="R5" i="2"/>
  <c r="Q5" i="2"/>
  <c r="P5" i="2"/>
  <c r="M5" i="2"/>
  <c r="L5" i="2"/>
  <c r="K5" i="2"/>
  <c r="J5" i="2"/>
  <c r="I5" i="2"/>
  <c r="F5" i="2"/>
  <c r="E5" i="2"/>
  <c r="C5" i="2"/>
  <c r="B5" i="2"/>
  <c r="A5" i="2"/>
  <c r="AF4" i="2"/>
  <c r="AD4" i="2"/>
  <c r="AA4" i="2"/>
  <c r="AJ35" i="1"/>
  <c r="AI35" i="1"/>
  <c r="AG35" i="1"/>
  <c r="Z35" i="1"/>
  <c r="Y35" i="1"/>
  <c r="V35" i="1"/>
  <c r="P35" i="1"/>
  <c r="M35" i="1"/>
  <c r="L35" i="1"/>
  <c r="K35" i="1"/>
  <c r="J35" i="1"/>
  <c r="I35" i="1"/>
  <c r="E35" i="1"/>
  <c r="C35" i="1"/>
  <c r="B35" i="1"/>
  <c r="A35" i="1"/>
  <c r="AJ34" i="1"/>
  <c r="AI34" i="1"/>
  <c r="AG34" i="1"/>
  <c r="Z34" i="1"/>
  <c r="Y34" i="1"/>
  <c r="V34" i="1"/>
  <c r="P34" i="1"/>
  <c r="M34" i="1"/>
  <c r="L34" i="1"/>
  <c r="K34" i="1"/>
  <c r="J34" i="1"/>
  <c r="I34" i="1"/>
  <c r="E34" i="1"/>
  <c r="C34" i="1"/>
  <c r="B34" i="1"/>
  <c r="A34" i="1"/>
  <c r="AJ33" i="1"/>
  <c r="AI33" i="1"/>
  <c r="AG33" i="1"/>
  <c r="Z33" i="1"/>
  <c r="Y33" i="1"/>
  <c r="V33" i="1"/>
  <c r="P33" i="1"/>
  <c r="M33" i="1"/>
  <c r="L33" i="1"/>
  <c r="K33" i="1"/>
  <c r="J33" i="1"/>
  <c r="I33" i="1"/>
  <c r="E33" i="1"/>
  <c r="C33" i="1"/>
  <c r="B33" i="1"/>
  <c r="A33" i="1"/>
  <c r="AJ32" i="1"/>
  <c r="AI32" i="1"/>
  <c r="AG32" i="1"/>
  <c r="Z32" i="1"/>
  <c r="Y32" i="1"/>
  <c r="V32" i="1"/>
  <c r="P32" i="1"/>
  <c r="M32" i="1"/>
  <c r="L32" i="1"/>
  <c r="K32" i="1"/>
  <c r="J32" i="1"/>
  <c r="I32" i="1"/>
  <c r="E32" i="1"/>
  <c r="C32" i="1"/>
  <c r="B32" i="1"/>
  <c r="A32" i="1"/>
  <c r="AJ31" i="1"/>
  <c r="AI31" i="1"/>
  <c r="AG31" i="1"/>
  <c r="Z31" i="1"/>
  <c r="Y31" i="1"/>
  <c r="V31" i="1"/>
  <c r="P31" i="1"/>
  <c r="M31" i="1"/>
  <c r="L31" i="1"/>
  <c r="K31" i="1"/>
  <c r="J31" i="1"/>
  <c r="I31" i="1"/>
  <c r="E31" i="1"/>
  <c r="C31" i="1"/>
  <c r="B31" i="1"/>
  <c r="A31" i="1"/>
  <c r="AJ30" i="1"/>
  <c r="AI30" i="1"/>
  <c r="AG30" i="1"/>
  <c r="Z30" i="1"/>
  <c r="Y30" i="1"/>
  <c r="V30" i="1"/>
  <c r="P30" i="1"/>
  <c r="M30" i="1"/>
  <c r="L30" i="1"/>
  <c r="K30" i="1"/>
  <c r="J30" i="1"/>
  <c r="I30" i="1"/>
  <c r="E30" i="1"/>
  <c r="C30" i="1"/>
  <c r="B30" i="1"/>
  <c r="A30" i="1"/>
  <c r="AJ29" i="1"/>
  <c r="AI29" i="1"/>
  <c r="AG29" i="1"/>
  <c r="Z29" i="1"/>
  <c r="Y29" i="1"/>
  <c r="V29" i="1"/>
  <c r="P29" i="1"/>
  <c r="M29" i="1"/>
  <c r="L29" i="1"/>
  <c r="K29" i="1"/>
  <c r="J29" i="1"/>
  <c r="I29" i="1"/>
  <c r="E29" i="1"/>
  <c r="C29" i="1"/>
  <c r="B29" i="1"/>
  <c r="A29" i="1"/>
  <c r="AJ28" i="1"/>
  <c r="AI28" i="1"/>
  <c r="AG28" i="1"/>
  <c r="Z28" i="1"/>
  <c r="Y28" i="1"/>
  <c r="V28" i="1"/>
  <c r="P28" i="1"/>
  <c r="M28" i="1"/>
  <c r="L28" i="1"/>
  <c r="K28" i="1"/>
  <c r="J28" i="1"/>
  <c r="I28" i="1"/>
  <c r="E28" i="1"/>
  <c r="C28" i="1"/>
  <c r="B28" i="1"/>
  <c r="A28" i="1"/>
  <c r="AJ27" i="1"/>
  <c r="AI27" i="1"/>
  <c r="AG27" i="1"/>
  <c r="Z27" i="1"/>
  <c r="Y27" i="1"/>
  <c r="V27" i="1"/>
  <c r="P27" i="1"/>
  <c r="M27" i="1"/>
  <c r="L27" i="1"/>
  <c r="K27" i="1"/>
  <c r="J27" i="1"/>
  <c r="I27" i="1"/>
  <c r="E27" i="1"/>
  <c r="C27" i="1"/>
  <c r="B27" i="1"/>
  <c r="A27" i="1"/>
  <c r="AJ26" i="1"/>
  <c r="AI26" i="1"/>
  <c r="AG26" i="1"/>
  <c r="Z26" i="1"/>
  <c r="Y26" i="1"/>
  <c r="V26" i="1"/>
  <c r="P26" i="1"/>
  <c r="M26" i="1"/>
  <c r="L26" i="1"/>
  <c r="K26" i="1"/>
  <c r="J26" i="1"/>
  <c r="I26" i="1"/>
  <c r="E26" i="1"/>
  <c r="C26" i="1"/>
  <c r="B26" i="1"/>
  <c r="A26" i="1"/>
  <c r="AJ25" i="1"/>
  <c r="AI25" i="1"/>
  <c r="AG25" i="1"/>
  <c r="Z25" i="1"/>
  <c r="Y25" i="1"/>
  <c r="V25" i="1"/>
  <c r="P25" i="1"/>
  <c r="M25" i="1"/>
  <c r="L25" i="1"/>
  <c r="K25" i="1"/>
  <c r="J25" i="1"/>
  <c r="I25" i="1"/>
  <c r="E25" i="1"/>
  <c r="C25" i="1"/>
  <c r="B25" i="1"/>
  <c r="A25" i="1"/>
  <c r="AJ24" i="1"/>
  <c r="AI24" i="1"/>
  <c r="AG24" i="1"/>
  <c r="Z24" i="1"/>
  <c r="Y24" i="1"/>
  <c r="V24" i="1"/>
  <c r="P24" i="1"/>
  <c r="M24" i="1"/>
  <c r="L24" i="1"/>
  <c r="K24" i="1"/>
  <c r="J24" i="1"/>
  <c r="I24" i="1"/>
  <c r="E24" i="1"/>
  <c r="C24" i="1"/>
  <c r="B24" i="1"/>
  <c r="A24" i="1"/>
  <c r="AJ23" i="1"/>
  <c r="AI23" i="1"/>
  <c r="AG23" i="1"/>
  <c r="Z23" i="1"/>
  <c r="Y23" i="1"/>
  <c r="V23" i="1"/>
  <c r="P23" i="1"/>
  <c r="M23" i="1"/>
  <c r="L23" i="1"/>
  <c r="K23" i="1"/>
  <c r="J23" i="1"/>
  <c r="I23" i="1"/>
  <c r="E23" i="1"/>
  <c r="C23" i="1"/>
  <c r="B23" i="1"/>
  <c r="A23" i="1"/>
  <c r="AJ22" i="1"/>
  <c r="AI22" i="1"/>
  <c r="AG22" i="1"/>
  <c r="Z22" i="1"/>
  <c r="Y22" i="1"/>
  <c r="V22" i="1"/>
  <c r="P22" i="1"/>
  <c r="M22" i="1"/>
  <c r="L22" i="1"/>
  <c r="K22" i="1"/>
  <c r="J22" i="1"/>
  <c r="I22" i="1"/>
  <c r="E22" i="1"/>
  <c r="C22" i="1"/>
  <c r="B22" i="1"/>
  <c r="A22" i="1"/>
  <c r="AJ21" i="1"/>
  <c r="AI21" i="1"/>
  <c r="AG21" i="1"/>
  <c r="Z21" i="1"/>
  <c r="Y21" i="1"/>
  <c r="V21" i="1"/>
  <c r="P21" i="1"/>
  <c r="M21" i="1"/>
  <c r="L21" i="1"/>
  <c r="K21" i="1"/>
  <c r="J21" i="1"/>
  <c r="I21" i="1"/>
  <c r="E21" i="1"/>
  <c r="C21" i="1"/>
  <c r="B21" i="1"/>
  <c r="A21" i="1"/>
  <c r="AJ20" i="1"/>
  <c r="AI20" i="1"/>
  <c r="AG20" i="1"/>
  <c r="Z20" i="1"/>
  <c r="Y20" i="1"/>
  <c r="V20" i="1"/>
  <c r="P20" i="1"/>
  <c r="M20" i="1"/>
  <c r="L20" i="1"/>
  <c r="K20" i="1"/>
  <c r="J20" i="1"/>
  <c r="I20" i="1"/>
  <c r="E20" i="1"/>
  <c r="C20" i="1"/>
  <c r="B20" i="1"/>
  <c r="A20" i="1"/>
  <c r="AJ19" i="1"/>
  <c r="AI19" i="1"/>
  <c r="AG19" i="1"/>
  <c r="Z19" i="1"/>
  <c r="Y19" i="1"/>
  <c r="V19" i="1"/>
  <c r="P19" i="1"/>
  <c r="M19" i="1"/>
  <c r="L19" i="1"/>
  <c r="K19" i="1"/>
  <c r="J19" i="1"/>
  <c r="I19" i="1"/>
  <c r="E19" i="1"/>
  <c r="C19" i="1"/>
  <c r="B19" i="1"/>
  <c r="A19" i="1"/>
  <c r="AJ18" i="1"/>
  <c r="AI18" i="1"/>
  <c r="AG18" i="1"/>
  <c r="Z18" i="1"/>
  <c r="Y18" i="1"/>
  <c r="V18" i="1"/>
  <c r="P18" i="1"/>
  <c r="M18" i="1"/>
  <c r="L18" i="1"/>
  <c r="K18" i="1"/>
  <c r="J18" i="1"/>
  <c r="I18" i="1"/>
  <c r="E18" i="1"/>
  <c r="C18" i="1"/>
  <c r="B18" i="1"/>
  <c r="A18" i="1"/>
  <c r="AJ17" i="1"/>
  <c r="AI17" i="1"/>
  <c r="AG17" i="1"/>
  <c r="Z17" i="1"/>
  <c r="Y17" i="1"/>
  <c r="V17" i="1"/>
  <c r="P17" i="1"/>
  <c r="M17" i="1"/>
  <c r="L17" i="1"/>
  <c r="K17" i="1"/>
  <c r="J17" i="1"/>
  <c r="I17" i="1"/>
  <c r="E17" i="1"/>
  <c r="C17" i="1"/>
  <c r="B17" i="1"/>
  <c r="A17" i="1"/>
  <c r="AJ16" i="1"/>
  <c r="AI16" i="1"/>
  <c r="AG16" i="1"/>
  <c r="Z16" i="1"/>
  <c r="Y16" i="1"/>
  <c r="V16" i="1"/>
  <c r="P16" i="1"/>
  <c r="M16" i="1"/>
  <c r="L16" i="1"/>
  <c r="K16" i="1"/>
  <c r="J16" i="1"/>
  <c r="I16" i="1"/>
  <c r="E16" i="1"/>
  <c r="C16" i="1"/>
  <c r="B16" i="1"/>
  <c r="A16" i="1"/>
  <c r="AJ15" i="1"/>
  <c r="AI15" i="1"/>
  <c r="AG15" i="1"/>
  <c r="Z15" i="1"/>
  <c r="Y15" i="1"/>
  <c r="V15" i="1"/>
  <c r="P15" i="1"/>
  <c r="M15" i="1"/>
  <c r="L15" i="1"/>
  <c r="K15" i="1"/>
  <c r="J15" i="1"/>
  <c r="I15" i="1"/>
  <c r="E15" i="1"/>
  <c r="C15" i="1"/>
  <c r="B15" i="1"/>
  <c r="A15" i="1"/>
  <c r="AJ14" i="1"/>
  <c r="AI14" i="1"/>
  <c r="AG14" i="1"/>
  <c r="Z14" i="1"/>
  <c r="Y14" i="1"/>
  <c r="V14" i="1"/>
  <c r="P14" i="1"/>
  <c r="M14" i="1"/>
  <c r="L14" i="1"/>
  <c r="K14" i="1"/>
  <c r="J14" i="1"/>
  <c r="I14" i="1"/>
  <c r="E14" i="1"/>
  <c r="C14" i="1"/>
  <c r="B14" i="1"/>
  <c r="A14" i="1"/>
  <c r="AJ13" i="1"/>
  <c r="AI13" i="1"/>
  <c r="AG13" i="1"/>
  <c r="Z13" i="1"/>
  <c r="Y13" i="1"/>
  <c r="V13" i="1"/>
  <c r="P13" i="1"/>
  <c r="M13" i="1"/>
  <c r="L13" i="1"/>
  <c r="K13" i="1"/>
  <c r="J13" i="1"/>
  <c r="I13" i="1"/>
  <c r="E13" i="1"/>
  <c r="C13" i="1"/>
  <c r="B13" i="1"/>
  <c r="A13" i="1"/>
  <c r="AJ12" i="1"/>
  <c r="AI12" i="1"/>
  <c r="AG12" i="1"/>
  <c r="Z12" i="1"/>
  <c r="Y12" i="1"/>
  <c r="V12" i="1"/>
  <c r="P12" i="1"/>
  <c r="M12" i="1"/>
  <c r="L12" i="1"/>
  <c r="K12" i="1"/>
  <c r="J12" i="1"/>
  <c r="I12" i="1"/>
  <c r="E12" i="1"/>
  <c r="C12" i="1"/>
  <c r="B12" i="1"/>
  <c r="A12" i="1"/>
  <c r="AJ11" i="1"/>
  <c r="AI11" i="1"/>
  <c r="AG11" i="1"/>
  <c r="Z11" i="1"/>
  <c r="Y11" i="1"/>
  <c r="V11" i="1"/>
  <c r="P11" i="1"/>
  <c r="M11" i="1"/>
  <c r="L11" i="1"/>
  <c r="K11" i="1"/>
  <c r="J11" i="1"/>
  <c r="I11" i="1"/>
  <c r="E11" i="1"/>
  <c r="C11" i="1"/>
  <c r="B11" i="1"/>
  <c r="A11" i="1"/>
  <c r="AJ10" i="1"/>
  <c r="AI10" i="1"/>
  <c r="AG10" i="1"/>
  <c r="Z10" i="1"/>
  <c r="Y10" i="1"/>
  <c r="V10" i="1"/>
  <c r="P10" i="1"/>
  <c r="M10" i="1"/>
  <c r="L10" i="1"/>
  <c r="K10" i="1"/>
  <c r="J10" i="1"/>
  <c r="I10" i="1"/>
  <c r="E10" i="1"/>
  <c r="C10" i="1"/>
  <c r="B10" i="1"/>
  <c r="A10" i="1"/>
  <c r="AJ9" i="1"/>
  <c r="AI9" i="1"/>
  <c r="AG9" i="1"/>
  <c r="Z9" i="1"/>
  <c r="Y9" i="1"/>
  <c r="V9" i="1"/>
  <c r="P9" i="1"/>
  <c r="M9" i="1"/>
  <c r="L9" i="1"/>
  <c r="K9" i="1"/>
  <c r="J9" i="1"/>
  <c r="I9" i="1"/>
  <c r="E9" i="1"/>
  <c r="C9" i="1"/>
  <c r="B9" i="1"/>
  <c r="A9" i="1"/>
  <c r="AJ8" i="1"/>
  <c r="AI8" i="1"/>
  <c r="AG8" i="1"/>
  <c r="Z8" i="1"/>
  <c r="Y8" i="1"/>
  <c r="V8" i="1"/>
  <c r="P8" i="1"/>
  <c r="M8" i="1"/>
  <c r="L8" i="1"/>
  <c r="K8" i="1"/>
  <c r="J8" i="1"/>
  <c r="I8" i="1"/>
  <c r="E8" i="1"/>
  <c r="C8" i="1"/>
  <c r="B8" i="1"/>
  <c r="A8" i="1"/>
  <c r="AJ7" i="1"/>
  <c r="AI7" i="1"/>
  <c r="AG7" i="1"/>
  <c r="Z7" i="1"/>
  <c r="Y7" i="1"/>
  <c r="V7" i="1"/>
  <c r="P7" i="1"/>
  <c r="M7" i="1"/>
  <c r="L7" i="1"/>
  <c r="K7" i="1"/>
  <c r="J7" i="1"/>
  <c r="I7" i="1"/>
  <c r="E7" i="1"/>
  <c r="C7" i="1"/>
  <c r="B7" i="1"/>
  <c r="A7" i="1"/>
  <c r="AJ6" i="1"/>
  <c r="AI6" i="1"/>
  <c r="AG6" i="1"/>
  <c r="Z6" i="1"/>
  <c r="Y6" i="1"/>
  <c r="V6" i="1"/>
  <c r="P6" i="1"/>
  <c r="M6" i="1"/>
  <c r="L6" i="1"/>
  <c r="K6" i="1"/>
  <c r="J6" i="1"/>
  <c r="I6" i="1"/>
  <c r="E6" i="1"/>
  <c r="C6" i="1"/>
  <c r="B6" i="1"/>
  <c r="A6" i="1"/>
  <c r="AJ5" i="1"/>
  <c r="AI5" i="1"/>
  <c r="AG5" i="1"/>
  <c r="Z5" i="1"/>
  <c r="Y5" i="1"/>
  <c r="V5" i="1"/>
  <c r="P5" i="1"/>
  <c r="M5" i="1"/>
  <c r="L5" i="1"/>
  <c r="K5" i="1"/>
  <c r="J5" i="1"/>
  <c r="I5" i="1"/>
  <c r="E5" i="1"/>
  <c r="C5" i="1"/>
  <c r="B5" i="1"/>
  <c r="A5" i="1"/>
  <c r="Z4" i="1"/>
  <c r="V4" i="1"/>
  <c r="AC9" i="2" l="1"/>
  <c r="U9" i="2"/>
  <c r="W26" i="2"/>
  <c r="W30" i="2"/>
  <c r="W18" i="2"/>
  <c r="W24" i="2"/>
  <c r="W10" i="2"/>
  <c r="O11" i="12"/>
  <c r="N11" i="12"/>
  <c r="N13" i="12"/>
  <c r="O13" i="12"/>
  <c r="W14" i="2"/>
  <c r="O15" i="12"/>
  <c r="N15" i="12"/>
  <c r="N17" i="12"/>
  <c r="O17" i="12"/>
  <c r="N19" i="12"/>
  <c r="O19" i="12"/>
  <c r="N21" i="12"/>
  <c r="O21" i="12"/>
  <c r="N23" i="12"/>
  <c r="O23" i="12"/>
  <c r="N25" i="12"/>
  <c r="O25" i="12"/>
  <c r="N6" i="12"/>
  <c r="O6" i="12"/>
  <c r="N8" i="12"/>
  <c r="O8" i="12"/>
  <c r="N27" i="12"/>
  <c r="O27" i="12"/>
  <c r="N29" i="12"/>
  <c r="O29" i="12"/>
  <c r="N31" i="12"/>
  <c r="O31" i="12"/>
  <c r="N33" i="12"/>
  <c r="O33" i="12"/>
  <c r="O35" i="12"/>
  <c r="N35" i="12"/>
  <c r="W6" i="2"/>
  <c r="W8" i="2"/>
  <c r="N10" i="12"/>
  <c r="O10" i="12"/>
  <c r="N12" i="12"/>
  <c r="O12" i="12"/>
  <c r="O14" i="12"/>
  <c r="N14" i="12"/>
  <c r="N16" i="12"/>
  <c r="O16" i="12"/>
  <c r="N18" i="12"/>
  <c r="O18" i="12"/>
  <c r="O20" i="12"/>
  <c r="N20" i="12"/>
  <c r="O22" i="12"/>
  <c r="N22" i="12"/>
  <c r="O24" i="12"/>
  <c r="N24" i="12"/>
  <c r="N5" i="12"/>
  <c r="O5" i="12"/>
  <c r="O7" i="12"/>
  <c r="N7" i="12"/>
  <c r="N9" i="12"/>
  <c r="O9" i="12"/>
  <c r="N26" i="12"/>
  <c r="O26" i="12"/>
  <c r="O28" i="12"/>
  <c r="N28" i="12"/>
  <c r="N30" i="12"/>
  <c r="O30" i="12"/>
  <c r="O32" i="12"/>
  <c r="N32" i="12"/>
  <c r="O34" i="12"/>
  <c r="N34" i="12"/>
  <c r="V6" i="2"/>
  <c r="V8" i="2"/>
  <c r="AC22" i="2"/>
  <c r="V24" i="2"/>
  <c r="W35" i="2"/>
  <c r="V32" i="2"/>
  <c r="AC7" i="2"/>
  <c r="AC17" i="2"/>
  <c r="AC19" i="2"/>
  <c r="AC23" i="2"/>
  <c r="AC25" i="2"/>
  <c r="V16" i="2"/>
  <c r="W32" i="2"/>
  <c r="W16" i="2"/>
  <c r="W22" i="2"/>
  <c r="W34" i="2"/>
  <c r="W15" i="2"/>
  <c r="W23" i="2"/>
  <c r="W31" i="2"/>
  <c r="AC5" i="2"/>
  <c r="W12" i="2"/>
  <c r="Z14" i="2"/>
  <c r="Z15" i="2"/>
  <c r="W20" i="2"/>
  <c r="Z22" i="2"/>
  <c r="Z23" i="2"/>
  <c r="W28" i="2"/>
  <c r="Z30" i="2"/>
  <c r="AC31" i="2"/>
  <c r="Z31" i="2" s="1"/>
  <c r="Z35" i="2"/>
  <c r="Z7" i="2"/>
  <c r="Z11" i="2"/>
  <c r="AC13" i="2"/>
  <c r="Z13" i="2" s="1"/>
  <c r="Z19" i="2"/>
  <c r="AC21" i="2"/>
  <c r="Z21" i="2" s="1"/>
  <c r="Z27" i="2"/>
  <c r="Z29" i="2"/>
  <c r="AC29" i="2"/>
  <c r="Z5" i="2"/>
  <c r="W7" i="2"/>
  <c r="Z9" i="2"/>
  <c r="W11" i="2"/>
  <c r="Z17" i="2"/>
  <c r="W19" i="2"/>
  <c r="Z25" i="2"/>
  <c r="W27" i="2"/>
  <c r="Z33" i="2"/>
  <c r="W5" i="2"/>
  <c r="V9" i="2"/>
  <c r="U11" i="2"/>
  <c r="AC12" i="2"/>
  <c r="Z12" i="2" s="1"/>
  <c r="W13" i="2"/>
  <c r="V14" i="2"/>
  <c r="V17" i="2"/>
  <c r="U19" i="2"/>
  <c r="AC20" i="2"/>
  <c r="Z20" i="2" s="1"/>
  <c r="W21" i="2"/>
  <c r="V22" i="2"/>
  <c r="V25" i="2"/>
  <c r="U27" i="2"/>
  <c r="AC28" i="2"/>
  <c r="Z28" i="2" s="1"/>
  <c r="W29" i="2"/>
  <c r="V30" i="2"/>
  <c r="V33" i="2"/>
  <c r="U35" i="2"/>
  <c r="V7" i="2"/>
  <c r="AC10" i="2"/>
  <c r="Z10" i="2" s="1"/>
  <c r="V12" i="2"/>
  <c r="V15" i="2"/>
  <c r="AC18" i="2"/>
  <c r="Z18" i="2" s="1"/>
  <c r="V20" i="2"/>
  <c r="V23" i="2"/>
  <c r="AC26" i="2"/>
  <c r="Z26" i="2" s="1"/>
  <c r="V28" i="2"/>
  <c r="V31" i="2"/>
  <c r="U33" i="2"/>
  <c r="AC34" i="2"/>
  <c r="Z34" i="2" s="1"/>
  <c r="V35" i="2"/>
  <c r="V5" i="2"/>
  <c r="U7" i="2"/>
  <c r="AC8" i="2"/>
  <c r="Z8" i="2" s="1"/>
  <c r="W9" i="2"/>
  <c r="V10" i="2"/>
  <c r="V13" i="2"/>
  <c r="U15" i="2"/>
  <c r="AC16" i="2"/>
  <c r="Z16" i="2" s="1"/>
  <c r="W17" i="2"/>
  <c r="V18" i="2"/>
  <c r="V21" i="2"/>
  <c r="U23" i="2"/>
  <c r="AC24" i="2"/>
  <c r="Z24" i="2" s="1"/>
  <c r="W25" i="2"/>
  <c r="V26" i="2"/>
  <c r="V29" i="2"/>
  <c r="U31" i="2"/>
  <c r="AC32" i="2"/>
  <c r="Z32" i="2" s="1"/>
  <c r="W33" i="2"/>
  <c r="V34" i="2"/>
  <c r="AC6" i="2"/>
  <c r="Z6" i="2" s="1"/>
  <c r="V11" i="2"/>
  <c r="V19" i="2"/>
  <c r="V27" i="2"/>
  <c r="U6" i="2"/>
  <c r="U8" i="2"/>
  <c r="U10" i="2"/>
  <c r="U12" i="2"/>
  <c r="U14" i="2"/>
  <c r="U16" i="2"/>
  <c r="U18" i="2"/>
  <c r="U20" i="2"/>
  <c r="U22" i="2"/>
  <c r="U24" i="2"/>
  <c r="U26" i="2"/>
  <c r="U28" i="2"/>
  <c r="U30" i="2"/>
  <c r="U32" i="2"/>
  <c r="U34" i="2"/>
  <c r="P4" i="1" l="1"/>
  <c r="T4" i="2" l="1"/>
  <c r="U4" i="2" l="1"/>
  <c r="W4" i="5" l="1"/>
  <c r="L4" i="5"/>
  <c r="D205" i="9"/>
  <c r="D206" i="9"/>
  <c r="D207" i="9"/>
  <c r="D208" i="9"/>
  <c r="D209" i="9"/>
  <c r="D210" i="9"/>
  <c r="D211" i="9"/>
  <c r="D212" i="9"/>
  <c r="D213" i="9"/>
  <c r="D204" i="9"/>
  <c r="C204" i="9"/>
  <c r="C205" i="9"/>
  <c r="C206" i="9"/>
  <c r="C207" i="9"/>
  <c r="C208" i="9"/>
  <c r="C209" i="9"/>
  <c r="C210" i="9"/>
  <c r="C211" i="9"/>
  <c r="C212" i="9"/>
  <c r="C213" i="9"/>
  <c r="O35" i="2"/>
  <c r="O33" i="2"/>
  <c r="N32" i="2"/>
  <c r="O31" i="2"/>
  <c r="O30" i="2"/>
  <c r="O29" i="2"/>
  <c r="O28" i="2"/>
  <c r="N27" i="2"/>
  <c r="O25" i="2"/>
  <c r="N23" i="2"/>
  <c r="O22" i="2"/>
  <c r="O21" i="2"/>
  <c r="O20" i="2"/>
  <c r="O19" i="2"/>
  <c r="O17" i="2"/>
  <c r="O16" i="2"/>
  <c r="N15" i="2"/>
  <c r="O14" i="2"/>
  <c r="O13" i="2"/>
  <c r="N11" i="2"/>
  <c r="O10" i="2"/>
  <c r="O9" i="2"/>
  <c r="O8" i="2"/>
  <c r="N7" i="2"/>
  <c r="O6" i="2"/>
  <c r="AO4" i="2"/>
  <c r="N24" i="2"/>
  <c r="O32" i="2"/>
  <c r="N34" i="2"/>
  <c r="N35" i="2"/>
  <c r="N21" i="2" l="1"/>
  <c r="N19" i="2"/>
  <c r="N10" i="2"/>
  <c r="N30" i="2"/>
  <c r="N17" i="2"/>
  <c r="O24" i="2"/>
  <c r="N20" i="2"/>
  <c r="N33" i="2"/>
  <c r="N9" i="2"/>
  <c r="N18" i="2"/>
  <c r="N13" i="2"/>
  <c r="N31" i="2"/>
  <c r="O23" i="2"/>
  <c r="N6" i="2"/>
  <c r="O15" i="2"/>
  <c r="N22" i="2"/>
  <c r="N28" i="2"/>
  <c r="O11" i="2"/>
  <c r="N29" i="2"/>
  <c r="O12" i="2"/>
  <c r="N8" i="2"/>
  <c r="N14" i="2"/>
  <c r="N12" i="2"/>
  <c r="O27" i="2"/>
  <c r="N26" i="2"/>
  <c r="N25" i="2"/>
  <c r="O7" i="2"/>
  <c r="N16" i="2"/>
  <c r="O34" i="2"/>
  <c r="O26" i="2"/>
  <c r="O18" i="2"/>
  <c r="P4" i="2" l="1"/>
  <c r="C191" i="9"/>
  <c r="C192" i="9"/>
  <c r="C193" i="9"/>
  <c r="E193" i="9" s="1"/>
  <c r="C194" i="9"/>
  <c r="E194" i="9" s="1"/>
  <c r="C195" i="9"/>
  <c r="C196" i="9"/>
  <c r="C197" i="9"/>
  <c r="E197" i="9" s="1"/>
  <c r="C198" i="9"/>
  <c r="E198" i="9" s="1"/>
  <c r="C199" i="9"/>
  <c r="C200" i="9"/>
  <c r="C201" i="9"/>
  <c r="E201" i="9" s="1"/>
  <c r="C202" i="9"/>
  <c r="E202" i="9" s="1"/>
  <c r="C203" i="9"/>
  <c r="F4" i="2"/>
  <c r="E192" i="9"/>
  <c r="F192" i="9"/>
  <c r="F194" i="9"/>
  <c r="E195" i="9"/>
  <c r="F195" i="9"/>
  <c r="E196" i="9"/>
  <c r="F196" i="9"/>
  <c r="F198" i="9"/>
  <c r="E199" i="9"/>
  <c r="F199" i="9"/>
  <c r="E200" i="9"/>
  <c r="F200" i="9"/>
  <c r="F202" i="9"/>
  <c r="E203" i="9"/>
  <c r="F203" i="9"/>
  <c r="F191" i="9"/>
  <c r="E191" i="9"/>
  <c r="N4" i="12" l="1"/>
  <c r="O4" i="12"/>
  <c r="V4" i="2"/>
  <c r="N5" i="2"/>
  <c r="O5" i="2"/>
  <c r="F201" i="9"/>
  <c r="F197" i="9"/>
  <c r="F193" i="9"/>
  <c r="C182" i="9"/>
  <c r="C183" i="9"/>
  <c r="C184" i="9"/>
  <c r="C185" i="9"/>
  <c r="C186" i="9"/>
  <c r="C181" i="9"/>
  <c r="C172" i="9"/>
  <c r="C173" i="9"/>
  <c r="C174" i="9"/>
  <c r="C175" i="9"/>
  <c r="C176" i="9"/>
  <c r="C177" i="9"/>
  <c r="C178" i="9"/>
  <c r="C179" i="9"/>
  <c r="C180" i="9"/>
  <c r="B4" i="1" l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" i="9"/>
  <c r="AN4" i="5" l="1"/>
  <c r="AI4" i="5"/>
  <c r="AP4" i="5"/>
  <c r="AO4" i="5"/>
  <c r="AM4" i="5"/>
  <c r="AL4" i="5"/>
  <c r="AK4" i="5"/>
  <c r="AJ4" i="5"/>
  <c r="AH4" i="5"/>
  <c r="AB4" i="5"/>
  <c r="Z4" i="5"/>
  <c r="Y4" i="5"/>
  <c r="X4" i="5"/>
  <c r="V4" i="5"/>
  <c r="U4" i="5"/>
  <c r="T4" i="5"/>
  <c r="S4" i="5"/>
  <c r="R4" i="5"/>
  <c r="Q4" i="5"/>
  <c r="P4" i="5"/>
  <c r="O4" i="5"/>
  <c r="N4" i="5"/>
  <c r="M4" i="5"/>
  <c r="K4" i="5"/>
  <c r="J4" i="5"/>
  <c r="I4" i="5"/>
  <c r="H4" i="5"/>
  <c r="G4" i="5"/>
  <c r="F4" i="5"/>
  <c r="E4" i="5"/>
  <c r="C4" i="5"/>
  <c r="B4" i="5"/>
  <c r="A4" i="5"/>
  <c r="C20" i="9"/>
  <c r="C21" i="9"/>
  <c r="C22" i="9"/>
  <c r="C23" i="9"/>
  <c r="C24" i="9"/>
  <c r="C25" i="9"/>
  <c r="C26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Y4" i="2"/>
  <c r="AP4" i="2"/>
  <c r="AM4" i="2"/>
  <c r="AJ4" i="2"/>
  <c r="AH4" i="2"/>
  <c r="AG4" i="2"/>
  <c r="AE4" i="2"/>
  <c r="AB4" i="2"/>
  <c r="AC4" i="2" s="1"/>
  <c r="X4" i="2"/>
  <c r="Q4" i="2"/>
  <c r="S4" i="2"/>
  <c r="R4" i="2"/>
  <c r="O4" i="2"/>
  <c r="N4" i="2"/>
  <c r="M4" i="2"/>
  <c r="L4" i="2"/>
  <c r="K4" i="2"/>
  <c r="J4" i="2"/>
  <c r="I4" i="2"/>
  <c r="E4" i="2"/>
  <c r="B4" i="2"/>
  <c r="A4" i="2"/>
  <c r="A4" i="1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71" i="9"/>
  <c r="C170" i="9"/>
  <c r="C169" i="9"/>
  <c r="C168" i="9"/>
  <c r="C162" i="9"/>
  <c r="W4" i="2" l="1"/>
  <c r="AJ4" i="1"/>
  <c r="AI4" i="1"/>
  <c r="C125" i="9"/>
  <c r="C126" i="9"/>
  <c r="C127" i="9"/>
  <c r="C128" i="9"/>
  <c r="C129" i="9"/>
  <c r="AG4" i="1"/>
  <c r="C118" i="9"/>
  <c r="C117" i="9"/>
  <c r="C116" i="9"/>
  <c r="C115" i="9"/>
  <c r="C114" i="9"/>
  <c r="Y4" i="1"/>
  <c r="C119" i="9"/>
  <c r="C120" i="9"/>
  <c r="C121" i="9"/>
  <c r="C122" i="9"/>
  <c r="C123" i="9"/>
  <c r="C124" i="9"/>
  <c r="C16" i="9"/>
  <c r="C17" i="9"/>
  <c r="C18" i="9"/>
  <c r="C19" i="9"/>
  <c r="C44" i="9"/>
  <c r="M4" i="1" l="1"/>
  <c r="L4" i="1"/>
  <c r="K4" i="1"/>
  <c r="J4" i="1"/>
  <c r="I4" i="1"/>
  <c r="E4" i="1"/>
  <c r="C27" i="9" l="1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163" i="9"/>
  <c r="C164" i="9"/>
  <c r="C165" i="9"/>
  <c r="C166" i="9"/>
  <c r="C167" i="9"/>
  <c r="C113" i="9" l="1"/>
  <c r="C112" i="9"/>
  <c r="C111" i="9"/>
  <c r="C110" i="9"/>
  <c r="C109" i="9"/>
  <c r="C108" i="9"/>
  <c r="C107" i="9"/>
  <c r="C106" i="9"/>
  <c r="C105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2" i="9"/>
  <c r="C3" i="9"/>
  <c r="C4" i="9"/>
  <c r="C5" i="9"/>
  <c r="C10" i="9"/>
  <c r="C11" i="9"/>
  <c r="C12" i="9"/>
  <c r="C13" i="9"/>
  <c r="C14" i="9"/>
  <c r="C15" i="9"/>
  <c r="C1" i="9"/>
  <c r="C7" i="9" l="1"/>
  <c r="C8" i="9"/>
  <c r="C9" i="9"/>
  <c r="C6" i="9"/>
  <c r="D4" i="5" l="1"/>
  <c r="D79" i="5"/>
  <c r="D67" i="2"/>
  <c r="F38" i="1"/>
  <c r="AH38" i="1"/>
  <c r="F39" i="1"/>
  <c r="AH39" i="1"/>
  <c r="F40" i="1"/>
  <c r="AH40" i="1"/>
  <c r="F41" i="1"/>
  <c r="AH41" i="1"/>
  <c r="F42" i="1"/>
  <c r="AH42" i="1"/>
  <c r="F43" i="1"/>
  <c r="AH43" i="1"/>
  <c r="F44" i="1"/>
  <c r="AH44" i="1"/>
  <c r="F45" i="1"/>
  <c r="AH45" i="1"/>
  <c r="F46" i="1"/>
  <c r="AH46" i="1"/>
  <c r="F47" i="1"/>
  <c r="AH47" i="1"/>
  <c r="F48" i="1"/>
  <c r="AH48" i="1"/>
  <c r="F49" i="1"/>
  <c r="AH49" i="1"/>
  <c r="F50" i="1"/>
  <c r="AH50" i="1"/>
  <c r="F51" i="1"/>
  <c r="AH51" i="1"/>
  <c r="F52" i="1"/>
  <c r="AH52" i="1"/>
  <c r="F53" i="1"/>
  <c r="AH53" i="1"/>
  <c r="F54" i="1"/>
  <c r="AH54" i="1"/>
  <c r="F55" i="1"/>
  <c r="AH55" i="1"/>
  <c r="F56" i="1"/>
  <c r="AH56" i="1"/>
  <c r="F57" i="1"/>
  <c r="AH57" i="1"/>
  <c r="F58" i="1"/>
  <c r="AH58" i="1"/>
  <c r="F59" i="1"/>
  <c r="AH59" i="1"/>
  <c r="F60" i="1"/>
  <c r="AH60" i="1"/>
  <c r="F61" i="1"/>
  <c r="AH61" i="1"/>
  <c r="F62" i="1"/>
  <c r="AH62" i="1"/>
  <c r="F63" i="1"/>
  <c r="AH63" i="1"/>
  <c r="F64" i="1"/>
  <c r="AH64" i="1"/>
  <c r="F65" i="1"/>
  <c r="AH65" i="1"/>
  <c r="F66" i="1"/>
  <c r="AH66" i="1"/>
  <c r="F67" i="1"/>
  <c r="AH67" i="1"/>
  <c r="F68" i="1"/>
  <c r="AH68" i="1"/>
  <c r="F69" i="1"/>
  <c r="AH69" i="1"/>
  <c r="F70" i="1"/>
  <c r="AH70" i="1"/>
  <c r="F71" i="1"/>
  <c r="AH71" i="1"/>
  <c r="F72" i="1"/>
  <c r="AH72" i="1"/>
  <c r="F73" i="1"/>
  <c r="AH73" i="1"/>
  <c r="F74" i="1"/>
  <c r="AH74" i="1"/>
  <c r="F75" i="1"/>
  <c r="AH75" i="1"/>
  <c r="D76" i="1"/>
  <c r="F76" i="1"/>
  <c r="AH76" i="1"/>
  <c r="F77" i="1"/>
  <c r="AH77" i="1"/>
  <c r="F78" i="1"/>
  <c r="AH78" i="1"/>
  <c r="F79" i="1"/>
  <c r="AH79" i="1"/>
  <c r="F80" i="1"/>
  <c r="AH80" i="1"/>
  <c r="F81" i="1"/>
  <c r="AH81" i="1"/>
  <c r="F82" i="1"/>
  <c r="AH82" i="1"/>
  <c r="F83" i="1"/>
  <c r="AH83" i="1"/>
  <c r="F84" i="1"/>
  <c r="AH84" i="1"/>
  <c r="F85" i="1"/>
  <c r="AH85" i="1"/>
  <c r="F86" i="1"/>
  <c r="AH86" i="1"/>
  <c r="F87" i="1"/>
  <c r="AH87" i="1"/>
  <c r="F88" i="1"/>
  <c r="AH88" i="1"/>
  <c r="F89" i="1"/>
  <c r="AH89" i="1"/>
  <c r="F90" i="1"/>
  <c r="AH90" i="1"/>
  <c r="F91" i="1"/>
  <c r="AH91" i="1"/>
  <c r="F92" i="1"/>
  <c r="AH92" i="1"/>
  <c r="F93" i="1"/>
  <c r="AH93" i="1"/>
  <c r="F94" i="1"/>
  <c r="AH94" i="1"/>
  <c r="F95" i="1"/>
  <c r="AH95" i="1"/>
  <c r="F96" i="1"/>
  <c r="AH96" i="1"/>
  <c r="F97" i="1"/>
  <c r="AH97" i="1"/>
  <c r="F98" i="1"/>
  <c r="AH98" i="1"/>
  <c r="F99" i="1"/>
  <c r="AH99" i="1"/>
  <c r="F100" i="1"/>
  <c r="AH100" i="1"/>
  <c r="F101" i="1"/>
  <c r="AH101" i="1"/>
  <c r="F102" i="1"/>
  <c r="AH102" i="1"/>
  <c r="F103" i="1"/>
  <c r="AH103" i="1"/>
  <c r="F36" i="1"/>
  <c r="AH36" i="1"/>
  <c r="F37" i="1"/>
  <c r="AH37" i="1"/>
  <c r="D37" i="1"/>
  <c r="D36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AH35" i="1"/>
  <c r="F35" i="1"/>
  <c r="AH34" i="1"/>
  <c r="F34" i="1"/>
  <c r="AH33" i="1"/>
  <c r="F33" i="1"/>
  <c r="AH32" i="1"/>
  <c r="F32" i="1"/>
  <c r="AH31" i="1"/>
  <c r="F31" i="1"/>
  <c r="AH30" i="1"/>
  <c r="F30" i="1"/>
  <c r="AH29" i="1"/>
  <c r="F29" i="1"/>
  <c r="AH28" i="1"/>
  <c r="F28" i="1"/>
  <c r="AH27" i="1"/>
  <c r="F27" i="1"/>
  <c r="AH26" i="1"/>
  <c r="F26" i="1"/>
  <c r="AH25" i="1"/>
  <c r="F25" i="1"/>
  <c r="AH24" i="1"/>
  <c r="F24" i="1"/>
  <c r="AH23" i="1"/>
  <c r="F23" i="1"/>
  <c r="AH22" i="1"/>
  <c r="F22" i="1"/>
  <c r="AH21" i="1"/>
  <c r="F21" i="1"/>
  <c r="AH20" i="1"/>
  <c r="F20" i="1"/>
  <c r="AH19" i="1"/>
  <c r="F19" i="1"/>
  <c r="AH18" i="1"/>
  <c r="F18" i="1"/>
  <c r="AH17" i="1"/>
  <c r="F17" i="1"/>
  <c r="AH16" i="1"/>
  <c r="F16" i="1"/>
  <c r="AH15" i="1"/>
  <c r="F15" i="1"/>
  <c r="AH14" i="1"/>
  <c r="F14" i="1"/>
  <c r="AH13" i="1"/>
  <c r="F13" i="1"/>
  <c r="AH12" i="1"/>
  <c r="F12" i="1"/>
  <c r="AH11" i="1"/>
  <c r="F11" i="1"/>
  <c r="AH10" i="1"/>
  <c r="F10" i="1"/>
  <c r="AH9" i="1"/>
  <c r="F9" i="1"/>
  <c r="AH8" i="1"/>
  <c r="F8" i="1"/>
  <c r="AH7" i="1"/>
  <c r="F7" i="1"/>
  <c r="AH6" i="1"/>
  <c r="F6" i="1"/>
  <c r="AH5" i="1"/>
  <c r="F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AN4" i="2"/>
  <c r="C4" i="2"/>
  <c r="D4" i="2" s="1"/>
  <c r="AI4" i="2"/>
  <c r="C4" i="1"/>
  <c r="D4" i="1" s="1"/>
  <c r="AH4" i="1"/>
  <c r="F4" i="1"/>
  <c r="Q4" i="1" s="1"/>
  <c r="Q5" i="1" l="1"/>
  <c r="R5" i="1"/>
  <c r="N5" i="1"/>
  <c r="O5" i="1" s="1"/>
  <c r="Q6" i="1"/>
  <c r="R6" i="1"/>
  <c r="N6" i="1"/>
  <c r="O6" i="1" s="1"/>
  <c r="Q7" i="1"/>
  <c r="R7" i="1"/>
  <c r="N7" i="1"/>
  <c r="O7" i="1" s="1"/>
  <c r="Q8" i="1"/>
  <c r="R8" i="1"/>
  <c r="N8" i="1"/>
  <c r="O8" i="1" s="1"/>
  <c r="Q9" i="1"/>
  <c r="R9" i="1"/>
  <c r="N9" i="1"/>
  <c r="O9" i="1" s="1"/>
  <c r="Q10" i="1"/>
  <c r="R10" i="1"/>
  <c r="N10" i="1"/>
  <c r="O10" i="1" s="1"/>
  <c r="Q11" i="1"/>
  <c r="R11" i="1"/>
  <c r="N11" i="1"/>
  <c r="O11" i="1" s="1"/>
  <c r="Q12" i="1"/>
  <c r="R12" i="1"/>
  <c r="N12" i="1"/>
  <c r="O12" i="1" s="1"/>
  <c r="Q13" i="1"/>
  <c r="N13" i="1"/>
  <c r="O13" i="1" s="1"/>
  <c r="R13" i="1"/>
  <c r="Q14" i="1"/>
  <c r="R14" i="1"/>
  <c r="N14" i="1"/>
  <c r="O14" i="1" s="1"/>
  <c r="Q15" i="1"/>
  <c r="R15" i="1"/>
  <c r="N15" i="1"/>
  <c r="O15" i="1" s="1"/>
  <c r="Q16" i="1"/>
  <c r="R16" i="1"/>
  <c r="N16" i="1"/>
  <c r="O16" i="1" s="1"/>
  <c r="Q17" i="1"/>
  <c r="R17" i="1"/>
  <c r="N17" i="1"/>
  <c r="O17" i="1" s="1"/>
  <c r="Q18" i="1"/>
  <c r="R18" i="1"/>
  <c r="N18" i="1"/>
  <c r="O18" i="1" s="1"/>
  <c r="Q19" i="1"/>
  <c r="R19" i="1"/>
  <c r="N19" i="1"/>
  <c r="O19" i="1" s="1"/>
  <c r="Q20" i="1"/>
  <c r="R20" i="1"/>
  <c r="N20" i="1"/>
  <c r="O20" i="1" s="1"/>
  <c r="Q21" i="1"/>
  <c r="R21" i="1"/>
  <c r="N21" i="1"/>
  <c r="O21" i="1" s="1"/>
  <c r="Q22" i="1"/>
  <c r="R22" i="1"/>
  <c r="N22" i="1"/>
  <c r="O22" i="1" s="1"/>
  <c r="Q23" i="1"/>
  <c r="R23" i="1"/>
  <c r="N23" i="1"/>
  <c r="O23" i="1" s="1"/>
  <c r="Q24" i="1"/>
  <c r="R24" i="1"/>
  <c r="N24" i="1"/>
  <c r="O24" i="1" s="1"/>
  <c r="Q25" i="1"/>
  <c r="R25" i="1"/>
  <c r="N25" i="1"/>
  <c r="O25" i="1" s="1"/>
  <c r="Q26" i="1"/>
  <c r="R26" i="1"/>
  <c r="N26" i="1"/>
  <c r="O26" i="1" s="1"/>
  <c r="Q27" i="1"/>
  <c r="R27" i="1"/>
  <c r="N27" i="1"/>
  <c r="O27" i="1" s="1"/>
  <c r="Q28" i="1"/>
  <c r="R28" i="1"/>
  <c r="N28" i="1"/>
  <c r="O28" i="1" s="1"/>
  <c r="Q29" i="1"/>
  <c r="R29" i="1"/>
  <c r="N29" i="1"/>
  <c r="O29" i="1" s="1"/>
  <c r="Q30" i="1"/>
  <c r="R30" i="1"/>
  <c r="N30" i="1"/>
  <c r="O30" i="1" s="1"/>
  <c r="Q31" i="1"/>
  <c r="R31" i="1"/>
  <c r="N31" i="1"/>
  <c r="O31" i="1" s="1"/>
  <c r="Q32" i="1"/>
  <c r="R32" i="1"/>
  <c r="N32" i="1"/>
  <c r="O32" i="1" s="1"/>
  <c r="Q33" i="1"/>
  <c r="R33" i="1"/>
  <c r="N33" i="1"/>
  <c r="O33" i="1" s="1"/>
  <c r="Q34" i="1"/>
  <c r="R34" i="1"/>
  <c r="N34" i="1"/>
  <c r="O34" i="1" s="1"/>
  <c r="Q35" i="1"/>
  <c r="R35" i="1"/>
  <c r="N35" i="1"/>
  <c r="O35" i="1" s="1"/>
  <c r="Q37" i="1"/>
  <c r="N37" i="1"/>
  <c r="O37" i="1" s="1"/>
  <c r="R37" i="1"/>
  <c r="Q36" i="1"/>
  <c r="R36" i="1"/>
  <c r="N36" i="1"/>
  <c r="O36" i="1" s="1"/>
  <c r="Q103" i="1"/>
  <c r="N103" i="1"/>
  <c r="O103" i="1" s="1"/>
  <c r="R103" i="1"/>
  <c r="Q102" i="1"/>
  <c r="N102" i="1"/>
  <c r="O102" i="1" s="1"/>
  <c r="R102" i="1"/>
  <c r="Q101" i="1"/>
  <c r="N101" i="1"/>
  <c r="O101" i="1" s="1"/>
  <c r="R101" i="1"/>
  <c r="N100" i="1"/>
  <c r="O100" i="1" s="1"/>
  <c r="Q100" i="1"/>
  <c r="R100" i="1"/>
  <c r="Q99" i="1"/>
  <c r="N99" i="1"/>
  <c r="O99" i="1" s="1"/>
  <c r="R99" i="1"/>
  <c r="Q98" i="1"/>
  <c r="N98" i="1"/>
  <c r="O98" i="1" s="1"/>
  <c r="R98" i="1"/>
  <c r="Q97" i="1"/>
  <c r="N97" i="1"/>
  <c r="O97" i="1" s="1"/>
  <c r="R97" i="1"/>
  <c r="Q96" i="1"/>
  <c r="N96" i="1"/>
  <c r="O96" i="1" s="1"/>
  <c r="R96" i="1"/>
  <c r="Q95" i="1"/>
  <c r="N95" i="1"/>
  <c r="O95" i="1" s="1"/>
  <c r="R95" i="1"/>
  <c r="Q94" i="1"/>
  <c r="N94" i="1"/>
  <c r="O94" i="1" s="1"/>
  <c r="R94" i="1"/>
  <c r="Q93" i="1"/>
  <c r="N93" i="1"/>
  <c r="O93" i="1" s="1"/>
  <c r="R93" i="1"/>
  <c r="Q92" i="1"/>
  <c r="N92" i="1"/>
  <c r="O92" i="1" s="1"/>
  <c r="R92" i="1"/>
  <c r="Q91" i="1"/>
  <c r="N91" i="1"/>
  <c r="O91" i="1" s="1"/>
  <c r="R91" i="1"/>
  <c r="Q90" i="1"/>
  <c r="N90" i="1"/>
  <c r="O90" i="1" s="1"/>
  <c r="R90" i="1"/>
  <c r="Q89" i="1"/>
  <c r="N89" i="1"/>
  <c r="O89" i="1" s="1"/>
  <c r="R89" i="1"/>
  <c r="Q88" i="1"/>
  <c r="N88" i="1"/>
  <c r="O88" i="1" s="1"/>
  <c r="R88" i="1"/>
  <c r="Q87" i="1"/>
  <c r="N87" i="1"/>
  <c r="O87" i="1" s="1"/>
  <c r="R87" i="1"/>
  <c r="Q86" i="1"/>
  <c r="N86" i="1"/>
  <c r="O86" i="1" s="1"/>
  <c r="R86" i="1"/>
  <c r="Q85" i="1"/>
  <c r="N85" i="1"/>
  <c r="O85" i="1" s="1"/>
  <c r="R85" i="1"/>
  <c r="Q84" i="1"/>
  <c r="N84" i="1"/>
  <c r="O84" i="1" s="1"/>
  <c r="R84" i="1"/>
  <c r="Q83" i="1"/>
  <c r="N83" i="1"/>
  <c r="O83" i="1" s="1"/>
  <c r="R83" i="1"/>
  <c r="Q82" i="1"/>
  <c r="N82" i="1"/>
  <c r="O82" i="1" s="1"/>
  <c r="R82" i="1"/>
  <c r="Q81" i="1"/>
  <c r="N81" i="1"/>
  <c r="O81" i="1" s="1"/>
  <c r="R81" i="1"/>
  <c r="Q80" i="1"/>
  <c r="N80" i="1"/>
  <c r="O80" i="1" s="1"/>
  <c r="R80" i="1"/>
  <c r="Q79" i="1"/>
  <c r="N79" i="1"/>
  <c r="O79" i="1" s="1"/>
  <c r="R79" i="1"/>
  <c r="N78" i="1"/>
  <c r="O78" i="1" s="1"/>
  <c r="Q78" i="1"/>
  <c r="R78" i="1"/>
  <c r="Q77" i="1"/>
  <c r="N77" i="1"/>
  <c r="O77" i="1" s="1"/>
  <c r="R77" i="1"/>
  <c r="Q76" i="1"/>
  <c r="N76" i="1"/>
  <c r="O76" i="1" s="1"/>
  <c r="R76" i="1"/>
  <c r="N75" i="1"/>
  <c r="O75" i="1" s="1"/>
  <c r="Q75" i="1"/>
  <c r="R75" i="1"/>
  <c r="Q74" i="1"/>
  <c r="N74" i="1"/>
  <c r="O74" i="1" s="1"/>
  <c r="R74" i="1"/>
  <c r="Q73" i="1"/>
  <c r="N73" i="1"/>
  <c r="O73" i="1" s="1"/>
  <c r="R73" i="1"/>
  <c r="Q72" i="1"/>
  <c r="N72" i="1"/>
  <c r="O72" i="1" s="1"/>
  <c r="R72" i="1"/>
  <c r="N71" i="1"/>
  <c r="O71" i="1" s="1"/>
  <c r="Q71" i="1"/>
  <c r="R71" i="1"/>
  <c r="Q70" i="1"/>
  <c r="N70" i="1"/>
  <c r="O70" i="1" s="1"/>
  <c r="R70" i="1"/>
  <c r="Q69" i="1"/>
  <c r="N69" i="1"/>
  <c r="O69" i="1" s="1"/>
  <c r="R69" i="1"/>
  <c r="Q68" i="1"/>
  <c r="N68" i="1"/>
  <c r="O68" i="1" s="1"/>
  <c r="R68" i="1"/>
  <c r="Q67" i="1"/>
  <c r="N67" i="1"/>
  <c r="O67" i="1" s="1"/>
  <c r="R67" i="1"/>
  <c r="Q66" i="1"/>
  <c r="N66" i="1"/>
  <c r="O66" i="1" s="1"/>
  <c r="R66" i="1"/>
  <c r="Q65" i="1"/>
  <c r="N65" i="1"/>
  <c r="O65" i="1" s="1"/>
  <c r="R65" i="1"/>
  <c r="Q64" i="1"/>
  <c r="N64" i="1"/>
  <c r="O64" i="1" s="1"/>
  <c r="R64" i="1"/>
  <c r="Q63" i="1"/>
  <c r="N63" i="1"/>
  <c r="O63" i="1" s="1"/>
  <c r="R63" i="1"/>
  <c r="Q62" i="1"/>
  <c r="N62" i="1"/>
  <c r="O62" i="1" s="1"/>
  <c r="R62" i="1"/>
  <c r="Q61" i="1"/>
  <c r="N61" i="1"/>
  <c r="O61" i="1" s="1"/>
  <c r="R61" i="1"/>
  <c r="Q60" i="1"/>
  <c r="N60" i="1"/>
  <c r="O60" i="1" s="1"/>
  <c r="R60" i="1"/>
  <c r="Q59" i="1"/>
  <c r="N59" i="1"/>
  <c r="O59" i="1" s="1"/>
  <c r="R59" i="1"/>
  <c r="Q58" i="1"/>
  <c r="N58" i="1"/>
  <c r="O58" i="1" s="1"/>
  <c r="R58" i="1"/>
  <c r="Q57" i="1"/>
  <c r="N57" i="1"/>
  <c r="O57" i="1" s="1"/>
  <c r="R57" i="1"/>
  <c r="Q56" i="1"/>
  <c r="N56" i="1"/>
  <c r="O56" i="1" s="1"/>
  <c r="R56" i="1"/>
  <c r="Q55" i="1"/>
  <c r="N55" i="1"/>
  <c r="O55" i="1" s="1"/>
  <c r="R55" i="1"/>
  <c r="Q54" i="1"/>
  <c r="N54" i="1"/>
  <c r="O54" i="1" s="1"/>
  <c r="R54" i="1"/>
  <c r="Q53" i="1"/>
  <c r="N53" i="1"/>
  <c r="O53" i="1" s="1"/>
  <c r="R53" i="1"/>
  <c r="Q52" i="1"/>
  <c r="N52" i="1"/>
  <c r="O52" i="1" s="1"/>
  <c r="R52" i="1"/>
  <c r="Q51" i="1"/>
  <c r="N51" i="1"/>
  <c r="O51" i="1" s="1"/>
  <c r="R51" i="1"/>
  <c r="Q50" i="1"/>
  <c r="N50" i="1"/>
  <c r="O50" i="1" s="1"/>
  <c r="R50" i="1"/>
  <c r="Q49" i="1"/>
  <c r="N49" i="1"/>
  <c r="O49" i="1" s="1"/>
  <c r="R49" i="1"/>
  <c r="Q48" i="1"/>
  <c r="N48" i="1"/>
  <c r="O48" i="1" s="1"/>
  <c r="R48" i="1"/>
  <c r="Q47" i="1"/>
  <c r="N47" i="1"/>
  <c r="O47" i="1" s="1"/>
  <c r="R47" i="1"/>
  <c r="Q46" i="1"/>
  <c r="N46" i="1"/>
  <c r="O46" i="1" s="1"/>
  <c r="R46" i="1"/>
  <c r="Q45" i="1"/>
  <c r="N45" i="1"/>
  <c r="O45" i="1" s="1"/>
  <c r="R45" i="1"/>
  <c r="Q44" i="1"/>
  <c r="N44" i="1"/>
  <c r="O44" i="1" s="1"/>
  <c r="R44" i="1"/>
  <c r="Q43" i="1"/>
  <c r="N43" i="1"/>
  <c r="O43" i="1" s="1"/>
  <c r="R43" i="1"/>
  <c r="Q42" i="1"/>
  <c r="N42" i="1"/>
  <c r="O42" i="1" s="1"/>
  <c r="R42" i="1"/>
  <c r="Q41" i="1"/>
  <c r="N41" i="1"/>
  <c r="O41" i="1" s="1"/>
  <c r="R41" i="1"/>
  <c r="Q40" i="1"/>
  <c r="N40" i="1"/>
  <c r="O40" i="1" s="1"/>
  <c r="R40" i="1"/>
  <c r="Q39" i="1"/>
  <c r="N39" i="1"/>
  <c r="O39" i="1" s="1"/>
  <c r="R39" i="1"/>
  <c r="Q38" i="1"/>
  <c r="N38" i="1"/>
  <c r="O38" i="1" s="1"/>
  <c r="R38" i="1"/>
  <c r="R4" i="1"/>
  <c r="N4" i="1"/>
  <c r="O4" i="1" s="1"/>
  <c r="AC38" i="1" l="1"/>
  <c r="AB38" i="1"/>
  <c r="AD38" i="1"/>
  <c r="S38" i="1"/>
  <c r="AA38" i="1"/>
  <c r="AC39" i="1"/>
  <c r="AB39" i="1"/>
  <c r="AD39" i="1"/>
  <c r="S39" i="1"/>
  <c r="AA39" i="1"/>
  <c r="S40" i="1"/>
  <c r="AC40" i="1"/>
  <c r="U40" i="1"/>
  <c r="AB40" i="1"/>
  <c r="AD40" i="1"/>
  <c r="AA40" i="1"/>
  <c r="AC41" i="1"/>
  <c r="AB41" i="1"/>
  <c r="S41" i="1"/>
  <c r="AA41" i="1"/>
  <c r="AD41" i="1"/>
  <c r="AC42" i="1"/>
  <c r="AB42" i="1"/>
  <c r="S42" i="1"/>
  <c r="AA42" i="1"/>
  <c r="AD42" i="1"/>
  <c r="AC43" i="1"/>
  <c r="AB43" i="1"/>
  <c r="AD43" i="1"/>
  <c r="S43" i="1"/>
  <c r="AA43" i="1"/>
  <c r="S44" i="1"/>
  <c r="AC44" i="1"/>
  <c r="U44" i="1"/>
  <c r="AB44" i="1"/>
  <c r="AD44" i="1"/>
  <c r="AA44" i="1"/>
  <c r="AC45" i="1"/>
  <c r="AB45" i="1"/>
  <c r="S45" i="1"/>
  <c r="AA45" i="1"/>
  <c r="AD45" i="1"/>
  <c r="AC46" i="1"/>
  <c r="AB46" i="1"/>
  <c r="S46" i="1"/>
  <c r="AA46" i="1"/>
  <c r="AD46" i="1"/>
  <c r="AC47" i="1"/>
  <c r="AB47" i="1"/>
  <c r="AD47" i="1"/>
  <c r="S47" i="1"/>
  <c r="AA47" i="1"/>
  <c r="S48" i="1"/>
  <c r="AC48" i="1"/>
  <c r="U48" i="1"/>
  <c r="AB48" i="1"/>
  <c r="AD48" i="1"/>
  <c r="AA48" i="1"/>
  <c r="AC49" i="1"/>
  <c r="AB49" i="1"/>
  <c r="S49" i="1"/>
  <c r="AA49" i="1"/>
  <c r="AD49" i="1"/>
  <c r="AC50" i="1"/>
  <c r="AB50" i="1"/>
  <c r="S50" i="1"/>
  <c r="AA50" i="1"/>
  <c r="AD50" i="1"/>
  <c r="AC51" i="1"/>
  <c r="AB51" i="1"/>
  <c r="AD51" i="1"/>
  <c r="S51" i="1"/>
  <c r="AA51" i="1"/>
  <c r="S52" i="1"/>
  <c r="AC52" i="1"/>
  <c r="U52" i="1"/>
  <c r="AB52" i="1"/>
  <c r="AD52" i="1"/>
  <c r="AA52" i="1"/>
  <c r="AC53" i="1"/>
  <c r="AB53" i="1"/>
  <c r="S53" i="1"/>
  <c r="AA53" i="1"/>
  <c r="AD53" i="1"/>
  <c r="AC54" i="1"/>
  <c r="AB54" i="1"/>
  <c r="S54" i="1"/>
  <c r="AA54" i="1"/>
  <c r="AD54" i="1"/>
  <c r="AC55" i="1"/>
  <c r="AB55" i="1"/>
  <c r="AD55" i="1"/>
  <c r="S55" i="1"/>
  <c r="AA55" i="1"/>
  <c r="S56" i="1"/>
  <c r="AC56" i="1"/>
  <c r="U56" i="1"/>
  <c r="AB56" i="1"/>
  <c r="AD56" i="1"/>
  <c r="AA56" i="1"/>
  <c r="AC57" i="1"/>
  <c r="AB57" i="1"/>
  <c r="S57" i="1"/>
  <c r="AA57" i="1"/>
  <c r="AD57" i="1"/>
  <c r="AC58" i="1"/>
  <c r="AB58" i="1"/>
  <c r="S58" i="1"/>
  <c r="AA58" i="1"/>
  <c r="AD58" i="1"/>
  <c r="AC59" i="1"/>
  <c r="AA59" i="1"/>
  <c r="S59" i="1"/>
  <c r="AB59" i="1"/>
  <c r="AD59" i="1"/>
  <c r="AB60" i="1"/>
  <c r="S60" i="1"/>
  <c r="AD60" i="1"/>
  <c r="AC60" i="1"/>
  <c r="AA60" i="1"/>
  <c r="AC61" i="1"/>
  <c r="AD61" i="1"/>
  <c r="AA61" i="1"/>
  <c r="AB61" i="1"/>
  <c r="S61" i="1"/>
  <c r="AC62" i="1"/>
  <c r="AA62" i="1"/>
  <c r="S62" i="1"/>
  <c r="AB62" i="1"/>
  <c r="AD62" i="1"/>
  <c r="AC63" i="1"/>
  <c r="AA63" i="1"/>
  <c r="S63" i="1"/>
  <c r="AB63" i="1"/>
  <c r="AD63" i="1"/>
  <c r="AB64" i="1"/>
  <c r="S64" i="1"/>
  <c r="AD64" i="1"/>
  <c r="AC64" i="1"/>
  <c r="AA64" i="1"/>
  <c r="AA65" i="1"/>
  <c r="AB65" i="1"/>
  <c r="S65" i="1"/>
  <c r="AC65" i="1"/>
  <c r="AD65" i="1"/>
  <c r="AC66" i="1"/>
  <c r="AA66" i="1"/>
  <c r="S66" i="1"/>
  <c r="AB66" i="1"/>
  <c r="AD66" i="1"/>
  <c r="AC67" i="1"/>
  <c r="AA67" i="1"/>
  <c r="S67" i="1"/>
  <c r="AB67" i="1"/>
  <c r="AD67" i="1"/>
  <c r="AC68" i="1"/>
  <c r="AA68" i="1"/>
  <c r="AB68" i="1"/>
  <c r="S68" i="1"/>
  <c r="AD68" i="1"/>
  <c r="AC69" i="1"/>
  <c r="AD69" i="1"/>
  <c r="AA69" i="1"/>
  <c r="AB69" i="1"/>
  <c r="S69" i="1"/>
  <c r="AC70" i="1"/>
  <c r="AA70" i="1"/>
  <c r="S70" i="1"/>
  <c r="AB70" i="1"/>
  <c r="AD70" i="1"/>
  <c r="AC71" i="1"/>
  <c r="AA71" i="1"/>
  <c r="AD71" i="1"/>
  <c r="S71" i="1"/>
  <c r="AB71" i="1"/>
  <c r="AA72" i="1"/>
  <c r="AC72" i="1"/>
  <c r="AD72" i="1"/>
  <c r="S72" i="1"/>
  <c r="AB72" i="1"/>
  <c r="AC73" i="1"/>
  <c r="AD73" i="1"/>
  <c r="AA73" i="1"/>
  <c r="AB73" i="1"/>
  <c r="S73" i="1"/>
  <c r="AC74" i="1"/>
  <c r="AA74" i="1"/>
  <c r="S74" i="1"/>
  <c r="AB74" i="1"/>
  <c r="AD74" i="1"/>
  <c r="AC75" i="1"/>
  <c r="AA75" i="1"/>
  <c r="AD75" i="1"/>
  <c r="S75" i="1"/>
  <c r="AB75" i="1"/>
  <c r="AA76" i="1"/>
  <c r="AC76" i="1"/>
  <c r="AD76" i="1"/>
  <c r="S76" i="1"/>
  <c r="AB76" i="1"/>
  <c r="AA77" i="1"/>
  <c r="AB77" i="1"/>
  <c r="S77" i="1"/>
  <c r="AC77" i="1"/>
  <c r="AD77" i="1"/>
  <c r="AC78" i="1"/>
  <c r="AA78" i="1"/>
  <c r="AD78" i="1"/>
  <c r="S78" i="1"/>
  <c r="AB78" i="1"/>
  <c r="AC79" i="1"/>
  <c r="AD79" i="1"/>
  <c r="AA79" i="1"/>
  <c r="AB79" i="1"/>
  <c r="S79" i="1"/>
  <c r="AC80" i="1"/>
  <c r="AD80" i="1"/>
  <c r="S80" i="1"/>
  <c r="AB80" i="1"/>
  <c r="AA80" i="1"/>
  <c r="AC81" i="1"/>
  <c r="AB81" i="1"/>
  <c r="S81" i="1"/>
  <c r="AA81" i="1"/>
  <c r="AD81" i="1"/>
  <c r="AB82" i="1"/>
  <c r="S82" i="1"/>
  <c r="AA82" i="1"/>
  <c r="AC82" i="1"/>
  <c r="AD82" i="1"/>
  <c r="AB83" i="1"/>
  <c r="S83" i="1"/>
  <c r="AC83" i="1"/>
  <c r="U83" i="10"/>
  <c r="AA83" i="1"/>
  <c r="AD83" i="1"/>
  <c r="AC84" i="1"/>
  <c r="AD84" i="1"/>
  <c r="AA84" i="1"/>
  <c r="S84" i="1"/>
  <c r="AB84" i="1"/>
  <c r="AD85" i="1"/>
  <c r="AB85" i="1"/>
  <c r="S85" i="1"/>
  <c r="AC85" i="1"/>
  <c r="AA85" i="1"/>
  <c r="AC86" i="1"/>
  <c r="AA86" i="1"/>
  <c r="S86" i="1"/>
  <c r="AB86" i="1"/>
  <c r="AD86" i="1"/>
  <c r="AB87" i="1"/>
  <c r="S87" i="1"/>
  <c r="AC87" i="1"/>
  <c r="AD87" i="1"/>
  <c r="U87" i="10"/>
  <c r="AA87" i="1"/>
  <c r="AC88" i="1"/>
  <c r="AD88" i="1"/>
  <c r="AA88" i="1"/>
  <c r="S88" i="1"/>
  <c r="AB88" i="1"/>
  <c r="AD89" i="1"/>
  <c r="AB89" i="1"/>
  <c r="S89" i="1"/>
  <c r="AC89" i="1"/>
  <c r="AA89" i="1"/>
  <c r="AC90" i="1"/>
  <c r="AA90" i="1"/>
  <c r="S90" i="1"/>
  <c r="AB90" i="1"/>
  <c r="AD90" i="1"/>
  <c r="AC91" i="1"/>
  <c r="AD91" i="1"/>
  <c r="AA91" i="1"/>
  <c r="AB91" i="1"/>
  <c r="S91" i="1"/>
  <c r="AC92" i="1"/>
  <c r="AD92" i="1"/>
  <c r="AA92" i="1"/>
  <c r="S92" i="1"/>
  <c r="AB92" i="1"/>
  <c r="AD93" i="1"/>
  <c r="AB93" i="1"/>
  <c r="S93" i="1"/>
  <c r="AC93" i="1"/>
  <c r="AA93" i="1"/>
  <c r="AC94" i="1"/>
  <c r="AA94" i="1"/>
  <c r="S94" i="1"/>
  <c r="AB94" i="1"/>
  <c r="AD94" i="1"/>
  <c r="AB95" i="1"/>
  <c r="S95" i="1"/>
  <c r="AC95" i="1"/>
  <c r="AD95" i="1"/>
  <c r="U95" i="10"/>
  <c r="AA95" i="1"/>
  <c r="AC96" i="1"/>
  <c r="AD96" i="1"/>
  <c r="AA96" i="1"/>
  <c r="S96" i="1"/>
  <c r="AB96" i="1"/>
  <c r="AD97" i="1"/>
  <c r="AB97" i="1"/>
  <c r="S97" i="1"/>
  <c r="AC97" i="1"/>
  <c r="AA97" i="1"/>
  <c r="AC98" i="1"/>
  <c r="AA98" i="1"/>
  <c r="S98" i="1"/>
  <c r="AB98" i="1"/>
  <c r="AD98" i="1"/>
  <c r="AC99" i="1"/>
  <c r="AD99" i="1"/>
  <c r="AA99" i="1"/>
  <c r="AB99" i="1"/>
  <c r="S99" i="1"/>
  <c r="AC100" i="1"/>
  <c r="AD100" i="1"/>
  <c r="AA100" i="1"/>
  <c r="S100" i="1"/>
  <c r="AB100" i="1"/>
  <c r="AA101" i="1"/>
  <c r="AC101" i="1"/>
  <c r="S101" i="1"/>
  <c r="AB101" i="1"/>
  <c r="AD101" i="1"/>
  <c r="AC102" i="1"/>
  <c r="AA102" i="1"/>
  <c r="S102" i="1"/>
  <c r="AB102" i="1"/>
  <c r="AD102" i="1"/>
  <c r="AB103" i="1"/>
  <c r="S103" i="1"/>
  <c r="AC103" i="1"/>
  <c r="U103" i="10"/>
  <c r="AA103" i="1"/>
  <c r="AD103" i="1"/>
  <c r="AC36" i="1"/>
  <c r="S36" i="1"/>
  <c r="AA36" i="1"/>
  <c r="AB36" i="1"/>
  <c r="AD36" i="1"/>
  <c r="AB37" i="1"/>
  <c r="AD37" i="1"/>
  <c r="AC37" i="1"/>
  <c r="S37" i="1"/>
  <c r="AA37" i="1"/>
  <c r="AB35" i="1"/>
  <c r="AA35" i="1"/>
  <c r="S35" i="1"/>
  <c r="AC35" i="1"/>
  <c r="AD35" i="1"/>
  <c r="AD34" i="1"/>
  <c r="AB34" i="1"/>
  <c r="AC34" i="1"/>
  <c r="S34" i="1"/>
  <c r="AA34" i="1"/>
  <c r="AB33" i="1"/>
  <c r="AC33" i="1"/>
  <c r="AD33" i="1"/>
  <c r="AA33" i="1"/>
  <c r="S33" i="1"/>
  <c r="AD32" i="1"/>
  <c r="AA32" i="1"/>
  <c r="S32" i="1"/>
  <c r="AB32" i="1"/>
  <c r="AC32" i="1"/>
  <c r="AB31" i="1"/>
  <c r="AC31" i="1"/>
  <c r="S31" i="1"/>
  <c r="AA31" i="1"/>
  <c r="AD31" i="1"/>
  <c r="AB30" i="1"/>
  <c r="AC30" i="1"/>
  <c r="AA30" i="1"/>
  <c r="S30" i="1"/>
  <c r="AD30" i="1"/>
  <c r="AB29" i="1"/>
  <c r="AC29" i="1"/>
  <c r="AD29" i="1"/>
  <c r="AA29" i="1"/>
  <c r="S29" i="1"/>
  <c r="AD28" i="1"/>
  <c r="AA28" i="1"/>
  <c r="S28" i="1"/>
  <c r="AB28" i="1"/>
  <c r="AC28" i="1"/>
  <c r="AB27" i="1"/>
  <c r="AC27" i="1"/>
  <c r="S27" i="1"/>
  <c r="AA27" i="1"/>
  <c r="AD27" i="1"/>
  <c r="AB26" i="1"/>
  <c r="AC26" i="1"/>
  <c r="AA26" i="1"/>
  <c r="S26" i="1"/>
  <c r="AD26" i="1"/>
  <c r="AB25" i="1"/>
  <c r="AC25" i="1"/>
  <c r="AD25" i="1"/>
  <c r="AA25" i="1"/>
  <c r="S25" i="1"/>
  <c r="AD24" i="1"/>
  <c r="AA24" i="1"/>
  <c r="S24" i="1"/>
  <c r="AB24" i="1"/>
  <c r="AC24" i="1"/>
  <c r="AB23" i="1"/>
  <c r="AC23" i="1"/>
  <c r="S23" i="1"/>
  <c r="AA23" i="1"/>
  <c r="AD23" i="1"/>
  <c r="AB22" i="1"/>
  <c r="AC22" i="1"/>
  <c r="AA22" i="1"/>
  <c r="S22" i="1"/>
  <c r="AD22" i="1"/>
  <c r="AB21" i="1"/>
  <c r="AC21" i="1"/>
  <c r="AD21" i="1"/>
  <c r="AA21" i="1"/>
  <c r="S21" i="1"/>
  <c r="AD20" i="1"/>
  <c r="AA20" i="1"/>
  <c r="S20" i="1"/>
  <c r="AB20" i="1"/>
  <c r="AC20" i="1"/>
  <c r="AB19" i="1"/>
  <c r="AC19" i="1"/>
  <c r="S19" i="1"/>
  <c r="AA19" i="1"/>
  <c r="AD19" i="1"/>
  <c r="AB18" i="1"/>
  <c r="AC18" i="1"/>
  <c r="S18" i="1"/>
  <c r="AD18" i="1"/>
  <c r="AA18" i="1"/>
  <c r="AB17" i="1"/>
  <c r="AC17" i="1"/>
  <c r="AA17" i="1"/>
  <c r="AD17" i="1"/>
  <c r="S17" i="1"/>
  <c r="AA16" i="1"/>
  <c r="AB16" i="1"/>
  <c r="AC16" i="1"/>
  <c r="S16" i="1"/>
  <c r="AD16" i="1"/>
  <c r="AB15" i="1"/>
  <c r="AC15" i="1"/>
  <c r="S15" i="1"/>
  <c r="AA15" i="1"/>
  <c r="AD15" i="1"/>
  <c r="AB14" i="1"/>
  <c r="AA14" i="1"/>
  <c r="S14" i="1"/>
  <c r="AD14" i="1"/>
  <c r="AC14" i="1"/>
  <c r="AB13" i="1"/>
  <c r="AA13" i="1"/>
  <c r="S13" i="1"/>
  <c r="AC13" i="1"/>
  <c r="AD13" i="1"/>
  <c r="AB12" i="1"/>
  <c r="AA12" i="1"/>
  <c r="S12" i="1"/>
  <c r="AC12" i="1"/>
  <c r="AD12" i="1"/>
  <c r="AA11" i="1"/>
  <c r="S11" i="1"/>
  <c r="AC11" i="1"/>
  <c r="AB11" i="1"/>
  <c r="AD11" i="1"/>
  <c r="AB10" i="1"/>
  <c r="AA10" i="1"/>
  <c r="S10" i="1"/>
  <c r="AC10" i="1"/>
  <c r="AD10" i="1"/>
  <c r="AC9" i="1"/>
  <c r="AB9" i="1"/>
  <c r="AD9" i="1"/>
  <c r="S9" i="1"/>
  <c r="AA9" i="1"/>
  <c r="AA8" i="1"/>
  <c r="AD8" i="1"/>
  <c r="S8" i="1"/>
  <c r="AC8" i="1"/>
  <c r="AB8" i="1"/>
  <c r="AB7" i="1"/>
  <c r="AC7" i="1"/>
  <c r="S7" i="1"/>
  <c r="AD7" i="1"/>
  <c r="U7" i="10"/>
  <c r="AA7" i="1"/>
  <c r="AB6" i="1"/>
  <c r="AC6" i="1"/>
  <c r="S6" i="1"/>
  <c r="AA6" i="1"/>
  <c r="AD6" i="1"/>
  <c r="AC5" i="1"/>
  <c r="AD5" i="1"/>
  <c r="AB5" i="1"/>
  <c r="S5" i="1"/>
  <c r="AA5" i="1"/>
  <c r="S4" i="1"/>
  <c r="AC4" i="1"/>
  <c r="AD4" i="1"/>
  <c r="AA4" i="1"/>
  <c r="AB4" i="1"/>
  <c r="U5" i="10" l="1"/>
  <c r="X5" i="1"/>
  <c r="U5" i="1" s="1"/>
  <c r="W5" i="1"/>
  <c r="U6" i="10"/>
  <c r="X6" i="1"/>
  <c r="U6" i="1" s="1"/>
  <c r="W6" i="1"/>
  <c r="X7" i="1"/>
  <c r="U7" i="1" s="1"/>
  <c r="W7" i="1"/>
  <c r="U8" i="10"/>
  <c r="X8" i="1"/>
  <c r="U8" i="1"/>
  <c r="W8" i="1"/>
  <c r="U9" i="10"/>
  <c r="X9" i="1"/>
  <c r="U9" i="1" s="1"/>
  <c r="W9" i="1"/>
  <c r="U10" i="10"/>
  <c r="W10" i="1"/>
  <c r="X10" i="1"/>
  <c r="U10" i="1" s="1"/>
  <c r="U11" i="10"/>
  <c r="W11" i="1"/>
  <c r="X11" i="1"/>
  <c r="U11" i="1" s="1"/>
  <c r="U12" i="10"/>
  <c r="X12" i="1"/>
  <c r="U12" i="1" s="1"/>
  <c r="W12" i="1"/>
  <c r="U13" i="10"/>
  <c r="X13" i="1"/>
  <c r="U13" i="1" s="1"/>
  <c r="W13" i="1"/>
  <c r="U14" i="10"/>
  <c r="W14" i="1"/>
  <c r="U14" i="1"/>
  <c r="X14" i="1"/>
  <c r="U15" i="10"/>
  <c r="X15" i="1"/>
  <c r="U15" i="1" s="1"/>
  <c r="W15" i="1"/>
  <c r="U16" i="10"/>
  <c r="X16" i="1"/>
  <c r="U16" i="1" s="1"/>
  <c r="W16" i="1"/>
  <c r="U17" i="10"/>
  <c r="X17" i="1"/>
  <c r="U17" i="1" s="1"/>
  <c r="W17" i="1"/>
  <c r="U18" i="10"/>
  <c r="X18" i="1"/>
  <c r="U18" i="1" s="1"/>
  <c r="W18" i="1"/>
  <c r="U19" i="10"/>
  <c r="X19" i="1"/>
  <c r="U19" i="1" s="1"/>
  <c r="W19" i="1"/>
  <c r="U20" i="10"/>
  <c r="X20" i="1"/>
  <c r="U20" i="1" s="1"/>
  <c r="W20" i="1"/>
  <c r="U21" i="10"/>
  <c r="X21" i="1"/>
  <c r="U21" i="1" s="1"/>
  <c r="W21" i="1"/>
  <c r="U22" i="10"/>
  <c r="X22" i="1"/>
  <c r="U22" i="1" s="1"/>
  <c r="W22" i="1"/>
  <c r="U23" i="10"/>
  <c r="X23" i="1"/>
  <c r="U23" i="1" s="1"/>
  <c r="W23" i="1"/>
  <c r="U24" i="10"/>
  <c r="X24" i="1"/>
  <c r="U24" i="1" s="1"/>
  <c r="W24" i="1"/>
  <c r="U25" i="10"/>
  <c r="X25" i="1"/>
  <c r="U25" i="1"/>
  <c r="W25" i="1"/>
  <c r="U26" i="10"/>
  <c r="X26" i="1"/>
  <c r="U26" i="1" s="1"/>
  <c r="W26" i="1"/>
  <c r="U27" i="10"/>
  <c r="X27" i="1"/>
  <c r="U27" i="1"/>
  <c r="W27" i="1"/>
  <c r="U28" i="10"/>
  <c r="X28" i="1"/>
  <c r="U28" i="1"/>
  <c r="W28" i="1"/>
  <c r="U29" i="10"/>
  <c r="X29" i="1"/>
  <c r="U29" i="1"/>
  <c r="W29" i="1"/>
  <c r="U30" i="10"/>
  <c r="X30" i="1"/>
  <c r="U30" i="1" s="1"/>
  <c r="W30" i="1"/>
  <c r="U31" i="10"/>
  <c r="X31" i="1"/>
  <c r="U31" i="1" s="1"/>
  <c r="W31" i="1"/>
  <c r="U32" i="10"/>
  <c r="X32" i="1"/>
  <c r="U32" i="1" s="1"/>
  <c r="W32" i="1"/>
  <c r="U33" i="10"/>
  <c r="X33" i="1"/>
  <c r="U33" i="1" s="1"/>
  <c r="W33" i="1"/>
  <c r="U34" i="10"/>
  <c r="X34" i="1"/>
  <c r="U34" i="1" s="1"/>
  <c r="W34" i="1"/>
  <c r="U35" i="10"/>
  <c r="X35" i="1"/>
  <c r="W35" i="1"/>
  <c r="U35" i="1"/>
  <c r="U37" i="10"/>
  <c r="W37" i="1"/>
  <c r="X37" i="1"/>
  <c r="U37" i="1" s="1"/>
  <c r="U36" i="10"/>
  <c r="W36" i="1"/>
  <c r="X36" i="1"/>
  <c r="U36" i="1" s="1"/>
  <c r="U103" i="1"/>
  <c r="X103" i="1"/>
  <c r="W103" i="1"/>
  <c r="U102" i="10"/>
  <c r="U102" i="1"/>
  <c r="W102" i="1"/>
  <c r="X102" i="1"/>
  <c r="U101" i="10"/>
  <c r="U101" i="1"/>
  <c r="X101" i="1"/>
  <c r="W101" i="1"/>
  <c r="U100" i="10"/>
  <c r="U100" i="1"/>
  <c r="W100" i="1"/>
  <c r="X100" i="1"/>
  <c r="U99" i="10"/>
  <c r="U99" i="1"/>
  <c r="W99" i="1"/>
  <c r="X99" i="1"/>
  <c r="U98" i="10"/>
  <c r="U98" i="1"/>
  <c r="W98" i="1"/>
  <c r="X98" i="1"/>
  <c r="U97" i="10"/>
  <c r="U97" i="1"/>
  <c r="X97" i="1"/>
  <c r="W97" i="1"/>
  <c r="U96" i="10"/>
  <c r="U96" i="1"/>
  <c r="W96" i="1"/>
  <c r="X96" i="1"/>
  <c r="W95" i="1"/>
  <c r="X95" i="1"/>
  <c r="U95" i="1"/>
  <c r="U94" i="10"/>
  <c r="U94" i="1"/>
  <c r="W94" i="1"/>
  <c r="X94" i="1"/>
  <c r="U93" i="10"/>
  <c r="U93" i="1"/>
  <c r="X93" i="1"/>
  <c r="W93" i="1"/>
  <c r="U92" i="10"/>
  <c r="U92" i="1"/>
  <c r="W92" i="1"/>
  <c r="X92" i="1"/>
  <c r="U91" i="10"/>
  <c r="U91" i="1"/>
  <c r="W91" i="1"/>
  <c r="X91" i="1"/>
  <c r="U90" i="10"/>
  <c r="U90" i="1"/>
  <c r="W90" i="1"/>
  <c r="X90" i="1"/>
  <c r="U89" i="10"/>
  <c r="U89" i="1"/>
  <c r="X89" i="1"/>
  <c r="W89" i="1"/>
  <c r="U88" i="10"/>
  <c r="U88" i="1"/>
  <c r="W88" i="1"/>
  <c r="X88" i="1"/>
  <c r="U87" i="1"/>
  <c r="W87" i="1"/>
  <c r="X87" i="1"/>
  <c r="U86" i="10"/>
  <c r="U86" i="1"/>
  <c r="W86" i="1"/>
  <c r="X86" i="1"/>
  <c r="U85" i="10"/>
  <c r="U85" i="1"/>
  <c r="X85" i="1"/>
  <c r="W85" i="1"/>
  <c r="U84" i="10"/>
  <c r="U84" i="1"/>
  <c r="W84" i="1"/>
  <c r="X84" i="1"/>
  <c r="W83" i="1"/>
  <c r="X83" i="1"/>
  <c r="U83" i="1"/>
  <c r="U82" i="10"/>
  <c r="U82" i="1"/>
  <c r="W82" i="1"/>
  <c r="X82" i="1"/>
  <c r="U81" i="10"/>
  <c r="U81" i="1"/>
  <c r="X81" i="1"/>
  <c r="W81" i="1"/>
  <c r="U80" i="10"/>
  <c r="U80" i="1"/>
  <c r="X80" i="1"/>
  <c r="W80" i="1"/>
  <c r="U79" i="10"/>
  <c r="U79" i="1"/>
  <c r="W79" i="1"/>
  <c r="X79" i="1"/>
  <c r="U78" i="10"/>
  <c r="U78" i="1"/>
  <c r="W78" i="1"/>
  <c r="X78" i="1"/>
  <c r="U77" i="10"/>
  <c r="U77" i="1"/>
  <c r="X77" i="1"/>
  <c r="W77" i="1"/>
  <c r="U76" i="10"/>
  <c r="U76" i="1"/>
  <c r="X76" i="1"/>
  <c r="W76" i="1"/>
  <c r="U75" i="10"/>
  <c r="U75" i="1"/>
  <c r="W75" i="1"/>
  <c r="X75" i="1"/>
  <c r="U74" i="10"/>
  <c r="U74" i="1"/>
  <c r="W74" i="1"/>
  <c r="X74" i="1"/>
  <c r="U73" i="10"/>
  <c r="U73" i="1"/>
  <c r="X73" i="1"/>
  <c r="W73" i="1"/>
  <c r="U72" i="10"/>
  <c r="U72" i="1"/>
  <c r="X72" i="1"/>
  <c r="W72" i="1"/>
  <c r="U71" i="10"/>
  <c r="U71" i="1"/>
  <c r="W71" i="1"/>
  <c r="X71" i="1"/>
  <c r="U70" i="10"/>
  <c r="U70" i="1"/>
  <c r="W70" i="1"/>
  <c r="X70" i="1"/>
  <c r="U69" i="10"/>
  <c r="U69" i="1"/>
  <c r="X69" i="1"/>
  <c r="W69" i="1"/>
  <c r="U68" i="10"/>
  <c r="U68" i="1"/>
  <c r="X68" i="1"/>
  <c r="W68" i="1"/>
  <c r="U67" i="10"/>
  <c r="U67" i="1"/>
  <c r="W67" i="1"/>
  <c r="X67" i="1"/>
  <c r="U66" i="10"/>
  <c r="U66" i="1"/>
  <c r="W66" i="1"/>
  <c r="X66" i="1"/>
  <c r="U65" i="10"/>
  <c r="U65" i="1"/>
  <c r="X65" i="1"/>
  <c r="W65" i="1"/>
  <c r="U64" i="10"/>
  <c r="U64" i="1"/>
  <c r="W64" i="1"/>
  <c r="X64" i="1"/>
  <c r="U63" i="10"/>
  <c r="U63" i="1"/>
  <c r="W63" i="1"/>
  <c r="X63" i="1"/>
  <c r="U62" i="10"/>
  <c r="U62" i="1"/>
  <c r="W62" i="1"/>
  <c r="X62" i="1"/>
  <c r="U61" i="10"/>
  <c r="U61" i="1"/>
  <c r="X61" i="1"/>
  <c r="W61" i="1"/>
  <c r="U60" i="10"/>
  <c r="U60" i="1"/>
  <c r="W60" i="1"/>
  <c r="X60" i="1"/>
  <c r="U59" i="10"/>
  <c r="U59" i="1"/>
  <c r="W59" i="1"/>
  <c r="X59" i="1"/>
  <c r="U58" i="10"/>
  <c r="U58" i="1"/>
  <c r="X58" i="1"/>
  <c r="W58" i="1"/>
  <c r="U57" i="10"/>
  <c r="U57" i="1"/>
  <c r="X57" i="1"/>
  <c r="W57" i="1"/>
  <c r="X56" i="1"/>
  <c r="W56" i="1"/>
  <c r="U56" i="10"/>
  <c r="U55" i="10"/>
  <c r="U55" i="1"/>
  <c r="X55" i="1"/>
  <c r="W55" i="1"/>
  <c r="U54" i="10"/>
  <c r="U54" i="1"/>
  <c r="X54" i="1"/>
  <c r="W54" i="1"/>
  <c r="U53" i="10"/>
  <c r="U53" i="1"/>
  <c r="X53" i="1"/>
  <c r="W53" i="1"/>
  <c r="X52" i="1"/>
  <c r="W52" i="1"/>
  <c r="U52" i="10"/>
  <c r="U51" i="10"/>
  <c r="U51" i="1"/>
  <c r="X51" i="1"/>
  <c r="W51" i="1"/>
  <c r="U50" i="10"/>
  <c r="U50" i="1"/>
  <c r="X50" i="1"/>
  <c r="W50" i="1"/>
  <c r="U49" i="10"/>
  <c r="U49" i="1"/>
  <c r="X49" i="1"/>
  <c r="W49" i="1"/>
  <c r="X48" i="1"/>
  <c r="W48" i="1"/>
  <c r="U48" i="10"/>
  <c r="U47" i="10"/>
  <c r="U47" i="1"/>
  <c r="X47" i="1"/>
  <c r="W47" i="1"/>
  <c r="U46" i="10"/>
  <c r="U46" i="1"/>
  <c r="X46" i="1"/>
  <c r="W46" i="1"/>
  <c r="U45" i="10"/>
  <c r="U45" i="1"/>
  <c r="X45" i="1"/>
  <c r="W45" i="1"/>
  <c r="X44" i="1"/>
  <c r="W44" i="1"/>
  <c r="U44" i="10"/>
  <c r="U43" i="10"/>
  <c r="U43" i="1"/>
  <c r="X43" i="1"/>
  <c r="W43" i="1"/>
  <c r="U42" i="10"/>
  <c r="U42" i="1"/>
  <c r="X42" i="1"/>
  <c r="W42" i="1"/>
  <c r="U41" i="10"/>
  <c r="U41" i="1"/>
  <c r="X41" i="1"/>
  <c r="W41" i="1"/>
  <c r="X40" i="1"/>
  <c r="W40" i="1"/>
  <c r="U40" i="10"/>
  <c r="U39" i="10"/>
  <c r="U39" i="1"/>
  <c r="X39" i="1"/>
  <c r="W39" i="1"/>
  <c r="U38" i="10"/>
  <c r="W38" i="1"/>
  <c r="X38" i="1"/>
  <c r="U38" i="1" s="1"/>
  <c r="U4" i="10"/>
  <c r="X4" i="1"/>
  <c r="U4" i="1" s="1"/>
  <c r="W4" i="1"/>
  <c r="Z4" i="2" l="1"/>
</calcChain>
</file>

<file path=xl/sharedStrings.xml><?xml version="1.0" encoding="utf-8"?>
<sst xmlns="http://schemas.openxmlformats.org/spreadsheetml/2006/main" count="999" uniqueCount="434">
  <si>
    <t>Base
Imponible</t>
  </si>
  <si>
    <t>Tipo
de IVA</t>
  </si>
  <si>
    <t>Total
Factura</t>
  </si>
  <si>
    <t>Nombre
Destinatario</t>
  </si>
  <si>
    <t>Cuota IVA
Repercutida</t>
  </si>
  <si>
    <t>Tipo de
Recargo Eq.</t>
  </si>
  <si>
    <t>Cuota
Recargo Eq.</t>
  </si>
  <si>
    <t>Cuota IVA
Soportado</t>
  </si>
  <si>
    <t>Código País</t>
  </si>
  <si>
    <t>Alfanumérico (2)</t>
  </si>
  <si>
    <t>Alfanumérico (40)</t>
  </si>
  <si>
    <t>Identificación</t>
  </si>
  <si>
    <t>Alfanumérico (20)</t>
  </si>
  <si>
    <t>Fecha</t>
  </si>
  <si>
    <t>Importe</t>
  </si>
  <si>
    <t>Decimal(12,2)</t>
  </si>
  <si>
    <t>Medio Utilizado</t>
  </si>
  <si>
    <t>Alfanumérico (34)</t>
  </si>
  <si>
    <t>Tipo</t>
  </si>
  <si>
    <t>Fecha
Expedición</t>
  </si>
  <si>
    <t>Serie</t>
  </si>
  <si>
    <t>Número</t>
  </si>
  <si>
    <t>Identificación Factura del Expedidor</t>
  </si>
  <si>
    <t>Nombre
Expedidor</t>
  </si>
  <si>
    <t>Identificación de la Factura</t>
  </si>
  <si>
    <t>Decimal(4,2)</t>
  </si>
  <si>
    <t>Identificación Medio Utilizado</t>
  </si>
  <si>
    <t>Cuota Deducible</t>
  </si>
  <si>
    <t>(Serie-Número)</t>
  </si>
  <si>
    <t>Fecha(dd/mm/yyyy)</t>
  </si>
  <si>
    <t>Número-Final</t>
  </si>
  <si>
    <t>Ejercicio</t>
  </si>
  <si>
    <t>Periodo</t>
  </si>
  <si>
    <t>Decimal (4,0)</t>
  </si>
  <si>
    <t>Alfanumérico (3)</t>
  </si>
  <si>
    <t>Acumulada al Inicio</t>
  </si>
  <si>
    <t>Acumulada al final</t>
  </si>
  <si>
    <t>Fecha Inicio
Utilización</t>
  </si>
  <si>
    <t>Baja del Bien</t>
  </si>
  <si>
    <t>Decimal (4,2)</t>
  </si>
  <si>
    <t>Base Imponible</t>
  </si>
  <si>
    <t>Tipo de IVA</t>
  </si>
  <si>
    <t>Año de Inicio Utilización</t>
  </si>
  <si>
    <t>Prorrata Definitiva</t>
  </si>
  <si>
    <t>Identificador</t>
  </si>
  <si>
    <t>Literal</t>
  </si>
  <si>
    <t>Alfanumérico (160)</t>
  </si>
  <si>
    <t>Cuota a Regularizar</t>
  </si>
  <si>
    <t>Cuota Resultante</t>
  </si>
  <si>
    <t>Pendiente</t>
  </si>
  <si>
    <t>Alfanumérico (4)</t>
  </si>
  <si>
    <t>Alfanumérico (1)</t>
  </si>
  <si>
    <t>Grupo o Epígrafe del IAE</t>
  </si>
  <si>
    <t>Decimal(5,2)</t>
  </si>
  <si>
    <t>Alfanumérico (15)</t>
  </si>
  <si>
    <t>Código</t>
  </si>
  <si>
    <t>Autoliquidación</t>
  </si>
  <si>
    <t>Actividad</t>
  </si>
  <si>
    <t>Tipo de Factura</t>
  </si>
  <si>
    <t>Concepto de
Ingreso</t>
  </si>
  <si>
    <t>Ingreso Computable</t>
  </si>
  <si>
    <t>Fecha
Operación</t>
  </si>
  <si>
    <t>NIF Destinatario</t>
  </si>
  <si>
    <t>Clave de Operación</t>
  </si>
  <si>
    <t>Calificación de la Operación</t>
  </si>
  <si>
    <t>Operación
Exenta</t>
  </si>
  <si>
    <t>Cuota Recargo Eq.</t>
  </si>
  <si>
    <t>Tipo Retención
del IRPF</t>
  </si>
  <si>
    <t>Importe Retenido
del IRPF</t>
  </si>
  <si>
    <t>Registro Acuerdo Facturación</t>
  </si>
  <si>
    <t>Tipo de Bien</t>
  </si>
  <si>
    <t>Descripción del Bien</t>
  </si>
  <si>
    <t>Valor Adquisición</t>
  </si>
  <si>
    <t>Valor
Amortizable</t>
  </si>
  <si>
    <t>Método de
Amortización</t>
  </si>
  <si>
    <t>Porcentaje de
Amortización</t>
  </si>
  <si>
    <t>Amortización</t>
  </si>
  <si>
    <t>Número
Recepción</t>
  </si>
  <si>
    <t>Número
Recepción Final</t>
  </si>
  <si>
    <t>NIF Expedidor</t>
  </si>
  <si>
    <t>Regularización Anual</t>
  </si>
  <si>
    <t>Causa</t>
  </si>
  <si>
    <t>Identificación de la Factura de Transmisión del Bien</t>
  </si>
  <si>
    <t>Concepto de
Gasto</t>
  </si>
  <si>
    <t>Gasto Deducible</t>
  </si>
  <si>
    <t>Fecha
Recepción</t>
  </si>
  <si>
    <t>Clave de
Operación</t>
  </si>
  <si>
    <t>Bien de Inversión</t>
  </si>
  <si>
    <t>Inversión del Sujeto Pasivo</t>
  </si>
  <si>
    <t>Deducible en Periodo Posterior</t>
  </si>
  <si>
    <t>Periodo Deducción</t>
  </si>
  <si>
    <t>Situación</t>
  </si>
  <si>
    <t>Referencia Catastral</t>
  </si>
  <si>
    <t>Inmueble</t>
  </si>
  <si>
    <t>Refrencia Externa</t>
  </si>
  <si>
    <t>F1</t>
  </si>
  <si>
    <t>F2</t>
  </si>
  <si>
    <t>F3</t>
  </si>
  <si>
    <t>F4</t>
  </si>
  <si>
    <t>R1</t>
  </si>
  <si>
    <t>R2</t>
  </si>
  <si>
    <t>R3</t>
  </si>
  <si>
    <t>R4</t>
  </si>
  <si>
    <t>R5</t>
  </si>
  <si>
    <t>SF</t>
  </si>
  <si>
    <t>DV</t>
  </si>
  <si>
    <t>AJ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</si>
  <si>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</si>
  <si>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</si>
  <si>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</si>
  <si>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</si>
  <si>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</si>
  <si>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</si>
  <si>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</si>
  <si>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</si>
  <si>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</si>
  <si>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A</t>
  </si>
  <si>
    <t>01</t>
  </si>
  <si>
    <t>02</t>
  </si>
  <si>
    <t>S1</t>
  </si>
  <si>
    <t>E1</t>
  </si>
  <si>
    <t>B</t>
  </si>
  <si>
    <t>03</t>
  </si>
  <si>
    <t>S2</t>
  </si>
  <si>
    <t>E2</t>
  </si>
  <si>
    <t>C</t>
  </si>
  <si>
    <t>04</t>
  </si>
  <si>
    <t>N1</t>
  </si>
  <si>
    <t>E3</t>
  </si>
  <si>
    <t>D</t>
  </si>
  <si>
    <t>05</t>
  </si>
  <si>
    <t>N2</t>
  </si>
  <si>
    <t>E4</t>
  </si>
  <si>
    <t>06</t>
  </si>
  <si>
    <t>E5</t>
  </si>
  <si>
    <t>E6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</si>
  <si>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</si>
  <si>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</si>
  <si>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</si>
  <si>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</si>
  <si>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</si>
  <si>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</si>
  <si>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</si>
  <si>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</si>
  <si>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</si>
  <si>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</si>
  <si>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</si>
  <si>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</si>
  <si>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G01</t>
  </si>
  <si>
    <t>G02</t>
  </si>
  <si>
    <t>G03</t>
  </si>
  <si>
    <t>G04</t>
  </si>
  <si>
    <t>G05</t>
  </si>
  <si>
    <t>G07</t>
  </si>
  <si>
    <t>G08</t>
  </si>
  <si>
    <t>G09</t>
  </si>
  <si>
    <t>G10</t>
  </si>
  <si>
    <t>G11</t>
  </si>
  <si>
    <t>G12</t>
  </si>
  <si>
    <t>G13</t>
  </si>
  <si>
    <t>GY4</t>
  </si>
  <si>
    <t>G14</t>
  </si>
  <si>
    <t>G15</t>
  </si>
  <si>
    <t>G16</t>
  </si>
  <si>
    <t>G17</t>
  </si>
  <si>
    <t>G18</t>
  </si>
  <si>
    <t>G19</t>
  </si>
  <si>
    <t>G40</t>
  </si>
  <si>
    <t>G41</t>
  </si>
  <si>
    <t>G42</t>
  </si>
  <si>
    <r>
      <t>Pago</t>
    </r>
    <r>
      <rPr>
        <sz val="9"/>
        <rFont val="Arial"/>
        <family val="2"/>
      </rPr>
      <t xml:space="preserve"> (Operación Criterio de Caja de IVA y/o artículo 7.2.1º de Reglamento del IRPF)</t>
    </r>
  </si>
  <si>
    <t>G06</t>
  </si>
  <si>
    <t>G20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</si>
  <si>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</si>
  <si>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</si>
  <si>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</si>
  <si>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</si>
  <si>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</si>
  <si>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</si>
  <si>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</si>
  <si>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</si>
  <si>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</si>
  <si>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</si>
  <si>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</si>
  <si>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</si>
  <si>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</si>
  <si>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</si>
  <si>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</si>
  <si>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</si>
  <si>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</si>
  <si>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</si>
  <si>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G43</t>
  </si>
  <si>
    <t>G44</t>
  </si>
  <si>
    <t>GY8</t>
  </si>
  <si>
    <t>1T</t>
  </si>
  <si>
    <t>ACTIVIDAD</t>
  </si>
  <si>
    <t>TIPO FACTURA</t>
  </si>
  <si>
    <t>CONCEPTO INGRESO</t>
  </si>
  <si>
    <t>TIPO NIF</t>
  </si>
  <si>
    <t>CLAVE OPERACION</t>
  </si>
  <si>
    <t>CALIFICACION OPERACION</t>
  </si>
  <si>
    <t>OPERACION EXENTA</t>
  </si>
  <si>
    <t>1</t>
  </si>
  <si>
    <t>2</t>
  </si>
  <si>
    <t>3</t>
  </si>
  <si>
    <t>4</t>
  </si>
  <si>
    <t>5</t>
  </si>
  <si>
    <t>MEDIO UTILIZADO</t>
  </si>
  <si>
    <t>SITUACION</t>
  </si>
  <si>
    <t>Referencia Externa</t>
  </si>
  <si>
    <t>TRIMESTRE</t>
  </si>
  <si>
    <t>CONCEPTO GASTO</t>
  </si>
  <si>
    <t>G45</t>
  </si>
  <si>
    <t>G46</t>
  </si>
  <si>
    <t>CLAVE OPERACION GASTO</t>
  </si>
  <si>
    <t>2T</t>
  </si>
  <si>
    <t>3T</t>
  </si>
  <si>
    <t>4T</t>
  </si>
  <si>
    <t>RefErencia Externa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</si>
  <si>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</si>
  <si>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</si>
  <si>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</si>
  <si>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</si>
  <si>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</si>
  <si>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</si>
  <si>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</si>
  <si>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</si>
  <si>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</si>
  <si>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</si>
  <si>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</si>
  <si>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</si>
  <si>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39</t>
  </si>
  <si>
    <t>41</t>
  </si>
  <si>
    <t>42</t>
  </si>
  <si>
    <t>43</t>
  </si>
  <si>
    <t>44</t>
  </si>
  <si>
    <t>49</t>
  </si>
  <si>
    <t>TIPO BIEN</t>
  </si>
  <si>
    <t>CAUSA BAJA BIEN</t>
  </si>
  <si>
    <t>99</t>
  </si>
  <si>
    <t>01-Arrendadores de bienes inmuebles</t>
  </si>
  <si>
    <t xml:space="preserve">02-Ganadería independiente </t>
  </si>
  <si>
    <t>03-Resto de actividades empresariales no incluidas en los dos subtipos anteriores</t>
  </si>
  <si>
    <t xml:space="preserve">04-Actividades profesionales de carácter artístico o deportivo </t>
  </si>
  <si>
    <t>05-Resto de actividades profesionales</t>
  </si>
  <si>
    <t>A-Actividades incluidas en el I.A.E.</t>
  </si>
  <si>
    <t>B-Actividades no incluidas en el I.A.E.</t>
  </si>
  <si>
    <t>C-Actividades no iniciadas</t>
  </si>
  <si>
    <t>D-Arrendadores de inmuebles no incluidos en los códigos anteriores</t>
  </si>
  <si>
    <t>01-Actividad agrícola</t>
  </si>
  <si>
    <t xml:space="preserve">02-Actividad ganadera dependiente </t>
  </si>
  <si>
    <t>03-Actividad forestal</t>
  </si>
  <si>
    <t>04-Producción del mejillón en batea</t>
  </si>
  <si>
    <t>05-Actividad pesquera, excepto la actividad de producción de mejillón en batea</t>
  </si>
  <si>
    <t>06-Otras actividades NO sujetas al I.A.E</t>
  </si>
  <si>
    <t>S1-Operación Sujeta y No exenta - Sin inversión del sujeto pasivo.</t>
  </si>
  <si>
    <t>S2-Operación Sujeta y No exenta - Con Inversión del sujeto pasivo.</t>
  </si>
  <si>
    <t>N1-Operación No Sujeta artículo 7, 14, otros.</t>
  </si>
  <si>
    <t>N2-Operación No Sujeta por Reglas de localización.</t>
  </si>
  <si>
    <t>01-Amortización total</t>
  </si>
  <si>
    <t>02-Venta o transmisión</t>
  </si>
  <si>
    <t>03-Deterioro o destrucción</t>
  </si>
  <si>
    <t>04-Retirada del bien por obsolescencia</t>
  </si>
  <si>
    <t>05-Pérdida</t>
  </si>
  <si>
    <t>06-Robo</t>
  </si>
  <si>
    <t>99-Otras causas diferentes a las anteriores</t>
  </si>
  <si>
    <t>01-Operación de régimen general</t>
  </si>
  <si>
    <t>02-Exportación.</t>
  </si>
  <si>
    <t>03-Régimen especial de bienes usados, objetos de arte, antigüedades y objetos de colección.</t>
  </si>
  <si>
    <t>04-Régimen especial del oro de inversión.</t>
  </si>
  <si>
    <t>05-Régimen especial de las agencias de viajes.</t>
  </si>
  <si>
    <t>06-Régimen especial grupo de entidades en IVA (Nivel Avanzado)</t>
  </si>
  <si>
    <t>07-Régimen especial del Criterio de Caja</t>
  </si>
  <si>
    <t xml:space="preserve">08-Operaciones sujetas al IPSI / IGIC </t>
  </si>
  <si>
    <t xml:space="preserve">09-Facturación de las prestaciones de servicios de agencias de viaje que actúan como mediadoras en nombre y por cuenta ajena </t>
  </si>
  <si>
    <t>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t>
  </si>
  <si>
    <t>11-Operaciones de arrendamiento de local de negocio sujetas a retención.</t>
  </si>
  <si>
    <t>12-Operaciones de arrendamiento de local de negocio no sujetos a retención.</t>
  </si>
  <si>
    <t>13-Operaciones de arrendamiento de local de negocio sujetas y no sujetas a retención.</t>
  </si>
  <si>
    <t>14-Factura con IVA pendiente de devengo en certificaciones de obra cuyo destinatario sea una Administración Pública.</t>
  </si>
  <si>
    <t xml:space="preserve">15-Factura con IVA pendiente de devengo en operaciones de tracto sucesivo.  </t>
  </si>
  <si>
    <t>17-Operación acogida a alguno de los regímenes previstos en el Capítulo XI del Título IX (OSS e IOSS)</t>
  </si>
  <si>
    <t>18-Operaciones de actividades incluidas en el Régimen Especial de Recargo de Equivalencia (RERE)</t>
  </si>
  <si>
    <t>19-Operaciones de actividades incluidas en el Régimen Especial de Agricultura, Ganadería y Pesca (REAGYP)</t>
  </si>
  <si>
    <t xml:space="preserve">02-Operación por la que se satisfacen compensaciones a proveedores acogidos al Régimen Especial de Agricultura Ganadería y Pesca (REAGYP) </t>
  </si>
  <si>
    <t>09-Adquisiciones intracomunitarias de bienes y prestaciones de servicios.</t>
  </si>
  <si>
    <t>12-Operaciones de arrendamiento de local de negocio.</t>
  </si>
  <si>
    <t>13-Factura correspondiente a una importación (informada sin asociar a un DUA).</t>
  </si>
  <si>
    <t>G01-Compra de existencias</t>
  </si>
  <si>
    <t>G02-Variación de existencias (disminución de existencias finales)</t>
  </si>
  <si>
    <t>G03-Otros consumos de explotación</t>
  </si>
  <si>
    <t>G04-Sueldos y salarios</t>
  </si>
  <si>
    <t>G05-Seguridad Social a cargo de la empresa</t>
  </si>
  <si>
    <t>G06-Seguridad Social y Aportaciones a mutualidades alternativas del titular de la</t>
  </si>
  <si>
    <t>G45-Seguridad Social del titular de la actividad (se admite G06 hasta 1T 2024)</t>
  </si>
  <si>
    <t>G46-Aportaciones a mutualidades alternativas del titular de la actividad (se admite G06 hasta 1T 2024)</t>
  </si>
  <si>
    <t>G07-Indemnizaciones</t>
  </si>
  <si>
    <t>G08-Dietas y asignaciones de viajes del personal empleado</t>
  </si>
  <si>
    <t>G09-Aportaciones a sistemas de previsión social imputadas al personal empleado</t>
  </si>
  <si>
    <t>G10-Otros gastos de personal</t>
  </si>
  <si>
    <t>G11-Gastos de manutención del contribuyente (artículo 30.2.5ª.c de la Ley del Impuesto)</t>
  </si>
  <si>
    <t>G12-Arrendamientos y cánones</t>
  </si>
  <si>
    <t>G13-Reparaciones y conservación</t>
  </si>
  <si>
    <t>GY4-Suministros (electricidad, agua, gas, telefonía e internet)</t>
  </si>
  <si>
    <t>G14-Gastos por suministro eléctrico</t>
  </si>
  <si>
    <t>G15-Gastos por suministro de agua</t>
  </si>
  <si>
    <t>G16-Gastos por suministro de gas</t>
  </si>
  <si>
    <t>G17-Gastos por suministro de telefonía e internet</t>
  </si>
  <si>
    <t>G18-Otros suministros</t>
  </si>
  <si>
    <t>G19-Servicios de profesionales independientes.</t>
  </si>
  <si>
    <t>G40-Gastos de Formalización de Contratos</t>
  </si>
  <si>
    <t>G41-Gastos de Defensa Jurídica</t>
  </si>
  <si>
    <t>G42-Otras cantidades devengadas por terceros por servicios personales</t>
  </si>
  <si>
    <t>G20-Primas de seguros</t>
  </si>
  <si>
    <t>G22-Otros servicios exteriores.</t>
  </si>
  <si>
    <t>G44-Gastos de Comunidad</t>
  </si>
  <si>
    <t>G23-Intereses de deudas</t>
  </si>
  <si>
    <t>G24-Otros gastos financieros</t>
  </si>
  <si>
    <t>G25-IVA soportado (recargo de equivalencia y/o recargo de agricultura, ganadería y pesca)</t>
  </si>
  <si>
    <t>G26-Otros tributos fiscalmente deducibles</t>
  </si>
  <si>
    <t>GY8-Dotaciones del ejercicio para amortización del inmovilizado material.</t>
  </si>
  <si>
    <t>G27-Dotaciones del ejercicio para amortización de edificios</t>
  </si>
  <si>
    <t>G28-Dotaciones del ejercicio para amortización de instalaciones, mobiliario, enseres y resto IM</t>
  </si>
  <si>
    <t>G29-Dotaciones del ejercicio para amortización de maquinaria</t>
  </si>
  <si>
    <t>G30-Dotaciones del ejercicio para amortización de elementos de transporte</t>
  </si>
  <si>
    <t>G31-Dotaciones del ejercicio para amortización de equipos electrónicos e informáticos</t>
  </si>
  <si>
    <t>G32-Dotaciones del ejercicio para amortización de útiles y herramientas</t>
  </si>
  <si>
    <t>G33-Dotaciones del ejercicio para amortización de ganado y cultivos agrícolas amortizables</t>
  </si>
  <si>
    <t>G38-Dotaciones del ejercicio para amortización del inmovilizado inmaterial</t>
  </si>
  <si>
    <t>G34-Pérdidas por insolvencias de deudores</t>
  </si>
  <si>
    <t>G35-Incentivos al mecenazgo. Convenios de colaboración en actividades de interés general</t>
  </si>
  <si>
    <t>G36-Incentivos al mecenazgo. Gastos en actividades de interés general</t>
  </si>
  <si>
    <t>G43-Saldos de dudoso cobro</t>
  </si>
  <si>
    <t>G37-Otros conceptos fiscalmente deducibles (excepto provisiones)</t>
  </si>
  <si>
    <t>G39-Provisiones fiscalmente deducibles</t>
  </si>
  <si>
    <t>I01-Ingresos de explotación</t>
  </si>
  <si>
    <t>I02-Ingresos financieros derivados del aplazamiento o fraccionamiento de operaciones</t>
  </si>
  <si>
    <t>I03-Ingresos por subvenciones corrientes</t>
  </si>
  <si>
    <t>I04-Imputación de ingresos por subvenciones de capital</t>
  </si>
  <si>
    <t>I05-IVA devengado (recargo de equivalencia y/o recargo de agricultura, ganadería y pesca).</t>
  </si>
  <si>
    <t>I06-Variación de existencias (incremento de existencias finales).</t>
  </si>
  <si>
    <t>I07-Otros ingresos</t>
  </si>
  <si>
    <t>I08-Autoconsumo de bienes y servicios</t>
  </si>
  <si>
    <t>I09-Transmisión elementos patrimoniales libertad amortización: exceso amortización deducida respecto amortización deducible (DA trigésima Ley Impuesto)</t>
  </si>
  <si>
    <t xml:space="preserve">01-Transferencia </t>
  </si>
  <si>
    <t>02-Cheque</t>
  </si>
  <si>
    <t>03-No se cobra (fecha límite de devengo, 31-12 del año siguiente)</t>
  </si>
  <si>
    <t>04-Otros medios de cobro</t>
  </si>
  <si>
    <t>05-Domiciliación bancaria</t>
  </si>
  <si>
    <t>E1-exenta por el artículo 20</t>
  </si>
  <si>
    <t>E2-exenta por el artículo 21</t>
  </si>
  <si>
    <t>E3-exenta por el artículo 22</t>
  </si>
  <si>
    <t>E4-exenta por el artículo 23 y   24</t>
  </si>
  <si>
    <t>E5-exenta por el artículo 25</t>
  </si>
  <si>
    <t>E6-exenta por otros</t>
  </si>
  <si>
    <t>1-Inmueble con referencia catastral situado en cualquier punto del territorio español excepto PV y N.</t>
  </si>
  <si>
    <t>2-Inmueble con referencia catastral situado en la Comunidad Autónoma del País Vasco.</t>
  </si>
  <si>
    <t>3-Inmueble con referencia catastral situado en la Comunidad Foral de Navarra.</t>
  </si>
  <si>
    <t>4-Inmueble situado en cualquier punto del territorio español, pero sin tener asignada referencia catastral.</t>
  </si>
  <si>
    <t>5-Inmueble situado en el extranjero.</t>
  </si>
  <si>
    <t>11-Terrenos dedicados exclusivamente a escombreras</t>
  </si>
  <si>
    <t>12-Edificaciones y Construcciones</t>
  </si>
  <si>
    <t>21-Maquinaria</t>
  </si>
  <si>
    <t>22-Elementos de Transporte</t>
  </si>
  <si>
    <t>23-Ordenadores y otros equipos informáticos</t>
  </si>
  <si>
    <t>24-Mobiliario</t>
  </si>
  <si>
    <t>25-Instalaciones</t>
  </si>
  <si>
    <t>26-Barcos y Aeronaves</t>
  </si>
  <si>
    <t>27-Batea</t>
  </si>
  <si>
    <t>28-Útiles y Herramientas</t>
  </si>
  <si>
    <t>29-Otro Inmovilizado Material</t>
  </si>
  <si>
    <t>31-Patentes y Marcas</t>
  </si>
  <si>
    <t>32-Derechos de Traspaso</t>
  </si>
  <si>
    <t>33-Aplicaciones Informáticas</t>
  </si>
  <si>
    <t xml:space="preserve">39-Otro Inmovilizado Intangible </t>
  </si>
  <si>
    <t>41-Ganado vacuno, porcino, ovino y caprino</t>
  </si>
  <si>
    <t>42-Ganado equino y frutales no cítricos</t>
  </si>
  <si>
    <t>43-Frutales cítricos y viñedos</t>
  </si>
  <si>
    <t>44-Olivar</t>
  </si>
  <si>
    <t>49-Otros Bienes Semovientes y Agrícolas</t>
  </si>
  <si>
    <t xml:space="preserve">F1-Factura en la que se identifica al destinatario </t>
  </si>
  <si>
    <t xml:space="preserve">F2-Factura sin identificación del destinatario </t>
  </si>
  <si>
    <t xml:space="preserve">F3-Factura sustitutiva sin una anotación negativa </t>
  </si>
  <si>
    <t xml:space="preserve">F4-Asiento resumen de facturas </t>
  </si>
  <si>
    <t xml:space="preserve">R1-Factura Rectif. (Error derecho y Art. 80 Uno Dos y Seis LIVA) </t>
  </si>
  <si>
    <t xml:space="preserve">R2-Factura Rectif. (Art. 80.tres, por concurso de acreedores) </t>
  </si>
  <si>
    <t xml:space="preserve">R3-Factura Rectif. (Art. 80.cuatro, por crédito incobrable) </t>
  </si>
  <si>
    <t xml:space="preserve">R4-Factura Rectif. (Resto) </t>
  </si>
  <si>
    <t xml:space="preserve">R5-Factura Rectif. en facturas simplificadas y facturas sin identificación del destinatario </t>
  </si>
  <si>
    <t>SF-Asiento sin obligación de emitir factura</t>
  </si>
  <si>
    <t>DV-Asiento por Devol. en Régimen de Viajeros o su modificación</t>
  </si>
  <si>
    <t>AJ-Asiento para realizar los ajustes periódicos que reflejen el correspondiente impuesto devengado incluido en la liquidación del impuesto</t>
  </si>
  <si>
    <t>02-NIF-IVA intracomunitario</t>
  </si>
  <si>
    <t>03-Pasaporte</t>
  </si>
  <si>
    <t>04-Documento oficial de identificación expedido por el país o territorio de residencia.</t>
  </si>
  <si>
    <t>05-Certificado de Residencia.</t>
  </si>
  <si>
    <t>06-Otro documento probatorio.</t>
  </si>
  <si>
    <t>01-NIF/NIE</t>
  </si>
  <si>
    <t>TIPO IVA</t>
  </si>
  <si>
    <t>TIPO RECARGO EQUIVALENCIA</t>
  </si>
  <si>
    <t>Introducción de valor libre según el formato e instrucciones que se muestran en las ayudas de cada dato</t>
  </si>
  <si>
    <t>Leyenda de colores</t>
  </si>
  <si>
    <t>TIPO FACTURA GASTO</t>
  </si>
  <si>
    <t>F5</t>
  </si>
  <si>
    <t>F6</t>
  </si>
  <si>
    <t>LC</t>
  </si>
  <si>
    <t>F3-Factura sustitutiva sin una anotación negativa que anule las facturas simplificadas a las que sustituye. Sólo utilizarán este tipo aquellos obligados que registren facturas en sustitución de facturas simplificadas.</t>
  </si>
  <si>
    <t>F4-Asiento resumen de facturas</t>
  </si>
  <si>
    <t>F5-Importaciones (DUA)</t>
  </si>
  <si>
    <t>R1-Factura Rectificativa (Error fundado en derecho y Art. 80 Uno Dos y Seis LIVA)</t>
  </si>
  <si>
    <t>R2-Factura Rectificativa (Art. 80.tres, por concurso de acreedores)</t>
  </si>
  <si>
    <t>R3-Factura Rectificativa (Art. 80.cuatro, por crédito incobrable)</t>
  </si>
  <si>
    <t>R4-Factura Rectificativa (Resto)</t>
  </si>
  <si>
    <t xml:space="preserve">R5-Factura Rectificativa en facturas simplificadas  y facturas sin identificación del destinatario  </t>
  </si>
  <si>
    <t>LC-Aduanas - Liquidación complementaria</t>
  </si>
  <si>
    <t>SF-Asiento sin obligación de emitir factura. En caso del libro del IVA, este valor sólo se podrá utilizar para el asiento por ajuste de la prorrata y sólo lleva cuota.</t>
  </si>
  <si>
    <t>F1-Factura en la que se identifica al destinatario</t>
  </si>
  <si>
    <t>F2-Factura sin identificación del destinatario</t>
  </si>
  <si>
    <t>F6-Justificantes contables</t>
  </si>
  <si>
    <t>METODO AMORTIZACION</t>
  </si>
  <si>
    <t>01-Sistema de amortización lineal según tablas.</t>
  </si>
  <si>
    <t>02-Sistema de amortización según porcentaje constante sobre el importe pendiente de amortización</t>
  </si>
  <si>
    <t>03-Sistema de amortización según número dígitos.</t>
  </si>
  <si>
    <t>04-Planes de amortización</t>
  </si>
  <si>
    <t>05-Depreciación efectiva probada fehacientemente</t>
  </si>
  <si>
    <t>06-Libertad de Amortización</t>
  </si>
  <si>
    <t>07-Amortización Acelerada</t>
  </si>
  <si>
    <t>08-Amortización de Elementos Adquiridos Usados</t>
  </si>
  <si>
    <t>09-Amortización de Elementos Patrimoniales Objeto de Reinversión de Empresas de Reducida Dimensión (DT 28ª LIS)</t>
  </si>
  <si>
    <t>10-Amortización de Activos Nuevos Adquiridos en 2003 y 2004 (DT 13ª LIS)</t>
  </si>
  <si>
    <r>
      <t>Cobro</t>
    </r>
    <r>
      <rPr>
        <sz val="9"/>
        <rFont val="Arial"/>
        <family val="2"/>
      </rPr>
      <t xml:space="preserve"> (Operación Criterio de Caja de IVA y/o artículo 7.2.1º de Reglamento del IRPF)</t>
    </r>
  </si>
  <si>
    <t>Dato calculado, no es necesario modificarlo</t>
  </si>
  <si>
    <t>Desplegable del que seleccionar el valor que corresponda</t>
  </si>
  <si>
    <t>No es necesario introducir el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</si>
</sst>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15"/>
      <color theme="3"/>
      <name val="Calibri"/>
      <family val="2"/>
      <scheme val="minor"/>
    </font>
    <font>
      <sz val="9"/>
      <color theme="1"/>
      <name val="Arial"/>
      <family val="2"/>
    </font>
    <font>
      <b/>
      <sz val="9"/>
      <color theme="0" tint="-0.249977111117893"/>
      <name val="Arial"/>
      <family val="2"/>
    </font>
    <font>
      <sz val="11"/>
      <color theme="0" tint="-0.249977111117893"/>
      <name val="Calibri"/>
      <family val="2"/>
      <scheme val="minor"/>
    </font>
    <font>
      <b/>
      <sz val="15"/>
      <color theme="3"/>
      <name val="Arial"/>
      <family val="2"/>
    </font>
    <font>
      <sz val="10"/>
      <name val="Aptos"/>
      <family val="2"/>
    </font>
    <font>
      <sz val="10"/>
      <color theme="0" tint="-0.249977111117893"/>
      <name val="Aptos"/>
      <family val="2"/>
    </font>
    <font>
      <sz val="9"/>
      <color rgb="FF0070C0"/>
      <name val="Arial"/>
      <family val="2"/>
    </font>
    <font>
      <sz val="9"/>
      <color theme="0" tint="-0.249977111117893"/>
      <name val="Arial"/>
      <family val="2"/>
    </font>
    <font>
      <sz val="11"/>
      <name val="Aptos"/>
      <family val="2"/>
    </font>
    <font>
      <sz val="11"/>
      <color theme="0" tint="-0.249977111117893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6" applyNumberFormat="0" applyFill="0" applyAlignment="0" applyProtection="0"/>
  </cellStyleXfs>
  <cellXfs count="123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0" fillId="0" borderId="0" xfId="0" quotePrefix="1"/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Border="1"/>
    <xf numFmtId="0" fontId="0" fillId="5" borderId="0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7" fillId="3" borderId="6" xfId="1" applyFill="1"/>
    <xf numFmtId="0" fontId="0" fillId="6" borderId="0" xfId="0" applyFill="1" applyBorder="1"/>
    <xf numFmtId="0" fontId="0" fillId="4" borderId="0" xfId="0" applyFill="1" applyBorder="1"/>
    <xf numFmtId="0" fontId="4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4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10" fillId="0" borderId="0" xfId="0" applyFont="1" applyProtection="1">
      <protection locked="0"/>
    </xf>
    <xf numFmtId="0" fontId="10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/>
    </xf>
    <xf numFmtId="0" fontId="11" fillId="3" borderId="6" xfId="1" applyFont="1" applyFill="1"/>
    <xf numFmtId="49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5" borderId="1" xfId="0" applyFont="1" applyFill="1" applyBorder="1" applyAlignment="1" applyProtection="1">
      <alignment horizontal="center" vertical="center" wrapText="1"/>
      <protection locked="0"/>
    </xf>
    <xf numFmtId="0" fontId="12" fillId="5" borderId="5" xfId="0" applyFont="1" applyFill="1" applyBorder="1" applyAlignment="1" applyProtection="1">
      <alignment horizontal="center" vertical="center" wrapText="1"/>
      <protection locked="0"/>
    </xf>
    <xf numFmtId="0" fontId="12" fillId="5" borderId="1" xfId="0" quotePrefix="1" applyFont="1" applyFill="1" applyBorder="1" applyAlignment="1" applyProtection="1">
      <alignment horizontal="center" vertical="center" wrapText="1"/>
      <protection locked="0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2" fontId="13" fillId="6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49" fontId="12" fillId="3" borderId="1" xfId="0" applyNumberFormat="1" applyFont="1" applyFill="1" applyBorder="1" applyAlignment="1" applyProtection="1">
      <alignment horizontal="center" vertical="center"/>
      <protection locked="0"/>
    </xf>
    <xf numFmtId="2" fontId="12" fillId="4" borderId="1" xfId="0" applyNumberFormat="1" applyFont="1" applyFill="1" applyBorder="1" applyAlignment="1" applyProtection="1">
      <alignment horizontal="center" vertical="center"/>
      <protection locked="0"/>
    </xf>
    <xf numFmtId="2" fontId="12" fillId="3" borderId="1" xfId="0" applyNumberFormat="1" applyFont="1" applyFill="1" applyBorder="1" applyAlignment="1" applyProtection="1">
      <alignment horizontal="center" vertical="center"/>
      <protection locked="0"/>
    </xf>
    <xf numFmtId="2" fontId="12" fillId="5" borderId="1" xfId="0" applyNumberFormat="1" applyFont="1" applyFill="1" applyBorder="1" applyAlignment="1" applyProtection="1">
      <alignment horizontal="center" vertical="center"/>
      <protection locked="0"/>
    </xf>
    <xf numFmtId="0" fontId="13" fillId="6" borderId="1" xfId="0" quotePrefix="1" applyFont="1" applyFill="1" applyBorder="1" applyAlignment="1" applyProtection="1">
      <alignment horizontal="center" vertical="center" wrapText="1"/>
      <protection locked="0"/>
    </xf>
    <xf numFmtId="0" fontId="12" fillId="3" borderId="1" xfId="0" applyNumberFormat="1" applyFont="1" applyFill="1" applyBorder="1" applyAlignment="1" applyProtection="1">
      <alignment horizontal="center" vertical="center"/>
      <protection locked="0"/>
    </xf>
    <xf numFmtId="49" fontId="12" fillId="5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Alignment="1">
      <alignment horizontal="center" vertical="center"/>
    </xf>
    <xf numFmtId="0" fontId="8" fillId="0" borderId="0" xfId="0" applyFont="1"/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2" fontId="13" fillId="0" borderId="1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2" fontId="12" fillId="0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center" vertical="center" wrapText="1"/>
    </xf>
    <xf numFmtId="0" fontId="9" fillId="2" borderId="4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 applyProtection="1">
      <alignment horizontal="center" vertical="center" wrapText="1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Encabezado 1" xfId="1" builtinId="16"/>
    <cellStyle name="Normal" xfId="0" builtinId="0"/>
  </cellStyles>
  <dxfs count="37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FFFFCC"/>
      <color rgb="FFA8C36B"/>
      <color rgb="FFAFC876"/>
      <color rgb="FF77BFD3"/>
      <color rgb="FF83C5D7"/>
      <color rgb="FF44AC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13</xdr:row>
      <xdr:rowOff>28575</xdr:rowOff>
    </xdr:from>
    <xdr:to>
      <xdr:col>10</xdr:col>
      <xdr:colOff>304800</xdr:colOff>
      <xdr:row>20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457325" y="2600325"/>
          <a:ext cx="5886450" cy="1314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s-ES" sz="2800">
              <a:latin typeface="Arial" panose="020B0604020202020204" pitchFamily="34" charset="0"/>
              <a:cs typeface="Arial" panose="020B0604020202020204" pitchFamily="34" charset="0"/>
            </a:rPr>
            <a:t>Máximo de facturas</a:t>
          </a:r>
          <a:r>
            <a:rPr lang="es-ES" sz="2800" baseline="0">
              <a:latin typeface="Arial" panose="020B0604020202020204" pitchFamily="34" charset="0"/>
              <a:cs typeface="Arial" panose="020B0604020202020204" pitchFamily="34" charset="0"/>
            </a:rPr>
            <a:t> de cada tipo: </a:t>
          </a:r>
        </a:p>
        <a:p>
          <a:pPr algn="ctr"/>
          <a:r>
            <a:rPr lang="es-ES" sz="2800" baseline="0">
              <a:solidFill>
                <a:schemeClr val="accent2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100</a:t>
          </a:r>
          <a:endParaRPr lang="es-ES" sz="2800">
            <a:solidFill>
              <a:schemeClr val="accent2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L11"/>
  <sheetViews>
    <sheetView tabSelected="1" workbookViewId="0">
      <selection activeCell="D24" sqref="D24"/>
    </sheetView>
  </sheetViews>
  <sheetFormatPr baseColWidth="10" defaultRowHeight="15" x14ac:dyDescent="0.25"/>
  <cols>
    <col min="1" max="1" width="11.42578125" style="7"/>
    <col min="2" max="2" width="2.7109375" style="7" customWidth="1"/>
    <col min="3" max="11" width="11.42578125" style="7"/>
    <col min="12" max="12" width="4.42578125" style="7" customWidth="1"/>
    <col min="13" max="16384" width="11.42578125" style="7"/>
  </cols>
  <sheetData>
    <row r="4" spans="2:12" ht="20.25" thickBot="1" x14ac:dyDescent="0.35">
      <c r="B4" s="20"/>
      <c r="C4" s="39" t="s">
        <v>401</v>
      </c>
      <c r="D4" s="20"/>
      <c r="E4" s="20"/>
      <c r="F4" s="20"/>
      <c r="G4" s="20"/>
      <c r="H4" s="20"/>
      <c r="I4" s="20"/>
      <c r="J4" s="20"/>
      <c r="K4" s="20"/>
      <c r="L4" s="20"/>
    </row>
    <row r="5" spans="2:12" ht="16.5" thickTop="1" thickBot="1" x14ac:dyDescent="0.3"/>
    <row r="6" spans="2:12" x14ac:dyDescent="0.25">
      <c r="B6" s="10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2:12" x14ac:dyDescent="0.25">
      <c r="B7" s="13"/>
      <c r="C7" s="9"/>
      <c r="D7" s="38" t="s">
        <v>432</v>
      </c>
      <c r="E7" s="8"/>
      <c r="F7" s="8"/>
      <c r="G7" s="8"/>
      <c r="H7" s="8"/>
      <c r="I7" s="8"/>
      <c r="J7" s="8"/>
      <c r="K7" s="8"/>
      <c r="L7" s="14"/>
    </row>
    <row r="8" spans="2:12" x14ac:dyDescent="0.25">
      <c r="B8" s="13"/>
      <c r="C8" s="8"/>
      <c r="D8" s="38" t="s">
        <v>400</v>
      </c>
      <c r="E8" s="8"/>
      <c r="F8" s="8"/>
      <c r="G8" s="8"/>
      <c r="H8" s="8"/>
      <c r="I8" s="8"/>
      <c r="J8" s="8"/>
      <c r="K8" s="8"/>
      <c r="L8" s="14"/>
    </row>
    <row r="9" spans="2:12" x14ac:dyDescent="0.25">
      <c r="B9" s="13"/>
      <c r="C9" s="21"/>
      <c r="D9" s="38" t="s">
        <v>433</v>
      </c>
      <c r="E9" s="8"/>
      <c r="F9" s="8"/>
      <c r="G9" s="8"/>
      <c r="H9" s="8"/>
      <c r="I9" s="8"/>
      <c r="J9" s="8"/>
      <c r="K9" s="8"/>
      <c r="L9" s="14"/>
    </row>
    <row r="10" spans="2:12" x14ac:dyDescent="0.25">
      <c r="B10" s="13"/>
      <c r="C10" s="22"/>
      <c r="D10" s="38" t="s">
        <v>431</v>
      </c>
      <c r="E10" s="8"/>
      <c r="F10" s="8"/>
      <c r="G10" s="8"/>
      <c r="H10" s="8"/>
      <c r="I10" s="8"/>
      <c r="J10" s="8"/>
      <c r="K10" s="8"/>
      <c r="L10" s="14"/>
    </row>
    <row r="11" spans="2:12" ht="15.75" thickBot="1" x14ac:dyDescent="0.3">
      <c r="B11" s="15"/>
      <c r="C11" s="16"/>
      <c r="D11" s="16"/>
      <c r="E11" s="16"/>
      <c r="F11" s="16"/>
      <c r="G11" s="16"/>
      <c r="H11" s="16"/>
      <c r="I11" s="16"/>
      <c r="J11" s="16"/>
      <c r="K11" s="16"/>
      <c r="L11" s="17"/>
    </row>
  </sheetData>
  <sheetProtection algorithmName="SHA-512" hashValue="A9cEyGLShWu5R13pCPZ7lpF1L/nSgnCwoxvFZGMtU7RFGFMYS2qnxGPHSgOUWVnLIdsH9oI5nZf4nC6RloNp1w==" saltValue="a2Je2UzBcvVRX4+ts7N72w==" spinCount="100000"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AJ103"/>
  <sheetViews>
    <sheetView showGridLines="0" zoomScaleNormal="100" workbookViewId="0">
      <selection activeCell="E11" sqref="E11"/>
    </sheetView>
  </sheetViews>
  <sheetFormatPr baseColWidth="10" defaultRowHeight="15" x14ac:dyDescent="0.25"/>
  <cols>
    <col min="1" max="1" width="11" style="18" bestFit="1" customWidth="1"/>
    <col min="2" max="2" width="7.28515625" style="18" bestFit="1" customWidth="1"/>
    <col min="3" max="3" width="22.28515625" style="19" bestFit="1" customWidth="1"/>
    <col min="4" max="4" width="30" style="18" bestFit="1" customWidth="1"/>
    <col min="5" max="5" width="23.7109375" style="18" bestFit="1" customWidth="1"/>
    <col min="6" max="6" width="54.140625" style="18" customWidth="1"/>
    <col min="7" max="7" width="43.7109375" style="33" customWidth="1"/>
    <col min="8" max="8" width="17.85546875" style="33" customWidth="1"/>
    <col min="9" max="10" width="17.7109375" style="18" bestFit="1" customWidth="1"/>
    <col min="11" max="13" width="21.28515625" style="18" bestFit="1" customWidth="1"/>
    <col min="14" max="14" width="15.42578125" style="18" bestFit="1" customWidth="1"/>
    <col min="15" max="15" width="14.42578125" style="18" bestFit="1" customWidth="1"/>
    <col min="16" max="16" width="21.28515625" style="18" bestFit="1" customWidth="1"/>
    <col min="17" max="17" width="41.85546875" style="18" bestFit="1" customWidth="1"/>
    <col min="18" max="18" width="30.5703125" style="18" customWidth="1"/>
    <col min="19" max="19" width="26.42578125" style="18" customWidth="1"/>
    <col min="20" max="20" width="22.28515625" style="18" customWidth="1"/>
    <col min="21" max="22" width="13.140625" style="18" bestFit="1" customWidth="1"/>
    <col min="23" max="23" width="11.42578125" style="18"/>
    <col min="24" max="24" width="13.140625" style="18" bestFit="1" customWidth="1"/>
    <col min="25" max="25" width="12" style="18" bestFit="1" customWidth="1"/>
    <col min="26" max="26" width="15.5703125" style="18" bestFit="1" customWidth="1"/>
    <col min="27" max="27" width="17.7109375" style="18" bestFit="1" customWidth="1"/>
    <col min="28" max="28" width="14.140625" style="18" customWidth="1"/>
    <col min="29" max="29" width="17.28515625" style="18" customWidth="1"/>
    <col min="30" max="30" width="32.42578125" style="18" bestFit="1" customWidth="1"/>
    <col min="31" max="31" width="17.5703125" style="33" customWidth="1"/>
    <col min="32" max="32" width="19.7109375" style="33" bestFit="1" customWidth="1"/>
    <col min="33" max="33" width="18.42578125" style="18" customWidth="1"/>
    <col min="34" max="34" width="69.5703125" style="18" customWidth="1"/>
    <col min="35" max="35" width="21.28515625" style="18" bestFit="1" customWidth="1"/>
    <col min="36" max="36" width="41.85546875" style="18" bestFit="1" customWidth="1"/>
    <col min="37" max="16384" width="11.42578125" style="18"/>
  </cols>
  <sheetData>
    <row r="1" spans="1:36" s="30" customFormat="1" ht="12" x14ac:dyDescent="0.25">
      <c r="A1" s="73" t="s">
        <v>56</v>
      </c>
      <c r="B1" s="88"/>
      <c r="C1" s="73" t="s">
        <v>57</v>
      </c>
      <c r="D1" s="73"/>
      <c r="E1" s="89"/>
      <c r="F1" s="73" t="s">
        <v>58</v>
      </c>
      <c r="G1" s="76" t="s">
        <v>59</v>
      </c>
      <c r="H1" s="82" t="s">
        <v>60</v>
      </c>
      <c r="I1" s="79" t="s">
        <v>19</v>
      </c>
      <c r="J1" s="79" t="s">
        <v>61</v>
      </c>
      <c r="K1" s="73" t="s">
        <v>24</v>
      </c>
      <c r="L1" s="73"/>
      <c r="M1" s="88"/>
      <c r="N1" s="73" t="s">
        <v>62</v>
      </c>
      <c r="O1" s="86"/>
      <c r="P1" s="86"/>
      <c r="Q1" s="79" t="s">
        <v>3</v>
      </c>
      <c r="R1" s="73" t="s">
        <v>63</v>
      </c>
      <c r="S1" s="73" t="s">
        <v>64</v>
      </c>
      <c r="T1" s="73" t="s">
        <v>65</v>
      </c>
      <c r="U1" s="79" t="s">
        <v>2</v>
      </c>
      <c r="V1" s="79" t="s">
        <v>0</v>
      </c>
      <c r="W1" s="79" t="s">
        <v>1</v>
      </c>
      <c r="X1" s="79" t="s">
        <v>4</v>
      </c>
      <c r="Y1" s="79" t="s">
        <v>5</v>
      </c>
      <c r="Z1" s="79" t="s">
        <v>66</v>
      </c>
      <c r="AA1" s="85" t="s">
        <v>430</v>
      </c>
      <c r="AB1" s="86"/>
      <c r="AC1" s="86"/>
      <c r="AD1" s="86"/>
      <c r="AE1" s="82" t="s">
        <v>67</v>
      </c>
      <c r="AF1" s="82" t="s">
        <v>68</v>
      </c>
      <c r="AG1" s="79" t="s">
        <v>69</v>
      </c>
      <c r="AH1" s="73" t="s">
        <v>93</v>
      </c>
      <c r="AI1" s="73"/>
      <c r="AJ1" s="77" t="s">
        <v>209</v>
      </c>
    </row>
    <row r="2" spans="1:36" s="30" customFormat="1" ht="12" x14ac:dyDescent="0.25">
      <c r="A2" s="77" t="s">
        <v>31</v>
      </c>
      <c r="B2" s="75" t="s">
        <v>32</v>
      </c>
      <c r="C2" s="74" t="s">
        <v>55</v>
      </c>
      <c r="D2" s="75" t="s">
        <v>18</v>
      </c>
      <c r="E2" s="75" t="s">
        <v>52</v>
      </c>
      <c r="F2" s="73"/>
      <c r="G2" s="76"/>
      <c r="H2" s="83"/>
      <c r="I2" s="80"/>
      <c r="J2" s="80"/>
      <c r="K2" s="77" t="s">
        <v>20</v>
      </c>
      <c r="L2" s="77" t="s">
        <v>21</v>
      </c>
      <c r="M2" s="77" t="s">
        <v>30</v>
      </c>
      <c r="N2" s="75" t="s">
        <v>18</v>
      </c>
      <c r="O2" s="77" t="s">
        <v>8</v>
      </c>
      <c r="P2" s="77" t="s">
        <v>11</v>
      </c>
      <c r="Q2" s="80"/>
      <c r="R2" s="73"/>
      <c r="S2" s="73"/>
      <c r="T2" s="73"/>
      <c r="U2" s="80"/>
      <c r="V2" s="80"/>
      <c r="W2" s="80"/>
      <c r="X2" s="80"/>
      <c r="Y2" s="80"/>
      <c r="Z2" s="80"/>
      <c r="AA2" s="77" t="s">
        <v>13</v>
      </c>
      <c r="AB2" s="77" t="s">
        <v>14</v>
      </c>
      <c r="AC2" s="75" t="s">
        <v>16</v>
      </c>
      <c r="AD2" s="77" t="s">
        <v>26</v>
      </c>
      <c r="AE2" s="83"/>
      <c r="AF2" s="83"/>
      <c r="AG2" s="80"/>
      <c r="AH2" s="73" t="s">
        <v>91</v>
      </c>
      <c r="AI2" s="77" t="s">
        <v>92</v>
      </c>
      <c r="AJ2" s="87"/>
    </row>
    <row r="3" spans="1:36" s="30" customFormat="1" ht="12" x14ac:dyDescent="0.25">
      <c r="A3" s="87"/>
      <c r="B3" s="77"/>
      <c r="C3" s="74"/>
      <c r="D3" s="75"/>
      <c r="E3" s="75"/>
      <c r="F3" s="73"/>
      <c r="G3" s="76"/>
      <c r="H3" s="84"/>
      <c r="I3" s="81"/>
      <c r="J3" s="81"/>
      <c r="K3" s="78"/>
      <c r="L3" s="78"/>
      <c r="M3" s="78"/>
      <c r="N3" s="75"/>
      <c r="O3" s="78"/>
      <c r="P3" s="78"/>
      <c r="Q3" s="81"/>
      <c r="R3" s="73"/>
      <c r="S3" s="73"/>
      <c r="T3" s="73"/>
      <c r="U3" s="81"/>
      <c r="V3" s="81"/>
      <c r="W3" s="81"/>
      <c r="X3" s="81"/>
      <c r="Y3" s="81"/>
      <c r="Z3" s="81"/>
      <c r="AA3" s="78"/>
      <c r="AB3" s="78"/>
      <c r="AC3" s="75"/>
      <c r="AD3" s="78"/>
      <c r="AE3" s="84"/>
      <c r="AF3" s="84"/>
      <c r="AG3" s="81"/>
      <c r="AH3" s="73"/>
      <c r="AI3" s="78"/>
      <c r="AJ3" s="78"/>
    </row>
    <row r="4" spans="1:36" x14ac:dyDescent="0.25">
      <c r="A4" s="40"/>
      <c r="B4" s="41"/>
      <c r="C4" s="42"/>
      <c r="D4" s="43"/>
      <c r="E4" s="44"/>
      <c r="F4" s="41"/>
      <c r="G4" s="45"/>
      <c r="H4" s="45"/>
      <c r="I4" s="46"/>
      <c r="J4" s="46"/>
      <c r="K4" s="47"/>
      <c r="L4" s="47"/>
      <c r="M4" s="47"/>
      <c r="N4" s="41"/>
      <c r="O4" s="47"/>
      <c r="P4" s="47"/>
      <c r="Q4" s="47"/>
      <c r="R4" s="41"/>
      <c r="S4" s="41"/>
      <c r="T4" s="41"/>
      <c r="U4" s="48" t="str">
        <f>IF(AND(EXPEDIDAS_INGRESOS!S4="",EXPEDIDAS_INGRESOS!T4=""),"",IF(EXPEDIDAS_INGRESOS!S4="S1",SUM(V4,X4,Z4),V4))</f>
        <v/>
      </c>
      <c r="V4" s="49"/>
      <c r="W4" s="50"/>
      <c r="X4" s="48" t="str">
        <f>IF(OR(V4="",W4=""),"",V4*W4/100)</f>
        <v/>
      </c>
      <c r="Y4" s="50"/>
      <c r="Z4" s="48" t="str">
        <f>IF(OR(V4="",Y4=""),"",V4*Y4/100)</f>
        <v/>
      </c>
      <c r="AA4" s="46"/>
      <c r="AB4" s="49"/>
      <c r="AC4" s="41"/>
      <c r="AD4" s="47"/>
      <c r="AE4" s="45"/>
      <c r="AF4" s="45"/>
      <c r="AG4" s="47"/>
      <c r="AH4" s="41"/>
      <c r="AI4" s="47"/>
      <c r="AJ4" s="47"/>
    </row>
    <row r="5" spans="1:36" x14ac:dyDescent="0.25">
      <c r="A5" s="40"/>
      <c r="B5" s="41"/>
      <c r="C5" s="42"/>
      <c r="D5" s="43"/>
      <c r="E5" s="44"/>
      <c r="F5" s="41"/>
      <c r="G5" s="45"/>
      <c r="H5" s="45"/>
      <c r="I5" s="46"/>
      <c r="J5" s="46"/>
      <c r="K5" s="47"/>
      <c r="L5" s="47"/>
      <c r="M5" s="47"/>
      <c r="N5" s="41"/>
      <c r="O5" s="47"/>
      <c r="P5" s="47"/>
      <c r="Q5" s="47"/>
      <c r="R5" s="41"/>
      <c r="S5" s="41"/>
      <c r="T5" s="41"/>
      <c r="U5" s="48" t="str">
        <f>IF(AND(EXPEDIDAS_INGRESOS!S5="",EXPEDIDAS_INGRESOS!T5=""),"",IF(EXPEDIDAS_INGRESOS!S5="S1",SUM(V5,X5,Z5),V5))</f>
        <v/>
      </c>
      <c r="V5" s="49"/>
      <c r="W5" s="50"/>
      <c r="X5" s="48"/>
      <c r="Y5" s="50"/>
      <c r="Z5" s="48" t="str">
        <f t="shared" ref="Z5:Z35" si="0">IF(OR(V5="",Y5=""),"",V5*Y5/100)</f>
        <v/>
      </c>
      <c r="AA5" s="46"/>
      <c r="AB5" s="49"/>
      <c r="AC5" s="41"/>
      <c r="AD5" s="47"/>
      <c r="AE5" s="45"/>
      <c r="AF5" s="45"/>
      <c r="AG5" s="47"/>
      <c r="AH5" s="41"/>
      <c r="AI5" s="47"/>
      <c r="AJ5" s="47"/>
    </row>
    <row r="6" spans="1:36" x14ac:dyDescent="0.25">
      <c r="A6" s="40"/>
      <c r="B6" s="41"/>
      <c r="C6" s="42"/>
      <c r="D6" s="43"/>
      <c r="E6" s="44"/>
      <c r="F6" s="41"/>
      <c r="G6" s="45"/>
      <c r="H6" s="45"/>
      <c r="I6" s="46"/>
      <c r="J6" s="46"/>
      <c r="K6" s="47"/>
      <c r="L6" s="47"/>
      <c r="M6" s="47"/>
      <c r="N6" s="41"/>
      <c r="O6" s="47"/>
      <c r="P6" s="47"/>
      <c r="Q6" s="47"/>
      <c r="R6" s="41"/>
      <c r="S6" s="41"/>
      <c r="T6" s="41"/>
      <c r="U6" s="48" t="str">
        <f>IF(AND(EXPEDIDAS_INGRESOS!S6="",EXPEDIDAS_INGRESOS!T6=""),"",IF(EXPEDIDAS_INGRESOS!S6="S1",SUM(V6,X6,Z6),V6))</f>
        <v/>
      </c>
      <c r="V6" s="49"/>
      <c r="W6" s="50"/>
      <c r="X6" s="48"/>
      <c r="Y6" s="50"/>
      <c r="Z6" s="48" t="str">
        <f t="shared" si="0"/>
        <v/>
      </c>
      <c r="AA6" s="46"/>
      <c r="AB6" s="49"/>
      <c r="AC6" s="41"/>
      <c r="AD6" s="47"/>
      <c r="AE6" s="45"/>
      <c r="AF6" s="45"/>
      <c r="AG6" s="47"/>
      <c r="AH6" s="41"/>
      <c r="AI6" s="47"/>
      <c r="AJ6" s="47"/>
    </row>
    <row r="7" spans="1:36" x14ac:dyDescent="0.25">
      <c r="A7" s="40"/>
      <c r="B7" s="41"/>
      <c r="C7" s="42"/>
      <c r="D7" s="43"/>
      <c r="E7" s="44"/>
      <c r="F7" s="41"/>
      <c r="G7" s="45"/>
      <c r="H7" s="45"/>
      <c r="I7" s="46"/>
      <c r="J7" s="46"/>
      <c r="K7" s="47"/>
      <c r="L7" s="47"/>
      <c r="M7" s="47"/>
      <c r="N7" s="41"/>
      <c r="O7" s="47"/>
      <c r="P7" s="47"/>
      <c r="Q7" s="47"/>
      <c r="R7" s="41"/>
      <c r="S7" s="41"/>
      <c r="T7" s="41"/>
      <c r="U7" s="48" t="str">
        <f>IF(AND(EXPEDIDAS_INGRESOS!S7="",EXPEDIDAS_INGRESOS!T7=""),"",IF(EXPEDIDAS_INGRESOS!S7="S1",SUM(V7,X7,Z7),V7))</f>
        <v/>
      </c>
      <c r="V7" s="49"/>
      <c r="W7" s="50"/>
      <c r="X7" s="48"/>
      <c r="Y7" s="50"/>
      <c r="Z7" s="48" t="str">
        <f t="shared" si="0"/>
        <v/>
      </c>
      <c r="AA7" s="46"/>
      <c r="AB7" s="49"/>
      <c r="AC7" s="41"/>
      <c r="AD7" s="47"/>
      <c r="AE7" s="45"/>
      <c r="AF7" s="45"/>
      <c r="AG7" s="47"/>
      <c r="AH7" s="41"/>
      <c r="AI7" s="47"/>
      <c r="AJ7" s="47"/>
    </row>
    <row r="8" spans="1:36" x14ac:dyDescent="0.25">
      <c r="A8" s="40"/>
      <c r="B8" s="41"/>
      <c r="C8" s="42"/>
      <c r="D8" s="43"/>
      <c r="E8" s="44"/>
      <c r="F8" s="41"/>
      <c r="G8" s="45"/>
      <c r="H8" s="45"/>
      <c r="I8" s="46"/>
      <c r="J8" s="46"/>
      <c r="K8" s="47"/>
      <c r="L8" s="47"/>
      <c r="M8" s="47"/>
      <c r="N8" s="41"/>
      <c r="O8" s="47"/>
      <c r="P8" s="47"/>
      <c r="Q8" s="47"/>
      <c r="R8" s="41"/>
      <c r="S8" s="41"/>
      <c r="T8" s="41"/>
      <c r="U8" s="48" t="str">
        <f>IF(AND(EXPEDIDAS_INGRESOS!S8="",EXPEDIDAS_INGRESOS!T8=""),"",IF(EXPEDIDAS_INGRESOS!S8="S1",SUM(V8,X8,Z8),V8))</f>
        <v/>
      </c>
      <c r="V8" s="49"/>
      <c r="W8" s="50"/>
      <c r="X8" s="48"/>
      <c r="Y8" s="50"/>
      <c r="Z8" s="48" t="str">
        <f t="shared" si="0"/>
        <v/>
      </c>
      <c r="AA8" s="46"/>
      <c r="AB8" s="49"/>
      <c r="AC8" s="41"/>
      <c r="AD8" s="47"/>
      <c r="AE8" s="45"/>
      <c r="AF8" s="45"/>
      <c r="AG8" s="47"/>
      <c r="AH8" s="41"/>
      <c r="AI8" s="47"/>
      <c r="AJ8" s="47"/>
    </row>
    <row r="9" spans="1:36" x14ac:dyDescent="0.25">
      <c r="A9" s="40"/>
      <c r="B9" s="41"/>
      <c r="C9" s="42"/>
      <c r="D9" s="43"/>
      <c r="E9" s="44"/>
      <c r="F9" s="41"/>
      <c r="G9" s="45"/>
      <c r="H9" s="45"/>
      <c r="I9" s="46"/>
      <c r="J9" s="46"/>
      <c r="K9" s="47"/>
      <c r="L9" s="47"/>
      <c r="M9" s="47"/>
      <c r="N9" s="41"/>
      <c r="O9" s="47"/>
      <c r="P9" s="47"/>
      <c r="Q9" s="47"/>
      <c r="R9" s="41"/>
      <c r="S9" s="41"/>
      <c r="T9" s="41"/>
      <c r="U9" s="48" t="str">
        <f>IF(AND(EXPEDIDAS_INGRESOS!S9="",EXPEDIDAS_INGRESOS!T9=""),"",IF(EXPEDIDAS_INGRESOS!S9="S1",SUM(V9,X9,Z9),V9))</f>
        <v/>
      </c>
      <c r="V9" s="49"/>
      <c r="W9" s="50"/>
      <c r="X9" s="48"/>
      <c r="Y9" s="50"/>
      <c r="Z9" s="48" t="str">
        <f t="shared" si="0"/>
        <v/>
      </c>
      <c r="AA9" s="46"/>
      <c r="AB9" s="49"/>
      <c r="AC9" s="41"/>
      <c r="AD9" s="47"/>
      <c r="AE9" s="45"/>
      <c r="AF9" s="45"/>
      <c r="AG9" s="47"/>
      <c r="AH9" s="41"/>
      <c r="AI9" s="47"/>
      <c r="AJ9" s="47"/>
    </row>
    <row r="10" spans="1:36" x14ac:dyDescent="0.25">
      <c r="A10" s="40"/>
      <c r="B10" s="41"/>
      <c r="C10" s="42"/>
      <c r="D10" s="43"/>
      <c r="E10" s="44"/>
      <c r="F10" s="41"/>
      <c r="G10" s="45"/>
      <c r="H10" s="45"/>
      <c r="I10" s="46"/>
      <c r="J10" s="46"/>
      <c r="K10" s="47"/>
      <c r="L10" s="47"/>
      <c r="M10" s="47"/>
      <c r="N10" s="41"/>
      <c r="O10" s="47"/>
      <c r="P10" s="47"/>
      <c r="Q10" s="47"/>
      <c r="R10" s="41"/>
      <c r="S10" s="41"/>
      <c r="T10" s="41"/>
      <c r="U10" s="48" t="str">
        <f>IF(AND(EXPEDIDAS_INGRESOS!S10="",EXPEDIDAS_INGRESOS!T10=""),"",IF(EXPEDIDAS_INGRESOS!S10="S1",SUM(V10,X10,Z10),V10))</f>
        <v/>
      </c>
      <c r="V10" s="49"/>
      <c r="W10" s="50"/>
      <c r="X10" s="48"/>
      <c r="Y10" s="50"/>
      <c r="Z10" s="48" t="str">
        <f t="shared" si="0"/>
        <v/>
      </c>
      <c r="AA10" s="46"/>
      <c r="AB10" s="49"/>
      <c r="AC10" s="41"/>
      <c r="AD10" s="47"/>
      <c r="AE10" s="45"/>
      <c r="AF10" s="45"/>
      <c r="AG10" s="47"/>
      <c r="AH10" s="41"/>
      <c r="AI10" s="47"/>
      <c r="AJ10" s="47"/>
    </row>
    <row r="11" spans="1:36" x14ac:dyDescent="0.25">
      <c r="A11" s="40"/>
      <c r="B11" s="41"/>
      <c r="C11" s="42"/>
      <c r="D11" s="43"/>
      <c r="E11" s="44"/>
      <c r="F11" s="41"/>
      <c r="G11" s="45"/>
      <c r="H11" s="45"/>
      <c r="I11" s="46"/>
      <c r="J11" s="46"/>
      <c r="K11" s="47"/>
      <c r="L11" s="47"/>
      <c r="M11" s="47"/>
      <c r="N11" s="41"/>
      <c r="O11" s="47"/>
      <c r="P11" s="47"/>
      <c r="Q11" s="47"/>
      <c r="R11" s="41"/>
      <c r="S11" s="41"/>
      <c r="T11" s="41"/>
      <c r="U11" s="48" t="str">
        <f>IF(AND(EXPEDIDAS_INGRESOS!S11="",EXPEDIDAS_INGRESOS!T11=""),"",IF(EXPEDIDAS_INGRESOS!S11="S1",SUM(V11,X11,Z11),V11))</f>
        <v/>
      </c>
      <c r="V11" s="49"/>
      <c r="W11" s="50"/>
      <c r="X11" s="48"/>
      <c r="Y11" s="50"/>
      <c r="Z11" s="48" t="str">
        <f t="shared" si="0"/>
        <v/>
      </c>
      <c r="AA11" s="46"/>
      <c r="AB11" s="49"/>
      <c r="AC11" s="41"/>
      <c r="AD11" s="47"/>
      <c r="AE11" s="45"/>
      <c r="AF11" s="45"/>
      <c r="AG11" s="47"/>
      <c r="AH11" s="41"/>
      <c r="AI11" s="47"/>
      <c r="AJ11" s="47"/>
    </row>
    <row r="12" spans="1:36" x14ac:dyDescent="0.25">
      <c r="A12" s="40"/>
      <c r="B12" s="41"/>
      <c r="C12" s="42"/>
      <c r="D12" s="43"/>
      <c r="E12" s="44"/>
      <c r="F12" s="41"/>
      <c r="G12" s="45"/>
      <c r="H12" s="45"/>
      <c r="I12" s="46"/>
      <c r="J12" s="46"/>
      <c r="K12" s="47"/>
      <c r="L12" s="47"/>
      <c r="M12" s="47"/>
      <c r="N12" s="41"/>
      <c r="O12" s="47"/>
      <c r="P12" s="47"/>
      <c r="Q12" s="47"/>
      <c r="R12" s="41"/>
      <c r="S12" s="41"/>
      <c r="T12" s="41"/>
      <c r="U12" s="48" t="str">
        <f>IF(AND(EXPEDIDAS_INGRESOS!S12="",EXPEDIDAS_INGRESOS!T12=""),"",IF(EXPEDIDAS_INGRESOS!S12="S1",SUM(V12,X12,Z12),V12))</f>
        <v/>
      </c>
      <c r="V12" s="49"/>
      <c r="W12" s="50"/>
      <c r="X12" s="48"/>
      <c r="Y12" s="50"/>
      <c r="Z12" s="48" t="str">
        <f t="shared" si="0"/>
        <v/>
      </c>
      <c r="AA12" s="46"/>
      <c r="AB12" s="49"/>
      <c r="AC12" s="41"/>
      <c r="AD12" s="47"/>
      <c r="AE12" s="45"/>
      <c r="AF12" s="45"/>
      <c r="AG12" s="47"/>
      <c r="AH12" s="41"/>
      <c r="AI12" s="47"/>
      <c r="AJ12" s="47"/>
    </row>
    <row r="13" spans="1:36" x14ac:dyDescent="0.25">
      <c r="A13" s="40"/>
      <c r="B13" s="41"/>
      <c r="C13" s="42"/>
      <c r="D13" s="43"/>
      <c r="E13" s="44"/>
      <c r="F13" s="41"/>
      <c r="G13" s="45"/>
      <c r="H13" s="45"/>
      <c r="I13" s="46"/>
      <c r="J13" s="46"/>
      <c r="K13" s="47"/>
      <c r="L13" s="47"/>
      <c r="M13" s="47"/>
      <c r="N13" s="41"/>
      <c r="O13" s="47"/>
      <c r="P13" s="47"/>
      <c r="Q13" s="47"/>
      <c r="R13" s="41"/>
      <c r="S13" s="41"/>
      <c r="T13" s="41"/>
      <c r="U13" s="48" t="str">
        <f>IF(AND(EXPEDIDAS_INGRESOS!S13="",EXPEDIDAS_INGRESOS!T13=""),"",IF(EXPEDIDAS_INGRESOS!S13="S1",SUM(V13,X13,Z13),V13))</f>
        <v/>
      </c>
      <c r="V13" s="49"/>
      <c r="W13" s="50"/>
      <c r="X13" s="48"/>
      <c r="Y13" s="50"/>
      <c r="Z13" s="48" t="str">
        <f t="shared" si="0"/>
        <v/>
      </c>
      <c r="AA13" s="46"/>
      <c r="AB13" s="49"/>
      <c r="AC13" s="41"/>
      <c r="AD13" s="47"/>
      <c r="AE13" s="45"/>
      <c r="AF13" s="45"/>
      <c r="AG13" s="47"/>
      <c r="AH13" s="41"/>
      <c r="AI13" s="47"/>
      <c r="AJ13" s="47"/>
    </row>
    <row r="14" spans="1:36" x14ac:dyDescent="0.25">
      <c r="A14" s="40"/>
      <c r="B14" s="41"/>
      <c r="C14" s="42"/>
      <c r="D14" s="43"/>
      <c r="E14" s="44"/>
      <c r="F14" s="41"/>
      <c r="G14" s="45"/>
      <c r="H14" s="45"/>
      <c r="I14" s="46"/>
      <c r="J14" s="46"/>
      <c r="K14" s="47"/>
      <c r="L14" s="47"/>
      <c r="M14" s="47"/>
      <c r="N14" s="41"/>
      <c r="O14" s="47"/>
      <c r="P14" s="47"/>
      <c r="Q14" s="47"/>
      <c r="R14" s="41"/>
      <c r="S14" s="41"/>
      <c r="T14" s="41"/>
      <c r="U14" s="48" t="str">
        <f>IF(AND(EXPEDIDAS_INGRESOS!S14="",EXPEDIDAS_INGRESOS!T14=""),"",IF(EXPEDIDAS_INGRESOS!S14="S1",SUM(V14,X14,Z14),V14))</f>
        <v/>
      </c>
      <c r="V14" s="49"/>
      <c r="W14" s="50"/>
      <c r="X14" s="48"/>
      <c r="Y14" s="50"/>
      <c r="Z14" s="48" t="str">
        <f t="shared" si="0"/>
        <v/>
      </c>
      <c r="AA14" s="46"/>
      <c r="AB14" s="49"/>
      <c r="AC14" s="41"/>
      <c r="AD14" s="47"/>
      <c r="AE14" s="45"/>
      <c r="AF14" s="45"/>
      <c r="AG14" s="47"/>
      <c r="AH14" s="41"/>
      <c r="AI14" s="47"/>
      <c r="AJ14" s="47"/>
    </row>
    <row r="15" spans="1:36" x14ac:dyDescent="0.25">
      <c r="A15" s="40"/>
      <c r="B15" s="41"/>
      <c r="C15" s="42"/>
      <c r="D15" s="43"/>
      <c r="E15" s="44"/>
      <c r="F15" s="41"/>
      <c r="G15" s="45"/>
      <c r="H15" s="45"/>
      <c r="I15" s="46"/>
      <c r="J15" s="46"/>
      <c r="K15" s="47"/>
      <c r="L15" s="47"/>
      <c r="M15" s="47"/>
      <c r="N15" s="41"/>
      <c r="O15" s="47"/>
      <c r="P15" s="47"/>
      <c r="Q15" s="47"/>
      <c r="R15" s="41"/>
      <c r="S15" s="41"/>
      <c r="T15" s="41"/>
      <c r="U15" s="48" t="str">
        <f>IF(AND(EXPEDIDAS_INGRESOS!S15="",EXPEDIDAS_INGRESOS!T15=""),"",IF(EXPEDIDAS_INGRESOS!S15="S1",SUM(V15,X15,Z15),V15))</f>
        <v/>
      </c>
      <c r="V15" s="49"/>
      <c r="W15" s="50"/>
      <c r="X15" s="48"/>
      <c r="Y15" s="50"/>
      <c r="Z15" s="48" t="str">
        <f t="shared" si="0"/>
        <v/>
      </c>
      <c r="AA15" s="46"/>
      <c r="AB15" s="49"/>
      <c r="AC15" s="41"/>
      <c r="AD15" s="47"/>
      <c r="AE15" s="45"/>
      <c r="AF15" s="45"/>
      <c r="AG15" s="47"/>
      <c r="AH15" s="41"/>
      <c r="AI15" s="47"/>
      <c r="AJ15" s="47"/>
    </row>
    <row r="16" spans="1:36" x14ac:dyDescent="0.25">
      <c r="A16" s="40"/>
      <c r="B16" s="41"/>
      <c r="C16" s="42"/>
      <c r="D16" s="43"/>
      <c r="E16" s="44"/>
      <c r="F16" s="41"/>
      <c r="G16" s="45"/>
      <c r="H16" s="45"/>
      <c r="I16" s="46"/>
      <c r="J16" s="46"/>
      <c r="K16" s="47"/>
      <c r="L16" s="47"/>
      <c r="M16" s="47"/>
      <c r="N16" s="41"/>
      <c r="O16" s="47"/>
      <c r="P16" s="47"/>
      <c r="Q16" s="47"/>
      <c r="R16" s="41"/>
      <c r="S16" s="41"/>
      <c r="T16" s="41"/>
      <c r="U16" s="48" t="str">
        <f>IF(AND(EXPEDIDAS_INGRESOS!S16="",EXPEDIDAS_INGRESOS!T16=""),"",IF(EXPEDIDAS_INGRESOS!S16="S1",SUM(V16,X16,Z16),V16))</f>
        <v/>
      </c>
      <c r="V16" s="49"/>
      <c r="W16" s="50"/>
      <c r="X16" s="48"/>
      <c r="Y16" s="50"/>
      <c r="Z16" s="48" t="str">
        <f t="shared" si="0"/>
        <v/>
      </c>
      <c r="AA16" s="46"/>
      <c r="AB16" s="49"/>
      <c r="AC16" s="41"/>
      <c r="AD16" s="47"/>
      <c r="AE16" s="45"/>
      <c r="AF16" s="45"/>
      <c r="AG16" s="47"/>
      <c r="AH16" s="41"/>
      <c r="AI16" s="47"/>
      <c r="AJ16" s="47"/>
    </row>
    <row r="17" spans="1:36" x14ac:dyDescent="0.25">
      <c r="A17" s="40"/>
      <c r="B17" s="41"/>
      <c r="C17" s="42"/>
      <c r="D17" s="43"/>
      <c r="E17" s="44"/>
      <c r="F17" s="41"/>
      <c r="G17" s="45"/>
      <c r="H17" s="45"/>
      <c r="I17" s="46"/>
      <c r="J17" s="46"/>
      <c r="K17" s="47"/>
      <c r="L17" s="47"/>
      <c r="M17" s="47"/>
      <c r="N17" s="41"/>
      <c r="O17" s="47"/>
      <c r="P17" s="47"/>
      <c r="Q17" s="47"/>
      <c r="R17" s="41"/>
      <c r="S17" s="41"/>
      <c r="T17" s="41"/>
      <c r="U17" s="48" t="str">
        <f>IF(AND(EXPEDIDAS_INGRESOS!S17="",EXPEDIDAS_INGRESOS!T17=""),"",IF(EXPEDIDAS_INGRESOS!S17="S1",SUM(V17,X17,Z17),V17))</f>
        <v/>
      </c>
      <c r="V17" s="49"/>
      <c r="W17" s="50"/>
      <c r="X17" s="48"/>
      <c r="Y17" s="50"/>
      <c r="Z17" s="48" t="str">
        <f t="shared" si="0"/>
        <v/>
      </c>
      <c r="AA17" s="46"/>
      <c r="AB17" s="49"/>
      <c r="AC17" s="41"/>
      <c r="AD17" s="47"/>
      <c r="AE17" s="45"/>
      <c r="AF17" s="45"/>
      <c r="AG17" s="47"/>
      <c r="AH17" s="41"/>
      <c r="AI17" s="47"/>
      <c r="AJ17" s="47"/>
    </row>
    <row r="18" spans="1:36" x14ac:dyDescent="0.25">
      <c r="A18" s="40"/>
      <c r="B18" s="41"/>
      <c r="C18" s="42"/>
      <c r="D18" s="43"/>
      <c r="E18" s="44"/>
      <c r="F18" s="41"/>
      <c r="G18" s="45"/>
      <c r="H18" s="45"/>
      <c r="I18" s="46"/>
      <c r="J18" s="46"/>
      <c r="K18" s="47"/>
      <c r="L18" s="47"/>
      <c r="M18" s="47"/>
      <c r="N18" s="41"/>
      <c r="O18" s="47"/>
      <c r="P18" s="47"/>
      <c r="Q18" s="47"/>
      <c r="R18" s="41"/>
      <c r="S18" s="41"/>
      <c r="T18" s="41"/>
      <c r="U18" s="48" t="str">
        <f>IF(AND(EXPEDIDAS_INGRESOS!S18="",EXPEDIDAS_INGRESOS!T18=""),"",IF(EXPEDIDAS_INGRESOS!S18="S1",SUM(V18,X18,Z18),V18))</f>
        <v/>
      </c>
      <c r="V18" s="49"/>
      <c r="W18" s="50"/>
      <c r="X18" s="48"/>
      <c r="Y18" s="50"/>
      <c r="Z18" s="48" t="str">
        <f t="shared" si="0"/>
        <v/>
      </c>
      <c r="AA18" s="46"/>
      <c r="AB18" s="49"/>
      <c r="AC18" s="41"/>
      <c r="AD18" s="47"/>
      <c r="AE18" s="45"/>
      <c r="AF18" s="45"/>
      <c r="AG18" s="47"/>
      <c r="AH18" s="41"/>
      <c r="AI18" s="47"/>
      <c r="AJ18" s="47"/>
    </row>
    <row r="19" spans="1:36" x14ac:dyDescent="0.25">
      <c r="A19" s="40"/>
      <c r="B19" s="41"/>
      <c r="C19" s="42"/>
      <c r="D19" s="43"/>
      <c r="E19" s="44"/>
      <c r="F19" s="41"/>
      <c r="G19" s="45"/>
      <c r="H19" s="45"/>
      <c r="I19" s="46"/>
      <c r="J19" s="46"/>
      <c r="K19" s="47"/>
      <c r="L19" s="47"/>
      <c r="M19" s="47"/>
      <c r="N19" s="41"/>
      <c r="O19" s="47"/>
      <c r="P19" s="47"/>
      <c r="Q19" s="47"/>
      <c r="R19" s="41"/>
      <c r="S19" s="41"/>
      <c r="T19" s="41"/>
      <c r="U19" s="48" t="str">
        <f>IF(AND(EXPEDIDAS_INGRESOS!S19="",EXPEDIDAS_INGRESOS!T19=""),"",IF(EXPEDIDAS_INGRESOS!S19="S1",SUM(V19,X19,Z19),V19))</f>
        <v/>
      </c>
      <c r="V19" s="49"/>
      <c r="W19" s="50"/>
      <c r="X19" s="48"/>
      <c r="Y19" s="50"/>
      <c r="Z19" s="48" t="str">
        <f t="shared" si="0"/>
        <v/>
      </c>
      <c r="AA19" s="46"/>
      <c r="AB19" s="49"/>
      <c r="AC19" s="41"/>
      <c r="AD19" s="47"/>
      <c r="AE19" s="45"/>
      <c r="AF19" s="45"/>
      <c r="AG19" s="47"/>
      <c r="AH19" s="41"/>
      <c r="AI19" s="47"/>
      <c r="AJ19" s="47"/>
    </row>
    <row r="20" spans="1:36" x14ac:dyDescent="0.25">
      <c r="A20" s="40"/>
      <c r="B20" s="41"/>
      <c r="C20" s="42"/>
      <c r="D20" s="43"/>
      <c r="E20" s="44"/>
      <c r="F20" s="41"/>
      <c r="G20" s="45"/>
      <c r="H20" s="45"/>
      <c r="I20" s="46"/>
      <c r="J20" s="46"/>
      <c r="K20" s="47"/>
      <c r="L20" s="47"/>
      <c r="M20" s="47"/>
      <c r="N20" s="41"/>
      <c r="O20" s="47"/>
      <c r="P20" s="47"/>
      <c r="Q20" s="47"/>
      <c r="R20" s="41"/>
      <c r="S20" s="41"/>
      <c r="T20" s="41"/>
      <c r="U20" s="48" t="str">
        <f>IF(AND(EXPEDIDAS_INGRESOS!S20="",EXPEDIDAS_INGRESOS!T20=""),"",IF(EXPEDIDAS_INGRESOS!S20="S1",SUM(V20,X20,Z20),V20))</f>
        <v/>
      </c>
      <c r="V20" s="49"/>
      <c r="W20" s="50"/>
      <c r="X20" s="48"/>
      <c r="Y20" s="50"/>
      <c r="Z20" s="48" t="str">
        <f t="shared" si="0"/>
        <v/>
      </c>
      <c r="AA20" s="46"/>
      <c r="AB20" s="49"/>
      <c r="AC20" s="41"/>
      <c r="AD20" s="47"/>
      <c r="AE20" s="45"/>
      <c r="AF20" s="45"/>
      <c r="AG20" s="47"/>
      <c r="AH20" s="41"/>
      <c r="AI20" s="47"/>
      <c r="AJ20" s="47"/>
    </row>
    <row r="21" spans="1:36" x14ac:dyDescent="0.25">
      <c r="A21" s="40"/>
      <c r="B21" s="41"/>
      <c r="C21" s="42"/>
      <c r="D21" s="43"/>
      <c r="E21" s="44"/>
      <c r="F21" s="41"/>
      <c r="G21" s="45"/>
      <c r="H21" s="45"/>
      <c r="I21" s="46"/>
      <c r="J21" s="46"/>
      <c r="K21" s="47"/>
      <c r="L21" s="47"/>
      <c r="M21" s="47"/>
      <c r="N21" s="41"/>
      <c r="O21" s="47"/>
      <c r="P21" s="47"/>
      <c r="Q21" s="47"/>
      <c r="R21" s="41"/>
      <c r="S21" s="41"/>
      <c r="T21" s="41"/>
      <c r="U21" s="48" t="str">
        <f>IF(AND(EXPEDIDAS_INGRESOS!S21="",EXPEDIDAS_INGRESOS!T21=""),"",IF(EXPEDIDAS_INGRESOS!S21="S1",SUM(V21,X21,Z21),V21))</f>
        <v/>
      </c>
      <c r="V21" s="49"/>
      <c r="W21" s="50"/>
      <c r="X21" s="48"/>
      <c r="Y21" s="50"/>
      <c r="Z21" s="48" t="str">
        <f t="shared" si="0"/>
        <v/>
      </c>
      <c r="AA21" s="46"/>
      <c r="AB21" s="49"/>
      <c r="AC21" s="41"/>
      <c r="AD21" s="47"/>
      <c r="AE21" s="45"/>
      <c r="AF21" s="45"/>
      <c r="AG21" s="47"/>
      <c r="AH21" s="41"/>
      <c r="AI21" s="47"/>
      <c r="AJ21" s="47"/>
    </row>
    <row r="22" spans="1:36" x14ac:dyDescent="0.25">
      <c r="A22" s="40"/>
      <c r="B22" s="41"/>
      <c r="C22" s="42"/>
      <c r="D22" s="43"/>
      <c r="E22" s="44"/>
      <c r="F22" s="41"/>
      <c r="G22" s="45"/>
      <c r="H22" s="45"/>
      <c r="I22" s="46"/>
      <c r="J22" s="46"/>
      <c r="K22" s="47"/>
      <c r="L22" s="47"/>
      <c r="M22" s="47"/>
      <c r="N22" s="41"/>
      <c r="O22" s="47"/>
      <c r="P22" s="47"/>
      <c r="Q22" s="47"/>
      <c r="R22" s="41"/>
      <c r="S22" s="41"/>
      <c r="T22" s="41"/>
      <c r="U22" s="48" t="str">
        <f>IF(AND(EXPEDIDAS_INGRESOS!S22="",EXPEDIDAS_INGRESOS!T22=""),"",IF(EXPEDIDAS_INGRESOS!S22="S1",SUM(V22,X22,Z22),V22))</f>
        <v/>
      </c>
      <c r="V22" s="49"/>
      <c r="W22" s="50"/>
      <c r="X22" s="48"/>
      <c r="Y22" s="50"/>
      <c r="Z22" s="48" t="str">
        <f t="shared" si="0"/>
        <v/>
      </c>
      <c r="AA22" s="46"/>
      <c r="AB22" s="49"/>
      <c r="AC22" s="41"/>
      <c r="AD22" s="47"/>
      <c r="AE22" s="45"/>
      <c r="AF22" s="45"/>
      <c r="AG22" s="47"/>
      <c r="AH22" s="41"/>
      <c r="AI22" s="47"/>
      <c r="AJ22" s="47"/>
    </row>
    <row r="23" spans="1:36" x14ac:dyDescent="0.25">
      <c r="A23" s="40"/>
      <c r="B23" s="41"/>
      <c r="C23" s="42"/>
      <c r="D23" s="43"/>
      <c r="E23" s="44"/>
      <c r="F23" s="41"/>
      <c r="G23" s="45"/>
      <c r="H23" s="45"/>
      <c r="I23" s="46"/>
      <c r="J23" s="46"/>
      <c r="K23" s="47"/>
      <c r="L23" s="47"/>
      <c r="M23" s="47"/>
      <c r="N23" s="41"/>
      <c r="O23" s="47"/>
      <c r="P23" s="47"/>
      <c r="Q23" s="47"/>
      <c r="R23" s="41"/>
      <c r="S23" s="41"/>
      <c r="T23" s="41"/>
      <c r="U23" s="48" t="str">
        <f>IF(AND(EXPEDIDAS_INGRESOS!S23="",EXPEDIDAS_INGRESOS!T23=""),"",IF(EXPEDIDAS_INGRESOS!S23="S1",SUM(V23,X23,Z23),V23))</f>
        <v/>
      </c>
      <c r="V23" s="49"/>
      <c r="W23" s="50"/>
      <c r="X23" s="48"/>
      <c r="Y23" s="50"/>
      <c r="Z23" s="48" t="str">
        <f t="shared" si="0"/>
        <v/>
      </c>
      <c r="AA23" s="46"/>
      <c r="AB23" s="49"/>
      <c r="AC23" s="41"/>
      <c r="AD23" s="47"/>
      <c r="AE23" s="45"/>
      <c r="AF23" s="45"/>
      <c r="AG23" s="47"/>
      <c r="AH23" s="41"/>
      <c r="AI23" s="47"/>
      <c r="AJ23" s="47"/>
    </row>
    <row r="24" spans="1:36" x14ac:dyDescent="0.25">
      <c r="A24" s="40"/>
      <c r="B24" s="41"/>
      <c r="C24" s="42"/>
      <c r="D24" s="43"/>
      <c r="E24" s="44"/>
      <c r="F24" s="41"/>
      <c r="G24" s="45"/>
      <c r="H24" s="45"/>
      <c r="I24" s="46"/>
      <c r="J24" s="46"/>
      <c r="K24" s="47"/>
      <c r="L24" s="47"/>
      <c r="M24" s="47"/>
      <c r="N24" s="41"/>
      <c r="O24" s="47"/>
      <c r="P24" s="47"/>
      <c r="Q24" s="47"/>
      <c r="R24" s="41"/>
      <c r="S24" s="41"/>
      <c r="T24" s="41"/>
      <c r="U24" s="48" t="str">
        <f>IF(AND(EXPEDIDAS_INGRESOS!S24="",EXPEDIDAS_INGRESOS!T24=""),"",IF(EXPEDIDAS_INGRESOS!S24="S1",SUM(V24,X24,Z24),V24))</f>
        <v/>
      </c>
      <c r="V24" s="49"/>
      <c r="W24" s="50"/>
      <c r="X24" s="48"/>
      <c r="Y24" s="50"/>
      <c r="Z24" s="48" t="str">
        <f t="shared" si="0"/>
        <v/>
      </c>
      <c r="AA24" s="46"/>
      <c r="AB24" s="49"/>
      <c r="AC24" s="41"/>
      <c r="AD24" s="47"/>
      <c r="AE24" s="45"/>
      <c r="AF24" s="45"/>
      <c r="AG24" s="47"/>
      <c r="AH24" s="41"/>
      <c r="AI24" s="47"/>
      <c r="AJ24" s="47"/>
    </row>
    <row r="25" spans="1:36" x14ac:dyDescent="0.25">
      <c r="A25" s="40"/>
      <c r="B25" s="41"/>
      <c r="C25" s="42"/>
      <c r="D25" s="43"/>
      <c r="E25" s="44"/>
      <c r="F25" s="41"/>
      <c r="G25" s="45"/>
      <c r="H25" s="45"/>
      <c r="I25" s="46"/>
      <c r="J25" s="46"/>
      <c r="K25" s="47"/>
      <c r="L25" s="47"/>
      <c r="M25" s="47"/>
      <c r="N25" s="41"/>
      <c r="O25" s="47"/>
      <c r="P25" s="47"/>
      <c r="Q25" s="47"/>
      <c r="R25" s="41"/>
      <c r="S25" s="41"/>
      <c r="T25" s="41"/>
      <c r="U25" s="48" t="str">
        <f>IF(AND(EXPEDIDAS_INGRESOS!S25="",EXPEDIDAS_INGRESOS!T25=""),"",IF(EXPEDIDAS_INGRESOS!S25="S1",SUM(V25,X25,Z25),V25))</f>
        <v/>
      </c>
      <c r="V25" s="49"/>
      <c r="W25" s="50"/>
      <c r="X25" s="48"/>
      <c r="Y25" s="50"/>
      <c r="Z25" s="48" t="str">
        <f t="shared" si="0"/>
        <v/>
      </c>
      <c r="AA25" s="46"/>
      <c r="AB25" s="49"/>
      <c r="AC25" s="41"/>
      <c r="AD25" s="47"/>
      <c r="AE25" s="45"/>
      <c r="AF25" s="45"/>
      <c r="AG25" s="47"/>
      <c r="AH25" s="41"/>
      <c r="AI25" s="47"/>
      <c r="AJ25" s="47"/>
    </row>
    <row r="26" spans="1:36" x14ac:dyDescent="0.25">
      <c r="A26" s="40"/>
      <c r="B26" s="41"/>
      <c r="C26" s="42"/>
      <c r="D26" s="43"/>
      <c r="E26" s="44"/>
      <c r="F26" s="41"/>
      <c r="G26" s="45"/>
      <c r="H26" s="45"/>
      <c r="I26" s="46"/>
      <c r="J26" s="46"/>
      <c r="K26" s="47"/>
      <c r="L26" s="47"/>
      <c r="M26" s="47"/>
      <c r="N26" s="41"/>
      <c r="O26" s="47"/>
      <c r="P26" s="47"/>
      <c r="Q26" s="47"/>
      <c r="R26" s="41"/>
      <c r="S26" s="41"/>
      <c r="T26" s="41"/>
      <c r="U26" s="48" t="str">
        <f>IF(AND(EXPEDIDAS_INGRESOS!S26="",EXPEDIDAS_INGRESOS!T26=""),"",IF(EXPEDIDAS_INGRESOS!S26="S1",SUM(V26,X26,Z26),V26))</f>
        <v/>
      </c>
      <c r="V26" s="49"/>
      <c r="W26" s="50"/>
      <c r="X26" s="48"/>
      <c r="Y26" s="50"/>
      <c r="Z26" s="48" t="str">
        <f t="shared" si="0"/>
        <v/>
      </c>
      <c r="AA26" s="46"/>
      <c r="AB26" s="49"/>
      <c r="AC26" s="41"/>
      <c r="AD26" s="47"/>
      <c r="AE26" s="45"/>
      <c r="AF26" s="45"/>
      <c r="AG26" s="47"/>
      <c r="AH26" s="41"/>
      <c r="AI26" s="47"/>
      <c r="AJ26" s="47"/>
    </row>
    <row r="27" spans="1:36" x14ac:dyDescent="0.25">
      <c r="A27" s="40"/>
      <c r="B27" s="41"/>
      <c r="C27" s="42"/>
      <c r="D27" s="43"/>
      <c r="E27" s="44"/>
      <c r="F27" s="41"/>
      <c r="G27" s="45"/>
      <c r="H27" s="45"/>
      <c r="I27" s="46"/>
      <c r="J27" s="46"/>
      <c r="K27" s="47"/>
      <c r="L27" s="47"/>
      <c r="M27" s="47"/>
      <c r="N27" s="41"/>
      <c r="O27" s="47"/>
      <c r="P27" s="47"/>
      <c r="Q27" s="47"/>
      <c r="R27" s="41"/>
      <c r="S27" s="41"/>
      <c r="T27" s="41"/>
      <c r="U27" s="48" t="str">
        <f>IF(AND(EXPEDIDAS_INGRESOS!S27="",EXPEDIDAS_INGRESOS!T27=""),"",IF(EXPEDIDAS_INGRESOS!S27="S1",SUM(V27,X27,Z27),V27))</f>
        <v/>
      </c>
      <c r="V27" s="49"/>
      <c r="W27" s="50"/>
      <c r="X27" s="48"/>
      <c r="Y27" s="50"/>
      <c r="Z27" s="48" t="str">
        <f t="shared" si="0"/>
        <v/>
      </c>
      <c r="AA27" s="46"/>
      <c r="AB27" s="49"/>
      <c r="AC27" s="41"/>
      <c r="AD27" s="47"/>
      <c r="AE27" s="45"/>
      <c r="AF27" s="45"/>
      <c r="AG27" s="47"/>
      <c r="AH27" s="41"/>
      <c r="AI27" s="47"/>
      <c r="AJ27" s="47"/>
    </row>
    <row r="28" spans="1:36" x14ac:dyDescent="0.25">
      <c r="A28" s="40"/>
      <c r="B28" s="41"/>
      <c r="C28" s="42"/>
      <c r="D28" s="43"/>
      <c r="E28" s="44"/>
      <c r="F28" s="41"/>
      <c r="G28" s="45"/>
      <c r="H28" s="45"/>
      <c r="I28" s="46"/>
      <c r="J28" s="46"/>
      <c r="K28" s="47"/>
      <c r="L28" s="47"/>
      <c r="M28" s="47"/>
      <c r="N28" s="41"/>
      <c r="O28" s="47"/>
      <c r="P28" s="47"/>
      <c r="Q28" s="47"/>
      <c r="R28" s="41"/>
      <c r="S28" s="41"/>
      <c r="T28" s="41"/>
      <c r="U28" s="48" t="str">
        <f>IF(AND(EXPEDIDAS_INGRESOS!S28="",EXPEDIDAS_INGRESOS!T28=""),"",IF(EXPEDIDAS_INGRESOS!S28="S1",SUM(V28,X28,Z28),V28))</f>
        <v/>
      </c>
      <c r="V28" s="49"/>
      <c r="W28" s="50"/>
      <c r="X28" s="48"/>
      <c r="Y28" s="50"/>
      <c r="Z28" s="48" t="str">
        <f t="shared" si="0"/>
        <v/>
      </c>
      <c r="AA28" s="46"/>
      <c r="AB28" s="49"/>
      <c r="AC28" s="41"/>
      <c r="AD28" s="47"/>
      <c r="AE28" s="45"/>
      <c r="AF28" s="45"/>
      <c r="AG28" s="47"/>
      <c r="AH28" s="41"/>
      <c r="AI28" s="47"/>
      <c r="AJ28" s="47"/>
    </row>
    <row r="29" spans="1:36" x14ac:dyDescent="0.25">
      <c r="A29" s="40"/>
      <c r="B29" s="41"/>
      <c r="C29" s="42"/>
      <c r="D29" s="43"/>
      <c r="E29" s="44"/>
      <c r="F29" s="41"/>
      <c r="G29" s="45"/>
      <c r="H29" s="45"/>
      <c r="I29" s="46"/>
      <c r="J29" s="46"/>
      <c r="K29" s="47"/>
      <c r="L29" s="47"/>
      <c r="M29" s="47"/>
      <c r="N29" s="41"/>
      <c r="O29" s="47"/>
      <c r="P29" s="47"/>
      <c r="Q29" s="47"/>
      <c r="R29" s="41"/>
      <c r="S29" s="41"/>
      <c r="T29" s="41"/>
      <c r="U29" s="48" t="str">
        <f>IF(AND(EXPEDIDAS_INGRESOS!S29="",EXPEDIDAS_INGRESOS!T29=""),"",IF(EXPEDIDAS_INGRESOS!S29="S1",SUM(V29,X29,Z29),V29))</f>
        <v/>
      </c>
      <c r="V29" s="49"/>
      <c r="W29" s="50"/>
      <c r="X29" s="48"/>
      <c r="Y29" s="50"/>
      <c r="Z29" s="48" t="str">
        <f t="shared" si="0"/>
        <v/>
      </c>
      <c r="AA29" s="46"/>
      <c r="AB29" s="49"/>
      <c r="AC29" s="41"/>
      <c r="AD29" s="47"/>
      <c r="AE29" s="45"/>
      <c r="AF29" s="45"/>
      <c r="AG29" s="47"/>
      <c r="AH29" s="41"/>
      <c r="AI29" s="47"/>
      <c r="AJ29" s="47"/>
    </row>
    <row r="30" spans="1:36" x14ac:dyDescent="0.25">
      <c r="A30" s="40"/>
      <c r="B30" s="41"/>
      <c r="C30" s="42"/>
      <c r="D30" s="43"/>
      <c r="E30" s="44"/>
      <c r="F30" s="41"/>
      <c r="G30" s="45"/>
      <c r="H30" s="45"/>
      <c r="I30" s="46"/>
      <c r="J30" s="46"/>
      <c r="K30" s="47"/>
      <c r="L30" s="47"/>
      <c r="M30" s="47"/>
      <c r="N30" s="41"/>
      <c r="O30" s="47"/>
      <c r="P30" s="47"/>
      <c r="Q30" s="47"/>
      <c r="R30" s="41"/>
      <c r="S30" s="41"/>
      <c r="T30" s="41"/>
      <c r="U30" s="48" t="str">
        <f>IF(AND(EXPEDIDAS_INGRESOS!S30="",EXPEDIDAS_INGRESOS!T30=""),"",IF(EXPEDIDAS_INGRESOS!S30="S1",SUM(V30,X30,Z30),V30))</f>
        <v/>
      </c>
      <c r="V30" s="49"/>
      <c r="W30" s="50"/>
      <c r="X30" s="48"/>
      <c r="Y30" s="50"/>
      <c r="Z30" s="48" t="str">
        <f t="shared" si="0"/>
        <v/>
      </c>
      <c r="AA30" s="46"/>
      <c r="AB30" s="49"/>
      <c r="AC30" s="41"/>
      <c r="AD30" s="47"/>
      <c r="AE30" s="45"/>
      <c r="AF30" s="45"/>
      <c r="AG30" s="47"/>
      <c r="AH30" s="41"/>
      <c r="AI30" s="47"/>
      <c r="AJ30" s="47"/>
    </row>
    <row r="31" spans="1:36" x14ac:dyDescent="0.25">
      <c r="A31" s="40"/>
      <c r="B31" s="41"/>
      <c r="C31" s="42"/>
      <c r="D31" s="43"/>
      <c r="E31" s="44"/>
      <c r="F31" s="41"/>
      <c r="G31" s="45"/>
      <c r="H31" s="45"/>
      <c r="I31" s="46"/>
      <c r="J31" s="46"/>
      <c r="K31" s="47"/>
      <c r="L31" s="47"/>
      <c r="M31" s="47"/>
      <c r="N31" s="41"/>
      <c r="O31" s="47"/>
      <c r="P31" s="47"/>
      <c r="Q31" s="47"/>
      <c r="R31" s="41"/>
      <c r="S31" s="41"/>
      <c r="T31" s="41"/>
      <c r="U31" s="48" t="str">
        <f>IF(AND(EXPEDIDAS_INGRESOS!S31="",EXPEDIDAS_INGRESOS!T31=""),"",IF(EXPEDIDAS_INGRESOS!S31="S1",SUM(V31,X31,Z31),V31))</f>
        <v/>
      </c>
      <c r="V31" s="49"/>
      <c r="W31" s="50"/>
      <c r="X31" s="48"/>
      <c r="Y31" s="50"/>
      <c r="Z31" s="48" t="str">
        <f t="shared" si="0"/>
        <v/>
      </c>
      <c r="AA31" s="46"/>
      <c r="AB31" s="49"/>
      <c r="AC31" s="41"/>
      <c r="AD31" s="47"/>
      <c r="AE31" s="45"/>
      <c r="AF31" s="45"/>
      <c r="AG31" s="47"/>
      <c r="AH31" s="41"/>
      <c r="AI31" s="47"/>
      <c r="AJ31" s="47"/>
    </row>
    <row r="32" spans="1:36" x14ac:dyDescent="0.25">
      <c r="A32" s="40"/>
      <c r="B32" s="41"/>
      <c r="C32" s="42"/>
      <c r="D32" s="43"/>
      <c r="E32" s="44"/>
      <c r="F32" s="41"/>
      <c r="G32" s="45"/>
      <c r="H32" s="45"/>
      <c r="I32" s="46"/>
      <c r="J32" s="46"/>
      <c r="K32" s="47"/>
      <c r="L32" s="47"/>
      <c r="M32" s="47"/>
      <c r="N32" s="41"/>
      <c r="O32" s="47"/>
      <c r="P32" s="47"/>
      <c r="Q32" s="47"/>
      <c r="R32" s="41"/>
      <c r="S32" s="41"/>
      <c r="T32" s="41"/>
      <c r="U32" s="48" t="str">
        <f>IF(AND(EXPEDIDAS_INGRESOS!S32="",EXPEDIDAS_INGRESOS!T32=""),"",IF(EXPEDIDAS_INGRESOS!S32="S1",SUM(V32,X32,Z32),V32))</f>
        <v/>
      </c>
      <c r="V32" s="49"/>
      <c r="W32" s="50"/>
      <c r="X32" s="48"/>
      <c r="Y32" s="50"/>
      <c r="Z32" s="48" t="str">
        <f t="shared" si="0"/>
        <v/>
      </c>
      <c r="AA32" s="46"/>
      <c r="AB32" s="49"/>
      <c r="AC32" s="41"/>
      <c r="AD32" s="47"/>
      <c r="AE32" s="45"/>
      <c r="AF32" s="45"/>
      <c r="AG32" s="47"/>
      <c r="AH32" s="41"/>
      <c r="AI32" s="47"/>
      <c r="AJ32" s="47"/>
    </row>
    <row r="33" spans="1:36" x14ac:dyDescent="0.25">
      <c r="A33" s="40"/>
      <c r="B33" s="41"/>
      <c r="C33" s="42"/>
      <c r="D33" s="43"/>
      <c r="E33" s="44"/>
      <c r="F33" s="41"/>
      <c r="G33" s="45"/>
      <c r="H33" s="45"/>
      <c r="I33" s="46"/>
      <c r="J33" s="46"/>
      <c r="K33" s="47"/>
      <c r="L33" s="47"/>
      <c r="M33" s="47"/>
      <c r="N33" s="41"/>
      <c r="O33" s="47"/>
      <c r="P33" s="47"/>
      <c r="Q33" s="47"/>
      <c r="R33" s="41"/>
      <c r="S33" s="41"/>
      <c r="T33" s="41"/>
      <c r="U33" s="48" t="str">
        <f>IF(AND(EXPEDIDAS_INGRESOS!S33="",EXPEDIDAS_INGRESOS!T33=""),"",IF(EXPEDIDAS_INGRESOS!S33="S1",SUM(V33,X33,Z33),V33))</f>
        <v/>
      </c>
      <c r="V33" s="49"/>
      <c r="W33" s="50"/>
      <c r="X33" s="48"/>
      <c r="Y33" s="50"/>
      <c r="Z33" s="48" t="str">
        <f t="shared" si="0"/>
        <v/>
      </c>
      <c r="AA33" s="46"/>
      <c r="AB33" s="49"/>
      <c r="AC33" s="41"/>
      <c r="AD33" s="47"/>
      <c r="AE33" s="45"/>
      <c r="AF33" s="45"/>
      <c r="AG33" s="47"/>
      <c r="AH33" s="41"/>
      <c r="AI33" s="47"/>
      <c r="AJ33" s="47"/>
    </row>
    <row r="34" spans="1:36" x14ac:dyDescent="0.25">
      <c r="A34" s="40"/>
      <c r="B34" s="41"/>
      <c r="C34" s="42"/>
      <c r="D34" s="43"/>
      <c r="E34" s="44"/>
      <c r="F34" s="41"/>
      <c r="G34" s="45"/>
      <c r="H34" s="45"/>
      <c r="I34" s="46"/>
      <c r="J34" s="46"/>
      <c r="K34" s="47"/>
      <c r="L34" s="47"/>
      <c r="M34" s="47"/>
      <c r="N34" s="41"/>
      <c r="O34" s="47"/>
      <c r="P34" s="47"/>
      <c r="Q34" s="47"/>
      <c r="R34" s="41"/>
      <c r="S34" s="41"/>
      <c r="T34" s="41"/>
      <c r="U34" s="48" t="str">
        <f>IF(AND(EXPEDIDAS_INGRESOS!S34="",EXPEDIDAS_INGRESOS!T34=""),"",IF(EXPEDIDAS_INGRESOS!S34="S1",SUM(V34,X34,Z34),V34))</f>
        <v/>
      </c>
      <c r="V34" s="49"/>
      <c r="W34" s="50"/>
      <c r="X34" s="48"/>
      <c r="Y34" s="50"/>
      <c r="Z34" s="48" t="str">
        <f t="shared" si="0"/>
        <v/>
      </c>
      <c r="AA34" s="46"/>
      <c r="AB34" s="49"/>
      <c r="AC34" s="41"/>
      <c r="AD34" s="47"/>
      <c r="AE34" s="45"/>
      <c r="AF34" s="45"/>
      <c r="AG34" s="47"/>
      <c r="AH34" s="41"/>
      <c r="AI34" s="47"/>
      <c r="AJ34" s="47"/>
    </row>
    <row r="35" spans="1:36" x14ac:dyDescent="0.25">
      <c r="A35" s="40"/>
      <c r="B35" s="41"/>
      <c r="C35" s="42"/>
      <c r="D35" s="43"/>
      <c r="E35" s="44"/>
      <c r="F35" s="41"/>
      <c r="G35" s="45"/>
      <c r="H35" s="45"/>
      <c r="I35" s="46"/>
      <c r="J35" s="46"/>
      <c r="K35" s="47"/>
      <c r="L35" s="47"/>
      <c r="M35" s="47"/>
      <c r="N35" s="41"/>
      <c r="O35" s="47"/>
      <c r="P35" s="47"/>
      <c r="Q35" s="47"/>
      <c r="R35" s="41"/>
      <c r="S35" s="41"/>
      <c r="T35" s="41"/>
      <c r="U35" s="48" t="str">
        <f>IF(AND(EXPEDIDAS_INGRESOS!S35="",EXPEDIDAS_INGRESOS!T35=""),"",IF(EXPEDIDAS_INGRESOS!S35="S1",SUM(V35,X35,Z35),V35))</f>
        <v/>
      </c>
      <c r="V35" s="49"/>
      <c r="W35" s="50"/>
      <c r="X35" s="48"/>
      <c r="Y35" s="50"/>
      <c r="Z35" s="48" t="str">
        <f t="shared" si="0"/>
        <v/>
      </c>
      <c r="AA35" s="46"/>
      <c r="AB35" s="49"/>
      <c r="AC35" s="41"/>
      <c r="AD35" s="47"/>
      <c r="AE35" s="45"/>
      <c r="AF35" s="45"/>
      <c r="AG35" s="47"/>
      <c r="AH35" s="41"/>
      <c r="AI35" s="47"/>
      <c r="AJ35" s="47"/>
    </row>
    <row r="36" spans="1:36" x14ac:dyDescent="0.25">
      <c r="A36" s="40"/>
      <c r="B36" s="41"/>
      <c r="C36" s="42"/>
      <c r="D36" s="43"/>
      <c r="E36" s="44"/>
      <c r="F36" s="41"/>
      <c r="G36" s="45"/>
      <c r="H36" s="45"/>
      <c r="I36" s="46"/>
      <c r="J36" s="46"/>
      <c r="K36" s="47"/>
      <c r="L36" s="47"/>
      <c r="M36" s="47"/>
      <c r="N36" s="41"/>
      <c r="O36" s="47"/>
      <c r="P36" s="47"/>
      <c r="Q36" s="47"/>
      <c r="R36" s="41"/>
      <c r="S36" s="41"/>
      <c r="T36" s="41"/>
      <c r="U36" s="48" t="str">
        <f>IF(AND(EXPEDIDAS_INGRESOS!S36="",EXPEDIDAS_INGRESOS!T36=""),"",IF(EXPEDIDAS_INGRESOS!S36="S1",SUM(V36,X36,Z36),V36))</f>
        <v/>
      </c>
      <c r="V36" s="49"/>
      <c r="W36" s="50"/>
      <c r="X36" s="48"/>
      <c r="Y36" s="50"/>
      <c r="Z36" s="48" t="str">
        <f t="shared" ref="Z36:Z99" si="1">IF(OR(V36="",Y36=""),"",V36*Y36/100)</f>
        <v/>
      </c>
      <c r="AA36" s="46"/>
      <c r="AB36" s="49"/>
      <c r="AC36" s="41"/>
      <c r="AD36" s="47"/>
      <c r="AE36" s="45"/>
      <c r="AF36" s="45"/>
      <c r="AG36" s="47"/>
      <c r="AH36" s="41"/>
      <c r="AI36" s="47"/>
      <c r="AJ36" s="47"/>
    </row>
    <row r="37" spans="1:36" x14ac:dyDescent="0.25">
      <c r="A37" s="40"/>
      <c r="B37" s="41"/>
      <c r="C37" s="42"/>
      <c r="D37" s="43"/>
      <c r="E37" s="44"/>
      <c r="F37" s="41"/>
      <c r="G37" s="45"/>
      <c r="H37" s="45"/>
      <c r="I37" s="46"/>
      <c r="J37" s="46"/>
      <c r="K37" s="47"/>
      <c r="L37" s="47"/>
      <c r="M37" s="47"/>
      <c r="N37" s="41"/>
      <c r="O37" s="47"/>
      <c r="P37" s="47"/>
      <c r="Q37" s="47"/>
      <c r="R37" s="41"/>
      <c r="S37" s="41"/>
      <c r="T37" s="41"/>
      <c r="U37" s="48" t="str">
        <f>IF(AND(EXPEDIDAS_INGRESOS!S37="",EXPEDIDAS_INGRESOS!T37=""),"",IF(EXPEDIDAS_INGRESOS!S37="S1",SUM(V37,X37,Z37),V37))</f>
        <v/>
      </c>
      <c r="V37" s="49"/>
      <c r="W37" s="50"/>
      <c r="X37" s="48"/>
      <c r="Y37" s="50"/>
      <c r="Z37" s="48" t="str">
        <f t="shared" si="1"/>
        <v/>
      </c>
      <c r="AA37" s="46"/>
      <c r="AB37" s="49"/>
      <c r="AC37" s="41"/>
      <c r="AD37" s="47"/>
      <c r="AE37" s="45"/>
      <c r="AF37" s="45"/>
      <c r="AG37" s="47"/>
      <c r="AH37" s="41"/>
      <c r="AI37" s="47"/>
      <c r="AJ37" s="47"/>
    </row>
    <row r="38" spans="1:36" x14ac:dyDescent="0.25">
      <c r="A38" s="40"/>
      <c r="B38" s="41"/>
      <c r="C38" s="42"/>
      <c r="D38" s="43"/>
      <c r="E38" s="44"/>
      <c r="F38" s="41"/>
      <c r="G38" s="45"/>
      <c r="H38" s="45"/>
      <c r="I38" s="46"/>
      <c r="J38" s="46"/>
      <c r="K38" s="47"/>
      <c r="L38" s="47"/>
      <c r="M38" s="47"/>
      <c r="N38" s="41"/>
      <c r="O38" s="47"/>
      <c r="P38" s="47"/>
      <c r="Q38" s="47"/>
      <c r="R38" s="41"/>
      <c r="S38" s="41"/>
      <c r="T38" s="41"/>
      <c r="U38" s="48" t="str">
        <f>IF(AND(EXPEDIDAS_INGRESOS!S38="",EXPEDIDAS_INGRESOS!T38=""),"",IF(EXPEDIDAS_INGRESOS!S38="S1",SUM(V38,X38,Z38),V38))</f>
        <v/>
      </c>
      <c r="V38" s="49"/>
      <c r="W38" s="50"/>
      <c r="X38" s="48"/>
      <c r="Y38" s="50"/>
      <c r="Z38" s="48" t="str">
        <f t="shared" si="1"/>
        <v/>
      </c>
      <c r="AA38" s="46"/>
      <c r="AB38" s="49"/>
      <c r="AC38" s="41"/>
      <c r="AD38" s="47"/>
      <c r="AE38" s="45"/>
      <c r="AF38" s="45"/>
      <c r="AG38" s="47"/>
      <c r="AH38" s="41"/>
      <c r="AI38" s="47"/>
      <c r="AJ38" s="47"/>
    </row>
    <row r="39" spans="1:36" x14ac:dyDescent="0.25">
      <c r="A39" s="40"/>
      <c r="B39" s="41"/>
      <c r="C39" s="42"/>
      <c r="D39" s="43"/>
      <c r="E39" s="44"/>
      <c r="F39" s="41"/>
      <c r="G39" s="45"/>
      <c r="H39" s="45"/>
      <c r="I39" s="46"/>
      <c r="J39" s="46"/>
      <c r="K39" s="47"/>
      <c r="L39" s="47"/>
      <c r="M39" s="47"/>
      <c r="N39" s="41"/>
      <c r="O39" s="47"/>
      <c r="P39" s="47"/>
      <c r="Q39" s="47"/>
      <c r="R39" s="41"/>
      <c r="S39" s="41"/>
      <c r="T39" s="41"/>
      <c r="U39" s="48" t="str">
        <f>IF(AND(EXPEDIDAS_INGRESOS!S39="",EXPEDIDAS_INGRESOS!T39=""),"",IF(EXPEDIDAS_INGRESOS!S39="S1",SUM(V39,X39,Z39),V39))</f>
        <v/>
      </c>
      <c r="V39" s="49"/>
      <c r="W39" s="50"/>
      <c r="X39" s="48"/>
      <c r="Y39" s="50"/>
      <c r="Z39" s="48" t="str">
        <f t="shared" si="1"/>
        <v/>
      </c>
      <c r="AA39" s="46"/>
      <c r="AB39" s="49"/>
      <c r="AC39" s="41"/>
      <c r="AD39" s="47"/>
      <c r="AE39" s="45"/>
      <c r="AF39" s="45"/>
      <c r="AG39" s="47"/>
      <c r="AH39" s="41"/>
      <c r="AI39" s="47"/>
      <c r="AJ39" s="47"/>
    </row>
    <row r="40" spans="1:36" x14ac:dyDescent="0.25">
      <c r="A40" s="40"/>
      <c r="B40" s="41"/>
      <c r="C40" s="42"/>
      <c r="D40" s="43"/>
      <c r="E40" s="44"/>
      <c r="F40" s="41"/>
      <c r="G40" s="45"/>
      <c r="H40" s="45"/>
      <c r="I40" s="46"/>
      <c r="J40" s="46"/>
      <c r="K40" s="47"/>
      <c r="L40" s="47"/>
      <c r="M40" s="47"/>
      <c r="N40" s="41"/>
      <c r="O40" s="47"/>
      <c r="P40" s="47"/>
      <c r="Q40" s="47"/>
      <c r="R40" s="41"/>
      <c r="S40" s="41"/>
      <c r="T40" s="41"/>
      <c r="U40" s="48" t="str">
        <f>IF(AND(EXPEDIDAS_INGRESOS!S40="",EXPEDIDAS_INGRESOS!T40=""),"",IF(EXPEDIDAS_INGRESOS!S40="S1",SUM(V40,X40,Z40),V40))</f>
        <v/>
      </c>
      <c r="V40" s="49"/>
      <c r="W40" s="50"/>
      <c r="X40" s="48"/>
      <c r="Y40" s="50"/>
      <c r="Z40" s="48" t="str">
        <f t="shared" si="1"/>
        <v/>
      </c>
      <c r="AA40" s="46"/>
      <c r="AB40" s="49"/>
      <c r="AC40" s="41"/>
      <c r="AD40" s="47"/>
      <c r="AE40" s="45"/>
      <c r="AF40" s="45"/>
      <c r="AG40" s="47"/>
      <c r="AH40" s="41"/>
      <c r="AI40" s="47"/>
      <c r="AJ40" s="47"/>
    </row>
    <row r="41" spans="1:36" x14ac:dyDescent="0.25">
      <c r="A41" s="40"/>
      <c r="B41" s="41"/>
      <c r="C41" s="42"/>
      <c r="D41" s="43"/>
      <c r="E41" s="44"/>
      <c r="F41" s="41"/>
      <c r="G41" s="45"/>
      <c r="H41" s="45"/>
      <c r="I41" s="46"/>
      <c r="J41" s="46"/>
      <c r="K41" s="47"/>
      <c r="L41" s="47"/>
      <c r="M41" s="47"/>
      <c r="N41" s="41"/>
      <c r="O41" s="47"/>
      <c r="P41" s="47"/>
      <c r="Q41" s="47"/>
      <c r="R41" s="41"/>
      <c r="S41" s="41"/>
      <c r="T41" s="41"/>
      <c r="U41" s="48" t="str">
        <f>IF(AND(EXPEDIDAS_INGRESOS!S41="",EXPEDIDAS_INGRESOS!T41=""),"",IF(EXPEDIDAS_INGRESOS!S41="S1",SUM(V41,X41,Z41),V41))</f>
        <v/>
      </c>
      <c r="V41" s="49"/>
      <c r="W41" s="50"/>
      <c r="X41" s="48"/>
      <c r="Y41" s="50"/>
      <c r="Z41" s="48" t="str">
        <f t="shared" si="1"/>
        <v/>
      </c>
      <c r="AA41" s="46"/>
      <c r="AB41" s="49"/>
      <c r="AC41" s="41"/>
      <c r="AD41" s="47"/>
      <c r="AE41" s="45"/>
      <c r="AF41" s="45"/>
      <c r="AG41" s="47"/>
      <c r="AH41" s="41"/>
      <c r="AI41" s="47"/>
      <c r="AJ41" s="47"/>
    </row>
    <row r="42" spans="1:36" x14ac:dyDescent="0.25">
      <c r="A42" s="40"/>
      <c r="B42" s="41"/>
      <c r="C42" s="42"/>
      <c r="D42" s="43"/>
      <c r="E42" s="44"/>
      <c r="F42" s="41"/>
      <c r="G42" s="45"/>
      <c r="H42" s="45"/>
      <c r="I42" s="46"/>
      <c r="J42" s="46"/>
      <c r="K42" s="47"/>
      <c r="L42" s="47"/>
      <c r="M42" s="47"/>
      <c r="N42" s="41"/>
      <c r="O42" s="47"/>
      <c r="P42" s="47"/>
      <c r="Q42" s="47"/>
      <c r="R42" s="41"/>
      <c r="S42" s="41"/>
      <c r="T42" s="41"/>
      <c r="U42" s="48" t="str">
        <f>IF(AND(EXPEDIDAS_INGRESOS!S42="",EXPEDIDAS_INGRESOS!T42=""),"",IF(EXPEDIDAS_INGRESOS!S42="S1",SUM(V42,X42,Z42),V42))</f>
        <v/>
      </c>
      <c r="V42" s="49"/>
      <c r="W42" s="50"/>
      <c r="X42" s="48"/>
      <c r="Y42" s="50"/>
      <c r="Z42" s="48" t="str">
        <f t="shared" si="1"/>
        <v/>
      </c>
      <c r="AA42" s="46"/>
      <c r="AB42" s="49"/>
      <c r="AC42" s="41"/>
      <c r="AD42" s="47"/>
      <c r="AE42" s="45"/>
      <c r="AF42" s="45"/>
      <c r="AG42" s="47"/>
      <c r="AH42" s="41"/>
      <c r="AI42" s="47"/>
      <c r="AJ42" s="47"/>
    </row>
    <row r="43" spans="1:36" x14ac:dyDescent="0.25">
      <c r="A43" s="40"/>
      <c r="B43" s="41"/>
      <c r="C43" s="42"/>
      <c r="D43" s="43"/>
      <c r="E43" s="44"/>
      <c r="F43" s="41"/>
      <c r="G43" s="45"/>
      <c r="H43" s="45"/>
      <c r="I43" s="46"/>
      <c r="J43" s="46"/>
      <c r="K43" s="47"/>
      <c r="L43" s="47"/>
      <c r="M43" s="47"/>
      <c r="N43" s="41"/>
      <c r="O43" s="47"/>
      <c r="P43" s="47"/>
      <c r="Q43" s="47"/>
      <c r="R43" s="41"/>
      <c r="S43" s="41"/>
      <c r="T43" s="41"/>
      <c r="U43" s="48" t="str">
        <f>IF(AND(EXPEDIDAS_INGRESOS!S43="",EXPEDIDAS_INGRESOS!T43=""),"",IF(EXPEDIDAS_INGRESOS!S43="S1",SUM(V43,X43,Z43),V43))</f>
        <v/>
      </c>
      <c r="V43" s="49"/>
      <c r="W43" s="50"/>
      <c r="X43" s="48"/>
      <c r="Y43" s="50"/>
      <c r="Z43" s="48" t="str">
        <f t="shared" si="1"/>
        <v/>
      </c>
      <c r="AA43" s="46"/>
      <c r="AB43" s="49"/>
      <c r="AC43" s="41"/>
      <c r="AD43" s="47"/>
      <c r="AE43" s="45"/>
      <c r="AF43" s="45"/>
      <c r="AG43" s="47"/>
      <c r="AH43" s="41"/>
      <c r="AI43" s="47"/>
      <c r="AJ43" s="47"/>
    </row>
    <row r="44" spans="1:36" x14ac:dyDescent="0.25">
      <c r="A44" s="40"/>
      <c r="B44" s="41"/>
      <c r="C44" s="42"/>
      <c r="D44" s="43"/>
      <c r="E44" s="44"/>
      <c r="F44" s="41"/>
      <c r="G44" s="45"/>
      <c r="H44" s="45"/>
      <c r="I44" s="46"/>
      <c r="J44" s="46"/>
      <c r="K44" s="47"/>
      <c r="L44" s="47"/>
      <c r="M44" s="47"/>
      <c r="N44" s="41"/>
      <c r="O44" s="47"/>
      <c r="P44" s="47"/>
      <c r="Q44" s="47"/>
      <c r="R44" s="41"/>
      <c r="S44" s="41"/>
      <c r="T44" s="41"/>
      <c r="U44" s="48" t="str">
        <f>IF(AND(EXPEDIDAS_INGRESOS!S44="",EXPEDIDAS_INGRESOS!T44=""),"",IF(EXPEDIDAS_INGRESOS!S44="S1",SUM(V44,X44,Z44),V44))</f>
        <v/>
      </c>
      <c r="V44" s="49"/>
      <c r="W44" s="50"/>
      <c r="X44" s="48"/>
      <c r="Y44" s="50"/>
      <c r="Z44" s="48" t="str">
        <f t="shared" si="1"/>
        <v/>
      </c>
      <c r="AA44" s="46"/>
      <c r="AB44" s="49"/>
      <c r="AC44" s="41"/>
      <c r="AD44" s="47"/>
      <c r="AE44" s="45"/>
      <c r="AF44" s="45"/>
      <c r="AG44" s="47"/>
      <c r="AH44" s="41"/>
      <c r="AI44" s="47"/>
      <c r="AJ44" s="47"/>
    </row>
    <row r="45" spans="1:36" x14ac:dyDescent="0.25">
      <c r="A45" s="40"/>
      <c r="B45" s="41"/>
      <c r="C45" s="42"/>
      <c r="D45" s="43"/>
      <c r="E45" s="44"/>
      <c r="F45" s="41"/>
      <c r="G45" s="45"/>
      <c r="H45" s="45"/>
      <c r="I45" s="46"/>
      <c r="J45" s="46"/>
      <c r="K45" s="47"/>
      <c r="L45" s="47"/>
      <c r="M45" s="47"/>
      <c r="N45" s="41"/>
      <c r="O45" s="47"/>
      <c r="P45" s="47"/>
      <c r="Q45" s="47"/>
      <c r="R45" s="41"/>
      <c r="S45" s="41"/>
      <c r="T45" s="41"/>
      <c r="U45" s="48" t="str">
        <f>IF(AND(EXPEDIDAS_INGRESOS!S45="",EXPEDIDAS_INGRESOS!T45=""),"",IF(EXPEDIDAS_INGRESOS!S45="S1",SUM(V45,X45,Z45),V45))</f>
        <v/>
      </c>
      <c r="V45" s="49"/>
      <c r="W45" s="50"/>
      <c r="X45" s="48"/>
      <c r="Y45" s="50"/>
      <c r="Z45" s="48" t="str">
        <f t="shared" si="1"/>
        <v/>
      </c>
      <c r="AA45" s="46"/>
      <c r="AB45" s="49"/>
      <c r="AC45" s="41"/>
      <c r="AD45" s="47"/>
      <c r="AE45" s="45"/>
      <c r="AF45" s="45"/>
      <c r="AG45" s="47"/>
      <c r="AH45" s="41"/>
      <c r="AI45" s="47"/>
      <c r="AJ45" s="47"/>
    </row>
    <row r="46" spans="1:36" x14ac:dyDescent="0.25">
      <c r="A46" s="40"/>
      <c r="B46" s="41"/>
      <c r="C46" s="42"/>
      <c r="D46" s="43"/>
      <c r="E46" s="44"/>
      <c r="F46" s="41"/>
      <c r="G46" s="45"/>
      <c r="H46" s="45"/>
      <c r="I46" s="46"/>
      <c r="J46" s="46"/>
      <c r="K46" s="47"/>
      <c r="L46" s="47"/>
      <c r="M46" s="47"/>
      <c r="N46" s="41"/>
      <c r="O46" s="47"/>
      <c r="P46" s="47"/>
      <c r="Q46" s="47"/>
      <c r="R46" s="41"/>
      <c r="S46" s="41"/>
      <c r="T46" s="41"/>
      <c r="U46" s="48" t="str">
        <f>IF(AND(EXPEDIDAS_INGRESOS!S46="",EXPEDIDAS_INGRESOS!T46=""),"",IF(EXPEDIDAS_INGRESOS!S46="S1",SUM(V46,X46,Z46),V46))</f>
        <v/>
      </c>
      <c r="V46" s="49"/>
      <c r="W46" s="50"/>
      <c r="X46" s="48"/>
      <c r="Y46" s="50"/>
      <c r="Z46" s="48" t="str">
        <f t="shared" si="1"/>
        <v/>
      </c>
      <c r="AA46" s="46"/>
      <c r="AB46" s="49"/>
      <c r="AC46" s="41"/>
      <c r="AD46" s="47"/>
      <c r="AE46" s="45"/>
      <c r="AF46" s="45"/>
      <c r="AG46" s="47"/>
      <c r="AH46" s="41"/>
      <c r="AI46" s="47"/>
      <c r="AJ46" s="47"/>
    </row>
    <row r="47" spans="1:36" x14ac:dyDescent="0.25">
      <c r="A47" s="40"/>
      <c r="B47" s="41"/>
      <c r="C47" s="42"/>
      <c r="D47" s="43"/>
      <c r="E47" s="44"/>
      <c r="F47" s="41"/>
      <c r="G47" s="45"/>
      <c r="H47" s="45"/>
      <c r="I47" s="46"/>
      <c r="J47" s="46"/>
      <c r="K47" s="47"/>
      <c r="L47" s="47"/>
      <c r="M47" s="47"/>
      <c r="N47" s="41"/>
      <c r="O47" s="47"/>
      <c r="P47" s="47"/>
      <c r="Q47" s="47"/>
      <c r="R47" s="41"/>
      <c r="S47" s="41"/>
      <c r="T47" s="41"/>
      <c r="U47" s="48" t="str">
        <f>IF(AND(EXPEDIDAS_INGRESOS!S47="",EXPEDIDAS_INGRESOS!T47=""),"",IF(EXPEDIDAS_INGRESOS!S47="S1",SUM(V47,X47,Z47),V47))</f>
        <v/>
      </c>
      <c r="V47" s="49"/>
      <c r="W47" s="50"/>
      <c r="X47" s="48"/>
      <c r="Y47" s="50"/>
      <c r="Z47" s="48" t="str">
        <f t="shared" si="1"/>
        <v/>
      </c>
      <c r="AA47" s="46"/>
      <c r="AB47" s="49"/>
      <c r="AC47" s="41"/>
      <c r="AD47" s="47"/>
      <c r="AE47" s="45"/>
      <c r="AF47" s="45"/>
      <c r="AG47" s="47"/>
      <c r="AH47" s="41"/>
      <c r="AI47" s="47"/>
      <c r="AJ47" s="47"/>
    </row>
    <row r="48" spans="1:36" x14ac:dyDescent="0.25">
      <c r="A48" s="40"/>
      <c r="B48" s="41"/>
      <c r="C48" s="42"/>
      <c r="D48" s="43"/>
      <c r="E48" s="44"/>
      <c r="F48" s="41"/>
      <c r="G48" s="45"/>
      <c r="H48" s="45"/>
      <c r="I48" s="46"/>
      <c r="J48" s="46"/>
      <c r="K48" s="47"/>
      <c r="L48" s="47"/>
      <c r="M48" s="47"/>
      <c r="N48" s="41"/>
      <c r="O48" s="47"/>
      <c r="P48" s="47"/>
      <c r="Q48" s="47"/>
      <c r="R48" s="41"/>
      <c r="S48" s="41"/>
      <c r="T48" s="41"/>
      <c r="U48" s="48" t="str">
        <f>IF(AND(EXPEDIDAS_INGRESOS!S48="",EXPEDIDAS_INGRESOS!T48=""),"",IF(EXPEDIDAS_INGRESOS!S48="S1",SUM(V48,X48,Z48),V48))</f>
        <v/>
      </c>
      <c r="V48" s="49"/>
      <c r="W48" s="50"/>
      <c r="X48" s="48"/>
      <c r="Y48" s="50"/>
      <c r="Z48" s="48" t="str">
        <f t="shared" si="1"/>
        <v/>
      </c>
      <c r="AA48" s="46"/>
      <c r="AB48" s="49"/>
      <c r="AC48" s="41"/>
      <c r="AD48" s="47"/>
      <c r="AE48" s="45"/>
      <c r="AF48" s="45"/>
      <c r="AG48" s="47"/>
      <c r="AH48" s="41"/>
      <c r="AI48" s="47"/>
      <c r="AJ48" s="47"/>
    </row>
    <row r="49" spans="1:36" x14ac:dyDescent="0.25">
      <c r="A49" s="40"/>
      <c r="B49" s="41"/>
      <c r="C49" s="42"/>
      <c r="D49" s="43"/>
      <c r="E49" s="44"/>
      <c r="F49" s="41"/>
      <c r="G49" s="45"/>
      <c r="H49" s="45"/>
      <c r="I49" s="46"/>
      <c r="J49" s="46"/>
      <c r="K49" s="47"/>
      <c r="L49" s="47"/>
      <c r="M49" s="47"/>
      <c r="N49" s="41"/>
      <c r="O49" s="47"/>
      <c r="P49" s="47"/>
      <c r="Q49" s="47"/>
      <c r="R49" s="41"/>
      <c r="S49" s="41"/>
      <c r="T49" s="41"/>
      <c r="U49" s="48" t="str">
        <f>IF(AND(EXPEDIDAS_INGRESOS!S49="",EXPEDIDAS_INGRESOS!T49=""),"",IF(EXPEDIDAS_INGRESOS!S49="S1",SUM(V49,X49,Z49),V49))</f>
        <v/>
      </c>
      <c r="V49" s="49"/>
      <c r="W49" s="50"/>
      <c r="X49" s="48"/>
      <c r="Y49" s="50"/>
      <c r="Z49" s="48" t="str">
        <f t="shared" si="1"/>
        <v/>
      </c>
      <c r="AA49" s="46"/>
      <c r="AB49" s="49"/>
      <c r="AC49" s="41"/>
      <c r="AD49" s="47"/>
      <c r="AE49" s="45"/>
      <c r="AF49" s="45"/>
      <c r="AG49" s="47"/>
      <c r="AH49" s="41"/>
      <c r="AI49" s="47"/>
      <c r="AJ49" s="47"/>
    </row>
    <row r="50" spans="1:36" x14ac:dyDescent="0.25">
      <c r="A50" s="40"/>
      <c r="B50" s="41"/>
      <c r="C50" s="42"/>
      <c r="D50" s="43"/>
      <c r="E50" s="44"/>
      <c r="F50" s="41"/>
      <c r="G50" s="45"/>
      <c r="H50" s="45"/>
      <c r="I50" s="46"/>
      <c r="J50" s="46"/>
      <c r="K50" s="47"/>
      <c r="L50" s="47"/>
      <c r="M50" s="47"/>
      <c r="N50" s="41"/>
      <c r="O50" s="47"/>
      <c r="P50" s="47"/>
      <c r="Q50" s="47"/>
      <c r="R50" s="41"/>
      <c r="S50" s="41"/>
      <c r="T50" s="41"/>
      <c r="U50" s="48" t="str">
        <f>IF(AND(EXPEDIDAS_INGRESOS!S50="",EXPEDIDAS_INGRESOS!T50=""),"",IF(EXPEDIDAS_INGRESOS!S50="S1",SUM(V50,X50,Z50),V50))</f>
        <v/>
      </c>
      <c r="V50" s="49"/>
      <c r="W50" s="50"/>
      <c r="X50" s="48"/>
      <c r="Y50" s="50"/>
      <c r="Z50" s="48" t="str">
        <f t="shared" si="1"/>
        <v/>
      </c>
      <c r="AA50" s="46"/>
      <c r="AB50" s="49"/>
      <c r="AC50" s="41"/>
      <c r="AD50" s="47"/>
      <c r="AE50" s="45"/>
      <c r="AF50" s="45"/>
      <c r="AG50" s="47"/>
      <c r="AH50" s="41"/>
      <c r="AI50" s="47"/>
      <c r="AJ50" s="47"/>
    </row>
    <row r="51" spans="1:36" x14ac:dyDescent="0.25">
      <c r="A51" s="40"/>
      <c r="B51" s="41"/>
      <c r="C51" s="42"/>
      <c r="D51" s="43"/>
      <c r="E51" s="44"/>
      <c r="F51" s="41"/>
      <c r="G51" s="45"/>
      <c r="H51" s="45"/>
      <c r="I51" s="46"/>
      <c r="J51" s="46"/>
      <c r="K51" s="47"/>
      <c r="L51" s="47"/>
      <c r="M51" s="47"/>
      <c r="N51" s="41"/>
      <c r="O51" s="47"/>
      <c r="P51" s="47"/>
      <c r="Q51" s="47"/>
      <c r="R51" s="41"/>
      <c r="S51" s="41"/>
      <c r="T51" s="41"/>
      <c r="U51" s="48" t="str">
        <f>IF(AND(EXPEDIDAS_INGRESOS!S51="",EXPEDIDAS_INGRESOS!T51=""),"",IF(EXPEDIDAS_INGRESOS!S51="S1",SUM(V51,X51,Z51),V51))</f>
        <v/>
      </c>
      <c r="V51" s="49"/>
      <c r="W51" s="50"/>
      <c r="X51" s="48"/>
      <c r="Y51" s="50"/>
      <c r="Z51" s="48" t="str">
        <f t="shared" si="1"/>
        <v/>
      </c>
      <c r="AA51" s="46"/>
      <c r="AB51" s="49"/>
      <c r="AC51" s="41"/>
      <c r="AD51" s="47"/>
      <c r="AE51" s="45"/>
      <c r="AF51" s="45"/>
      <c r="AG51" s="47"/>
      <c r="AH51" s="41"/>
      <c r="AI51" s="47"/>
      <c r="AJ51" s="47"/>
    </row>
    <row r="52" spans="1:36" x14ac:dyDescent="0.25">
      <c r="A52" s="40"/>
      <c r="B52" s="41"/>
      <c r="C52" s="42"/>
      <c r="D52" s="43"/>
      <c r="E52" s="44"/>
      <c r="F52" s="41"/>
      <c r="G52" s="45"/>
      <c r="H52" s="45"/>
      <c r="I52" s="46"/>
      <c r="J52" s="46"/>
      <c r="K52" s="47"/>
      <c r="L52" s="47"/>
      <c r="M52" s="47"/>
      <c r="N52" s="41"/>
      <c r="O52" s="47"/>
      <c r="P52" s="47"/>
      <c r="Q52" s="47"/>
      <c r="R52" s="41"/>
      <c r="S52" s="41"/>
      <c r="T52" s="41"/>
      <c r="U52" s="48" t="str">
        <f>IF(AND(EXPEDIDAS_INGRESOS!S52="",EXPEDIDAS_INGRESOS!T52=""),"",IF(EXPEDIDAS_INGRESOS!S52="S1",SUM(V52,X52,Z52),V52))</f>
        <v/>
      </c>
      <c r="V52" s="49"/>
      <c r="W52" s="50"/>
      <c r="X52" s="48"/>
      <c r="Y52" s="50"/>
      <c r="Z52" s="48" t="str">
        <f t="shared" si="1"/>
        <v/>
      </c>
      <c r="AA52" s="46"/>
      <c r="AB52" s="49"/>
      <c r="AC52" s="41"/>
      <c r="AD52" s="47"/>
      <c r="AE52" s="45"/>
      <c r="AF52" s="45"/>
      <c r="AG52" s="47"/>
      <c r="AH52" s="41"/>
      <c r="AI52" s="47"/>
      <c r="AJ52" s="47"/>
    </row>
    <row r="53" spans="1:36" x14ac:dyDescent="0.25">
      <c r="A53" s="40"/>
      <c r="B53" s="41"/>
      <c r="C53" s="42"/>
      <c r="D53" s="43"/>
      <c r="E53" s="44"/>
      <c r="F53" s="41"/>
      <c r="G53" s="45"/>
      <c r="H53" s="45"/>
      <c r="I53" s="46"/>
      <c r="J53" s="46"/>
      <c r="K53" s="47"/>
      <c r="L53" s="47"/>
      <c r="M53" s="47"/>
      <c r="N53" s="41"/>
      <c r="O53" s="47"/>
      <c r="P53" s="47"/>
      <c r="Q53" s="47"/>
      <c r="R53" s="41"/>
      <c r="S53" s="41"/>
      <c r="T53" s="41"/>
      <c r="U53" s="48" t="str">
        <f>IF(AND(EXPEDIDAS_INGRESOS!S53="",EXPEDIDAS_INGRESOS!T53=""),"",IF(EXPEDIDAS_INGRESOS!S53="S1",SUM(V53,X53,Z53),V53))</f>
        <v/>
      </c>
      <c r="V53" s="49"/>
      <c r="W53" s="50"/>
      <c r="X53" s="48"/>
      <c r="Y53" s="50"/>
      <c r="Z53" s="48" t="str">
        <f t="shared" si="1"/>
        <v/>
      </c>
      <c r="AA53" s="46"/>
      <c r="AB53" s="49"/>
      <c r="AC53" s="41"/>
      <c r="AD53" s="47"/>
      <c r="AE53" s="45"/>
      <c r="AF53" s="45"/>
      <c r="AG53" s="47"/>
      <c r="AH53" s="41"/>
      <c r="AI53" s="47"/>
      <c r="AJ53" s="47"/>
    </row>
    <row r="54" spans="1:36" x14ac:dyDescent="0.25">
      <c r="A54" s="40"/>
      <c r="B54" s="41"/>
      <c r="C54" s="42"/>
      <c r="D54" s="43"/>
      <c r="E54" s="44"/>
      <c r="F54" s="41"/>
      <c r="G54" s="45"/>
      <c r="H54" s="45"/>
      <c r="I54" s="46"/>
      <c r="J54" s="46"/>
      <c r="K54" s="47"/>
      <c r="L54" s="47"/>
      <c r="M54" s="47"/>
      <c r="N54" s="41"/>
      <c r="O54" s="47"/>
      <c r="P54" s="47"/>
      <c r="Q54" s="47"/>
      <c r="R54" s="41"/>
      <c r="S54" s="41"/>
      <c r="T54" s="41"/>
      <c r="U54" s="48" t="str">
        <f>IF(AND(EXPEDIDAS_INGRESOS!S54="",EXPEDIDAS_INGRESOS!T54=""),"",IF(EXPEDIDAS_INGRESOS!S54="S1",SUM(V54,X54,Z54),V54))</f>
        <v/>
      </c>
      <c r="V54" s="49"/>
      <c r="W54" s="50"/>
      <c r="X54" s="48"/>
      <c r="Y54" s="50"/>
      <c r="Z54" s="48" t="str">
        <f t="shared" si="1"/>
        <v/>
      </c>
      <c r="AA54" s="46"/>
      <c r="AB54" s="49"/>
      <c r="AC54" s="41"/>
      <c r="AD54" s="47"/>
      <c r="AE54" s="45"/>
      <c r="AF54" s="45"/>
      <c r="AG54" s="47"/>
      <c r="AH54" s="41"/>
      <c r="AI54" s="47"/>
      <c r="AJ54" s="47"/>
    </row>
    <row r="55" spans="1:36" x14ac:dyDescent="0.25">
      <c r="A55" s="40"/>
      <c r="B55" s="41"/>
      <c r="C55" s="42"/>
      <c r="D55" s="43"/>
      <c r="E55" s="44"/>
      <c r="F55" s="41"/>
      <c r="G55" s="45"/>
      <c r="H55" s="45"/>
      <c r="I55" s="46"/>
      <c r="J55" s="46"/>
      <c r="K55" s="47"/>
      <c r="L55" s="47"/>
      <c r="M55" s="47"/>
      <c r="N55" s="41"/>
      <c r="O55" s="47"/>
      <c r="P55" s="47"/>
      <c r="Q55" s="47"/>
      <c r="R55" s="41"/>
      <c r="S55" s="41"/>
      <c r="T55" s="41"/>
      <c r="U55" s="48" t="str">
        <f>IF(AND(EXPEDIDAS_INGRESOS!S55="",EXPEDIDAS_INGRESOS!T55=""),"",IF(EXPEDIDAS_INGRESOS!S55="S1",SUM(V55,X55,Z55),V55))</f>
        <v/>
      </c>
      <c r="V55" s="49"/>
      <c r="W55" s="50"/>
      <c r="X55" s="48"/>
      <c r="Y55" s="50"/>
      <c r="Z55" s="48" t="str">
        <f t="shared" si="1"/>
        <v/>
      </c>
      <c r="AA55" s="46"/>
      <c r="AB55" s="49"/>
      <c r="AC55" s="41"/>
      <c r="AD55" s="47"/>
      <c r="AE55" s="45"/>
      <c r="AF55" s="45"/>
      <c r="AG55" s="47"/>
      <c r="AH55" s="41"/>
      <c r="AI55" s="47"/>
      <c r="AJ55" s="47"/>
    </row>
    <row r="56" spans="1:36" x14ac:dyDescent="0.25">
      <c r="A56" s="40"/>
      <c r="B56" s="41"/>
      <c r="C56" s="42"/>
      <c r="D56" s="43"/>
      <c r="E56" s="44"/>
      <c r="F56" s="41"/>
      <c r="G56" s="45"/>
      <c r="H56" s="45"/>
      <c r="I56" s="46"/>
      <c r="J56" s="46"/>
      <c r="K56" s="47"/>
      <c r="L56" s="47"/>
      <c r="M56" s="47"/>
      <c r="N56" s="41"/>
      <c r="O56" s="47"/>
      <c r="P56" s="47"/>
      <c r="Q56" s="47"/>
      <c r="R56" s="41"/>
      <c r="S56" s="41"/>
      <c r="T56" s="41"/>
      <c r="U56" s="48" t="str">
        <f>IF(AND(EXPEDIDAS_INGRESOS!S56="",EXPEDIDAS_INGRESOS!T56=""),"",IF(EXPEDIDAS_INGRESOS!S56="S1",SUM(V56,X56,Z56),V56))</f>
        <v/>
      </c>
      <c r="V56" s="49"/>
      <c r="W56" s="50"/>
      <c r="X56" s="48"/>
      <c r="Y56" s="50"/>
      <c r="Z56" s="48" t="str">
        <f t="shared" si="1"/>
        <v/>
      </c>
      <c r="AA56" s="46"/>
      <c r="AB56" s="49"/>
      <c r="AC56" s="41"/>
      <c r="AD56" s="47"/>
      <c r="AE56" s="45"/>
      <c r="AF56" s="45"/>
      <c r="AG56" s="47"/>
      <c r="AH56" s="41"/>
      <c r="AI56" s="47"/>
      <c r="AJ56" s="47"/>
    </row>
    <row r="57" spans="1:36" x14ac:dyDescent="0.25">
      <c r="A57" s="40"/>
      <c r="B57" s="41"/>
      <c r="C57" s="42"/>
      <c r="D57" s="43"/>
      <c r="E57" s="44"/>
      <c r="F57" s="41"/>
      <c r="G57" s="45"/>
      <c r="H57" s="45"/>
      <c r="I57" s="46"/>
      <c r="J57" s="46"/>
      <c r="K57" s="47"/>
      <c r="L57" s="47"/>
      <c r="M57" s="47"/>
      <c r="N57" s="41"/>
      <c r="O57" s="47"/>
      <c r="P57" s="47"/>
      <c r="Q57" s="47"/>
      <c r="R57" s="41"/>
      <c r="S57" s="41"/>
      <c r="T57" s="41"/>
      <c r="U57" s="48" t="str">
        <f>IF(AND(EXPEDIDAS_INGRESOS!S57="",EXPEDIDAS_INGRESOS!T57=""),"",IF(EXPEDIDAS_INGRESOS!S57="S1",SUM(V57,X57,Z57),V57))</f>
        <v/>
      </c>
      <c r="V57" s="49"/>
      <c r="W57" s="50"/>
      <c r="X57" s="48"/>
      <c r="Y57" s="50"/>
      <c r="Z57" s="48" t="str">
        <f t="shared" si="1"/>
        <v/>
      </c>
      <c r="AA57" s="46"/>
      <c r="AB57" s="49"/>
      <c r="AC57" s="41"/>
      <c r="AD57" s="47"/>
      <c r="AE57" s="45"/>
      <c r="AF57" s="45"/>
      <c r="AG57" s="47"/>
      <c r="AH57" s="41"/>
      <c r="AI57" s="47"/>
      <c r="AJ57" s="47"/>
    </row>
    <row r="58" spans="1:36" x14ac:dyDescent="0.25">
      <c r="A58" s="40"/>
      <c r="B58" s="41"/>
      <c r="C58" s="42"/>
      <c r="D58" s="43"/>
      <c r="E58" s="44"/>
      <c r="F58" s="41"/>
      <c r="G58" s="45"/>
      <c r="H58" s="45"/>
      <c r="I58" s="46"/>
      <c r="J58" s="46"/>
      <c r="K58" s="47"/>
      <c r="L58" s="47"/>
      <c r="M58" s="47"/>
      <c r="N58" s="41"/>
      <c r="O58" s="47"/>
      <c r="P58" s="47"/>
      <c r="Q58" s="47"/>
      <c r="R58" s="41"/>
      <c r="S58" s="41"/>
      <c r="T58" s="41"/>
      <c r="U58" s="48" t="str">
        <f>IF(AND(EXPEDIDAS_INGRESOS!S58="",EXPEDIDAS_INGRESOS!T58=""),"",IF(EXPEDIDAS_INGRESOS!S58="S1",SUM(V58,X58,Z58),V58))</f>
        <v/>
      </c>
      <c r="V58" s="49"/>
      <c r="W58" s="50"/>
      <c r="X58" s="48"/>
      <c r="Y58" s="50"/>
      <c r="Z58" s="48" t="str">
        <f t="shared" si="1"/>
        <v/>
      </c>
      <c r="AA58" s="46"/>
      <c r="AB58" s="49"/>
      <c r="AC58" s="41"/>
      <c r="AD58" s="47"/>
      <c r="AE58" s="45"/>
      <c r="AF58" s="45"/>
      <c r="AG58" s="47"/>
      <c r="AH58" s="41"/>
      <c r="AI58" s="47"/>
      <c r="AJ58" s="47"/>
    </row>
    <row r="59" spans="1:36" x14ac:dyDescent="0.25">
      <c r="A59" s="40"/>
      <c r="B59" s="41"/>
      <c r="C59" s="42"/>
      <c r="D59" s="43"/>
      <c r="E59" s="44"/>
      <c r="F59" s="41"/>
      <c r="G59" s="45"/>
      <c r="H59" s="45"/>
      <c r="I59" s="46"/>
      <c r="J59" s="46"/>
      <c r="K59" s="47"/>
      <c r="L59" s="47"/>
      <c r="M59" s="47"/>
      <c r="N59" s="41"/>
      <c r="O59" s="47"/>
      <c r="P59" s="47"/>
      <c r="Q59" s="47"/>
      <c r="R59" s="41"/>
      <c r="S59" s="41"/>
      <c r="T59" s="41"/>
      <c r="U59" s="48" t="str">
        <f>IF(AND(EXPEDIDAS_INGRESOS!S59="",EXPEDIDAS_INGRESOS!T59=""),"",IF(EXPEDIDAS_INGRESOS!S59="S1",SUM(V59,X59,Z59),V59))</f>
        <v/>
      </c>
      <c r="V59" s="49"/>
      <c r="W59" s="50"/>
      <c r="X59" s="48"/>
      <c r="Y59" s="50"/>
      <c r="Z59" s="48" t="str">
        <f t="shared" si="1"/>
        <v/>
      </c>
      <c r="AA59" s="46"/>
      <c r="AB59" s="49"/>
      <c r="AC59" s="41"/>
      <c r="AD59" s="47"/>
      <c r="AE59" s="45"/>
      <c r="AF59" s="45"/>
      <c r="AG59" s="47"/>
      <c r="AH59" s="41"/>
      <c r="AI59" s="47"/>
      <c r="AJ59" s="47"/>
    </row>
    <row r="60" spans="1:36" x14ac:dyDescent="0.25">
      <c r="A60" s="40"/>
      <c r="B60" s="41"/>
      <c r="C60" s="42"/>
      <c r="D60" s="43"/>
      <c r="E60" s="44"/>
      <c r="F60" s="41"/>
      <c r="G60" s="45"/>
      <c r="H60" s="45"/>
      <c r="I60" s="46"/>
      <c r="J60" s="46"/>
      <c r="K60" s="47"/>
      <c r="L60" s="47"/>
      <c r="M60" s="47"/>
      <c r="N60" s="41"/>
      <c r="O60" s="47"/>
      <c r="P60" s="47"/>
      <c r="Q60" s="47"/>
      <c r="R60" s="41"/>
      <c r="S60" s="41"/>
      <c r="T60" s="41"/>
      <c r="U60" s="48" t="str">
        <f>IF(AND(EXPEDIDAS_INGRESOS!S60="",EXPEDIDAS_INGRESOS!T60=""),"",IF(EXPEDIDAS_INGRESOS!S60="S1",SUM(V60,X60,Z60),V60))</f>
        <v/>
      </c>
      <c r="V60" s="49"/>
      <c r="W60" s="50"/>
      <c r="X60" s="48"/>
      <c r="Y60" s="50"/>
      <c r="Z60" s="48" t="str">
        <f t="shared" si="1"/>
        <v/>
      </c>
      <c r="AA60" s="46"/>
      <c r="AB60" s="49"/>
      <c r="AC60" s="41"/>
      <c r="AD60" s="47"/>
      <c r="AE60" s="45"/>
      <c r="AF60" s="45"/>
      <c r="AG60" s="47"/>
      <c r="AH60" s="41"/>
      <c r="AI60" s="47"/>
      <c r="AJ60" s="47"/>
    </row>
    <row r="61" spans="1:36" x14ac:dyDescent="0.25">
      <c r="A61" s="40"/>
      <c r="B61" s="41"/>
      <c r="C61" s="42"/>
      <c r="D61" s="43"/>
      <c r="E61" s="44"/>
      <c r="F61" s="41"/>
      <c r="G61" s="45"/>
      <c r="H61" s="45"/>
      <c r="I61" s="46"/>
      <c r="J61" s="46"/>
      <c r="K61" s="47"/>
      <c r="L61" s="47"/>
      <c r="M61" s="47"/>
      <c r="N61" s="41"/>
      <c r="O61" s="47"/>
      <c r="P61" s="47"/>
      <c r="Q61" s="47"/>
      <c r="R61" s="41"/>
      <c r="S61" s="41"/>
      <c r="T61" s="41"/>
      <c r="U61" s="48" t="str">
        <f>IF(AND(EXPEDIDAS_INGRESOS!S61="",EXPEDIDAS_INGRESOS!T61=""),"",IF(EXPEDIDAS_INGRESOS!S61="S1",SUM(V61,X61,Z61),V61))</f>
        <v/>
      </c>
      <c r="V61" s="49"/>
      <c r="W61" s="50"/>
      <c r="X61" s="48"/>
      <c r="Y61" s="50"/>
      <c r="Z61" s="48" t="str">
        <f t="shared" si="1"/>
        <v/>
      </c>
      <c r="AA61" s="46"/>
      <c r="AB61" s="49"/>
      <c r="AC61" s="41"/>
      <c r="AD61" s="47"/>
      <c r="AE61" s="45"/>
      <c r="AF61" s="45"/>
      <c r="AG61" s="47"/>
      <c r="AH61" s="41"/>
      <c r="AI61" s="47"/>
      <c r="AJ61" s="47"/>
    </row>
    <row r="62" spans="1:36" x14ac:dyDescent="0.25">
      <c r="A62" s="40"/>
      <c r="B62" s="41"/>
      <c r="C62" s="42"/>
      <c r="D62" s="43"/>
      <c r="E62" s="44"/>
      <c r="F62" s="41"/>
      <c r="G62" s="45"/>
      <c r="H62" s="45"/>
      <c r="I62" s="46"/>
      <c r="J62" s="46"/>
      <c r="K62" s="47"/>
      <c r="L62" s="47"/>
      <c r="M62" s="47"/>
      <c r="N62" s="41"/>
      <c r="O62" s="47"/>
      <c r="P62" s="47"/>
      <c r="Q62" s="47"/>
      <c r="R62" s="41"/>
      <c r="S62" s="41"/>
      <c r="T62" s="41"/>
      <c r="U62" s="48" t="str">
        <f>IF(AND(EXPEDIDAS_INGRESOS!S62="",EXPEDIDAS_INGRESOS!T62=""),"",IF(EXPEDIDAS_INGRESOS!S62="S1",SUM(V62,X62,Z62),V62))</f>
        <v/>
      </c>
      <c r="V62" s="49"/>
      <c r="W62" s="50"/>
      <c r="X62" s="48"/>
      <c r="Y62" s="50"/>
      <c r="Z62" s="48" t="str">
        <f t="shared" si="1"/>
        <v/>
      </c>
      <c r="AA62" s="46"/>
      <c r="AB62" s="49"/>
      <c r="AC62" s="41"/>
      <c r="AD62" s="47"/>
      <c r="AE62" s="45"/>
      <c r="AF62" s="45"/>
      <c r="AG62" s="47"/>
      <c r="AH62" s="41"/>
      <c r="AI62" s="47"/>
      <c r="AJ62" s="47"/>
    </row>
    <row r="63" spans="1:36" x14ac:dyDescent="0.25">
      <c r="A63" s="40"/>
      <c r="B63" s="41"/>
      <c r="C63" s="42"/>
      <c r="D63" s="43"/>
      <c r="E63" s="44"/>
      <c r="F63" s="41"/>
      <c r="G63" s="45"/>
      <c r="H63" s="45"/>
      <c r="I63" s="46"/>
      <c r="J63" s="46"/>
      <c r="K63" s="47"/>
      <c r="L63" s="47"/>
      <c r="M63" s="47"/>
      <c r="N63" s="41"/>
      <c r="O63" s="47"/>
      <c r="P63" s="47"/>
      <c r="Q63" s="47"/>
      <c r="R63" s="41"/>
      <c r="S63" s="41"/>
      <c r="T63" s="41"/>
      <c r="U63" s="48" t="str">
        <f>IF(AND(EXPEDIDAS_INGRESOS!S63="",EXPEDIDAS_INGRESOS!T63=""),"",IF(EXPEDIDAS_INGRESOS!S63="S1",SUM(V63,X63,Z63),V63))</f>
        <v/>
      </c>
      <c r="V63" s="49"/>
      <c r="W63" s="50"/>
      <c r="X63" s="48"/>
      <c r="Y63" s="50"/>
      <c r="Z63" s="48" t="str">
        <f t="shared" si="1"/>
        <v/>
      </c>
      <c r="AA63" s="46"/>
      <c r="AB63" s="49"/>
      <c r="AC63" s="41"/>
      <c r="AD63" s="47"/>
      <c r="AE63" s="45"/>
      <c r="AF63" s="45"/>
      <c r="AG63" s="47"/>
      <c r="AH63" s="41"/>
      <c r="AI63" s="47"/>
      <c r="AJ63" s="47"/>
    </row>
    <row r="64" spans="1:36" x14ac:dyDescent="0.25">
      <c r="A64" s="40"/>
      <c r="B64" s="41"/>
      <c r="C64" s="42"/>
      <c r="D64" s="43"/>
      <c r="E64" s="44"/>
      <c r="F64" s="41"/>
      <c r="G64" s="45"/>
      <c r="H64" s="45"/>
      <c r="I64" s="46"/>
      <c r="J64" s="46"/>
      <c r="K64" s="47"/>
      <c r="L64" s="47"/>
      <c r="M64" s="47"/>
      <c r="N64" s="41"/>
      <c r="O64" s="47"/>
      <c r="P64" s="47"/>
      <c r="Q64" s="47"/>
      <c r="R64" s="41"/>
      <c r="S64" s="41"/>
      <c r="T64" s="41"/>
      <c r="U64" s="48" t="str">
        <f>IF(AND(EXPEDIDAS_INGRESOS!S64="",EXPEDIDAS_INGRESOS!T64=""),"",IF(EXPEDIDAS_INGRESOS!S64="S1",SUM(V64,X64,Z64),V64))</f>
        <v/>
      </c>
      <c r="V64" s="49"/>
      <c r="W64" s="50"/>
      <c r="X64" s="48"/>
      <c r="Y64" s="50"/>
      <c r="Z64" s="48" t="str">
        <f t="shared" si="1"/>
        <v/>
      </c>
      <c r="AA64" s="46"/>
      <c r="AB64" s="49"/>
      <c r="AC64" s="41"/>
      <c r="AD64" s="47"/>
      <c r="AE64" s="45"/>
      <c r="AF64" s="45"/>
      <c r="AG64" s="47"/>
      <c r="AH64" s="41"/>
      <c r="AI64" s="47"/>
      <c r="AJ64" s="47"/>
    </row>
    <row r="65" spans="1:36" x14ac:dyDescent="0.25">
      <c r="A65" s="40"/>
      <c r="B65" s="41"/>
      <c r="C65" s="42"/>
      <c r="D65" s="43"/>
      <c r="E65" s="44"/>
      <c r="F65" s="41"/>
      <c r="G65" s="45"/>
      <c r="H65" s="45"/>
      <c r="I65" s="46"/>
      <c r="J65" s="46"/>
      <c r="K65" s="47"/>
      <c r="L65" s="47"/>
      <c r="M65" s="47"/>
      <c r="N65" s="41"/>
      <c r="O65" s="47"/>
      <c r="P65" s="47"/>
      <c r="Q65" s="47"/>
      <c r="R65" s="41"/>
      <c r="S65" s="41"/>
      <c r="T65" s="41"/>
      <c r="U65" s="48" t="str">
        <f>IF(AND(EXPEDIDAS_INGRESOS!S65="",EXPEDIDAS_INGRESOS!T65=""),"",IF(EXPEDIDAS_INGRESOS!S65="S1",SUM(V65,X65,Z65),V65))</f>
        <v/>
      </c>
      <c r="V65" s="49"/>
      <c r="W65" s="50"/>
      <c r="X65" s="48"/>
      <c r="Y65" s="50"/>
      <c r="Z65" s="48" t="str">
        <f t="shared" si="1"/>
        <v/>
      </c>
      <c r="AA65" s="46"/>
      <c r="AB65" s="49"/>
      <c r="AC65" s="41"/>
      <c r="AD65" s="47"/>
      <c r="AE65" s="45"/>
      <c r="AF65" s="45"/>
      <c r="AG65" s="47"/>
      <c r="AH65" s="41"/>
      <c r="AI65" s="47"/>
      <c r="AJ65" s="47"/>
    </row>
    <row r="66" spans="1:36" x14ac:dyDescent="0.25">
      <c r="A66" s="40"/>
      <c r="B66" s="41"/>
      <c r="C66" s="42"/>
      <c r="D66" s="43"/>
      <c r="E66" s="44"/>
      <c r="F66" s="41"/>
      <c r="G66" s="45"/>
      <c r="H66" s="45"/>
      <c r="I66" s="46"/>
      <c r="J66" s="46"/>
      <c r="K66" s="47"/>
      <c r="L66" s="47"/>
      <c r="M66" s="47"/>
      <c r="N66" s="41"/>
      <c r="O66" s="47"/>
      <c r="P66" s="47"/>
      <c r="Q66" s="47"/>
      <c r="R66" s="41"/>
      <c r="S66" s="41"/>
      <c r="T66" s="41"/>
      <c r="U66" s="48" t="str">
        <f>IF(AND(EXPEDIDAS_INGRESOS!S66="",EXPEDIDAS_INGRESOS!T66=""),"",IF(EXPEDIDAS_INGRESOS!S66="S1",SUM(V66,X66,Z66),V66))</f>
        <v/>
      </c>
      <c r="V66" s="49"/>
      <c r="W66" s="50"/>
      <c r="X66" s="48"/>
      <c r="Y66" s="50"/>
      <c r="Z66" s="48" t="str">
        <f t="shared" si="1"/>
        <v/>
      </c>
      <c r="AA66" s="46"/>
      <c r="AB66" s="49"/>
      <c r="AC66" s="41"/>
      <c r="AD66" s="47"/>
      <c r="AE66" s="45"/>
      <c r="AF66" s="45"/>
      <c r="AG66" s="47"/>
      <c r="AH66" s="41"/>
      <c r="AI66" s="47"/>
      <c r="AJ66" s="47"/>
    </row>
    <row r="67" spans="1:36" x14ac:dyDescent="0.25">
      <c r="A67" s="40"/>
      <c r="B67" s="41"/>
      <c r="C67" s="42"/>
      <c r="D67" s="43"/>
      <c r="E67" s="44"/>
      <c r="F67" s="41"/>
      <c r="G67" s="45"/>
      <c r="H67" s="45"/>
      <c r="I67" s="46"/>
      <c r="J67" s="46"/>
      <c r="K67" s="47"/>
      <c r="L67" s="47"/>
      <c r="M67" s="47"/>
      <c r="N67" s="41"/>
      <c r="O67" s="47"/>
      <c r="P67" s="47"/>
      <c r="Q67" s="47"/>
      <c r="R67" s="41"/>
      <c r="S67" s="41"/>
      <c r="T67" s="41"/>
      <c r="U67" s="48" t="str">
        <f>IF(AND(EXPEDIDAS_INGRESOS!S67="",EXPEDIDAS_INGRESOS!T67=""),"",IF(EXPEDIDAS_INGRESOS!S67="S1",SUM(V67,X67,Z67),V67))</f>
        <v/>
      </c>
      <c r="V67" s="49"/>
      <c r="W67" s="50"/>
      <c r="X67" s="48"/>
      <c r="Y67" s="50"/>
      <c r="Z67" s="48" t="str">
        <f t="shared" si="1"/>
        <v/>
      </c>
      <c r="AA67" s="46"/>
      <c r="AB67" s="49"/>
      <c r="AC67" s="41"/>
      <c r="AD67" s="47"/>
      <c r="AE67" s="45"/>
      <c r="AF67" s="45"/>
      <c r="AG67" s="47"/>
      <c r="AH67" s="41"/>
      <c r="AI67" s="47"/>
      <c r="AJ67" s="47"/>
    </row>
    <row r="68" spans="1:36" x14ac:dyDescent="0.25">
      <c r="A68" s="40"/>
      <c r="B68" s="41"/>
      <c r="C68" s="42"/>
      <c r="D68" s="43"/>
      <c r="E68" s="44"/>
      <c r="F68" s="41"/>
      <c r="G68" s="45"/>
      <c r="H68" s="45"/>
      <c r="I68" s="46"/>
      <c r="J68" s="46"/>
      <c r="K68" s="47"/>
      <c r="L68" s="47"/>
      <c r="M68" s="47"/>
      <c r="N68" s="41"/>
      <c r="O68" s="47"/>
      <c r="P68" s="47"/>
      <c r="Q68" s="47"/>
      <c r="R68" s="41"/>
      <c r="S68" s="41"/>
      <c r="T68" s="41"/>
      <c r="U68" s="48" t="str">
        <f>IF(AND(EXPEDIDAS_INGRESOS!S68="",EXPEDIDAS_INGRESOS!T68=""),"",IF(EXPEDIDAS_INGRESOS!S68="S1",SUM(V68,X68,Z68),V68))</f>
        <v/>
      </c>
      <c r="V68" s="49"/>
      <c r="W68" s="50"/>
      <c r="X68" s="48"/>
      <c r="Y68" s="50"/>
      <c r="Z68" s="48" t="str">
        <f t="shared" si="1"/>
        <v/>
      </c>
      <c r="AA68" s="46"/>
      <c r="AB68" s="49"/>
      <c r="AC68" s="41"/>
      <c r="AD68" s="47"/>
      <c r="AE68" s="45"/>
      <c r="AF68" s="45"/>
      <c r="AG68" s="47"/>
      <c r="AH68" s="41"/>
      <c r="AI68" s="47"/>
      <c r="AJ68" s="47"/>
    </row>
    <row r="69" spans="1:36" x14ac:dyDescent="0.25">
      <c r="A69" s="40"/>
      <c r="B69" s="41"/>
      <c r="C69" s="42"/>
      <c r="D69" s="43"/>
      <c r="E69" s="44"/>
      <c r="F69" s="41"/>
      <c r="G69" s="45"/>
      <c r="H69" s="45"/>
      <c r="I69" s="46"/>
      <c r="J69" s="46"/>
      <c r="K69" s="47"/>
      <c r="L69" s="47"/>
      <c r="M69" s="47"/>
      <c r="N69" s="41"/>
      <c r="O69" s="47"/>
      <c r="P69" s="47"/>
      <c r="Q69" s="47"/>
      <c r="R69" s="41"/>
      <c r="S69" s="41"/>
      <c r="T69" s="41"/>
      <c r="U69" s="48" t="str">
        <f>IF(AND(EXPEDIDAS_INGRESOS!S69="",EXPEDIDAS_INGRESOS!T69=""),"",IF(EXPEDIDAS_INGRESOS!S69="S1",SUM(V69,X69,Z69),V69))</f>
        <v/>
      </c>
      <c r="V69" s="49"/>
      <c r="W69" s="50"/>
      <c r="X69" s="48"/>
      <c r="Y69" s="50"/>
      <c r="Z69" s="48" t="str">
        <f t="shared" si="1"/>
        <v/>
      </c>
      <c r="AA69" s="46"/>
      <c r="AB69" s="49"/>
      <c r="AC69" s="41"/>
      <c r="AD69" s="47"/>
      <c r="AE69" s="45"/>
      <c r="AF69" s="45"/>
      <c r="AG69" s="47"/>
      <c r="AH69" s="41"/>
      <c r="AI69" s="47"/>
      <c r="AJ69" s="47"/>
    </row>
    <row r="70" spans="1:36" x14ac:dyDescent="0.25">
      <c r="A70" s="40"/>
      <c r="B70" s="41"/>
      <c r="C70" s="42"/>
      <c r="D70" s="43"/>
      <c r="E70" s="44"/>
      <c r="F70" s="41"/>
      <c r="G70" s="45"/>
      <c r="H70" s="45"/>
      <c r="I70" s="46"/>
      <c r="J70" s="46"/>
      <c r="K70" s="47"/>
      <c r="L70" s="47"/>
      <c r="M70" s="47"/>
      <c r="N70" s="41"/>
      <c r="O70" s="47"/>
      <c r="P70" s="47"/>
      <c r="Q70" s="47"/>
      <c r="R70" s="41"/>
      <c r="S70" s="41"/>
      <c r="T70" s="41"/>
      <c r="U70" s="48" t="str">
        <f>IF(AND(EXPEDIDAS_INGRESOS!S70="",EXPEDIDAS_INGRESOS!T70=""),"",IF(EXPEDIDAS_INGRESOS!S70="S1",SUM(V70,X70,Z70),V70))</f>
        <v/>
      </c>
      <c r="V70" s="49"/>
      <c r="W70" s="50"/>
      <c r="X70" s="48"/>
      <c r="Y70" s="50"/>
      <c r="Z70" s="48" t="str">
        <f t="shared" si="1"/>
        <v/>
      </c>
      <c r="AA70" s="46"/>
      <c r="AB70" s="49"/>
      <c r="AC70" s="41"/>
      <c r="AD70" s="47"/>
      <c r="AE70" s="45"/>
      <c r="AF70" s="45"/>
      <c r="AG70" s="47"/>
      <c r="AH70" s="41"/>
      <c r="AI70" s="47"/>
      <c r="AJ70" s="47"/>
    </row>
    <row r="71" spans="1:36" x14ac:dyDescent="0.25">
      <c r="A71" s="40"/>
      <c r="B71" s="41"/>
      <c r="C71" s="42"/>
      <c r="D71" s="43"/>
      <c r="E71" s="44"/>
      <c r="F71" s="41"/>
      <c r="G71" s="45"/>
      <c r="H71" s="45"/>
      <c r="I71" s="46"/>
      <c r="J71" s="46"/>
      <c r="K71" s="47"/>
      <c r="L71" s="47"/>
      <c r="M71" s="47"/>
      <c r="N71" s="41"/>
      <c r="O71" s="47"/>
      <c r="P71" s="47"/>
      <c r="Q71" s="47"/>
      <c r="R71" s="41"/>
      <c r="S71" s="41"/>
      <c r="T71" s="41"/>
      <c r="U71" s="48" t="str">
        <f>IF(AND(EXPEDIDAS_INGRESOS!S71="",EXPEDIDAS_INGRESOS!T71=""),"",IF(EXPEDIDAS_INGRESOS!S71="S1",SUM(V71,X71,Z71),V71))</f>
        <v/>
      </c>
      <c r="V71" s="49"/>
      <c r="W71" s="50"/>
      <c r="X71" s="48"/>
      <c r="Y71" s="50"/>
      <c r="Z71" s="48" t="str">
        <f t="shared" si="1"/>
        <v/>
      </c>
      <c r="AA71" s="46"/>
      <c r="AB71" s="49"/>
      <c r="AC71" s="41"/>
      <c r="AD71" s="47"/>
      <c r="AE71" s="45"/>
      <c r="AF71" s="45"/>
      <c r="AG71" s="47"/>
      <c r="AH71" s="41"/>
      <c r="AI71" s="47"/>
      <c r="AJ71" s="47"/>
    </row>
    <row r="72" spans="1:36" x14ac:dyDescent="0.25">
      <c r="A72" s="40"/>
      <c r="B72" s="41"/>
      <c r="C72" s="42"/>
      <c r="D72" s="43"/>
      <c r="E72" s="44"/>
      <c r="F72" s="41"/>
      <c r="G72" s="45"/>
      <c r="H72" s="45"/>
      <c r="I72" s="46"/>
      <c r="J72" s="46"/>
      <c r="K72" s="47"/>
      <c r="L72" s="47"/>
      <c r="M72" s="47"/>
      <c r="N72" s="41"/>
      <c r="O72" s="47"/>
      <c r="P72" s="47"/>
      <c r="Q72" s="47"/>
      <c r="R72" s="41"/>
      <c r="S72" s="41"/>
      <c r="T72" s="41"/>
      <c r="U72" s="48" t="str">
        <f>IF(AND(EXPEDIDAS_INGRESOS!S72="",EXPEDIDAS_INGRESOS!T72=""),"",IF(EXPEDIDAS_INGRESOS!S72="S1",SUM(V72,X72,Z72),V72))</f>
        <v/>
      </c>
      <c r="V72" s="49"/>
      <c r="W72" s="50"/>
      <c r="X72" s="48"/>
      <c r="Y72" s="50"/>
      <c r="Z72" s="48" t="str">
        <f t="shared" si="1"/>
        <v/>
      </c>
      <c r="AA72" s="46"/>
      <c r="AB72" s="49"/>
      <c r="AC72" s="41"/>
      <c r="AD72" s="47"/>
      <c r="AE72" s="45"/>
      <c r="AF72" s="45"/>
      <c r="AG72" s="47"/>
      <c r="AH72" s="41"/>
      <c r="AI72" s="47"/>
      <c r="AJ72" s="47"/>
    </row>
    <row r="73" spans="1:36" x14ac:dyDescent="0.25">
      <c r="A73" s="40"/>
      <c r="B73" s="41"/>
      <c r="C73" s="42"/>
      <c r="D73" s="43"/>
      <c r="E73" s="44"/>
      <c r="F73" s="41"/>
      <c r="G73" s="45"/>
      <c r="H73" s="45"/>
      <c r="I73" s="46"/>
      <c r="J73" s="46"/>
      <c r="K73" s="47"/>
      <c r="L73" s="47"/>
      <c r="M73" s="47"/>
      <c r="N73" s="41"/>
      <c r="O73" s="47"/>
      <c r="P73" s="47"/>
      <c r="Q73" s="47"/>
      <c r="R73" s="41"/>
      <c r="S73" s="41"/>
      <c r="T73" s="41"/>
      <c r="U73" s="48" t="str">
        <f>IF(AND(EXPEDIDAS_INGRESOS!S73="",EXPEDIDAS_INGRESOS!T73=""),"",IF(EXPEDIDAS_INGRESOS!S73="S1",SUM(V73,X73,Z73),V73))</f>
        <v/>
      </c>
      <c r="V73" s="49"/>
      <c r="W73" s="50"/>
      <c r="X73" s="48"/>
      <c r="Y73" s="50"/>
      <c r="Z73" s="48" t="str">
        <f t="shared" si="1"/>
        <v/>
      </c>
      <c r="AA73" s="46"/>
      <c r="AB73" s="49"/>
      <c r="AC73" s="41"/>
      <c r="AD73" s="47"/>
      <c r="AE73" s="45"/>
      <c r="AF73" s="45"/>
      <c r="AG73" s="47"/>
      <c r="AH73" s="41"/>
      <c r="AI73" s="47"/>
      <c r="AJ73" s="47"/>
    </row>
    <row r="74" spans="1:36" x14ac:dyDescent="0.25">
      <c r="A74" s="40"/>
      <c r="B74" s="41"/>
      <c r="C74" s="42"/>
      <c r="D74" s="43"/>
      <c r="E74" s="44"/>
      <c r="F74" s="41"/>
      <c r="G74" s="45"/>
      <c r="H74" s="45"/>
      <c r="I74" s="46"/>
      <c r="J74" s="46"/>
      <c r="K74" s="47"/>
      <c r="L74" s="47"/>
      <c r="M74" s="47"/>
      <c r="N74" s="41"/>
      <c r="O74" s="47"/>
      <c r="P74" s="47"/>
      <c r="Q74" s="47"/>
      <c r="R74" s="41"/>
      <c r="S74" s="41"/>
      <c r="T74" s="41"/>
      <c r="U74" s="48" t="str">
        <f>IF(AND(EXPEDIDAS_INGRESOS!S74="",EXPEDIDAS_INGRESOS!T74=""),"",IF(EXPEDIDAS_INGRESOS!S74="S1",SUM(V74,X74,Z74),V74))</f>
        <v/>
      </c>
      <c r="V74" s="49"/>
      <c r="W74" s="50"/>
      <c r="X74" s="48"/>
      <c r="Y74" s="50"/>
      <c r="Z74" s="48" t="str">
        <f t="shared" si="1"/>
        <v/>
      </c>
      <c r="AA74" s="46"/>
      <c r="AB74" s="49"/>
      <c r="AC74" s="41"/>
      <c r="AD74" s="47"/>
      <c r="AE74" s="45"/>
      <c r="AF74" s="45"/>
      <c r="AG74" s="47"/>
      <c r="AH74" s="41"/>
      <c r="AI74" s="47"/>
      <c r="AJ74" s="47"/>
    </row>
    <row r="75" spans="1:36" x14ac:dyDescent="0.25">
      <c r="A75" s="40"/>
      <c r="B75" s="41"/>
      <c r="C75" s="42"/>
      <c r="D75" s="43"/>
      <c r="E75" s="44"/>
      <c r="F75" s="41"/>
      <c r="G75" s="45"/>
      <c r="H75" s="45"/>
      <c r="I75" s="46"/>
      <c r="J75" s="46"/>
      <c r="K75" s="47"/>
      <c r="L75" s="47"/>
      <c r="M75" s="47"/>
      <c r="N75" s="41"/>
      <c r="O75" s="47"/>
      <c r="P75" s="47"/>
      <c r="Q75" s="47"/>
      <c r="R75" s="41"/>
      <c r="S75" s="41"/>
      <c r="T75" s="41"/>
      <c r="U75" s="48" t="str">
        <f>IF(AND(EXPEDIDAS_INGRESOS!S75="",EXPEDIDAS_INGRESOS!T75=""),"",IF(EXPEDIDAS_INGRESOS!S75="S1",SUM(V75,X75,Z75),V75))</f>
        <v/>
      </c>
      <c r="V75" s="49"/>
      <c r="W75" s="50"/>
      <c r="X75" s="48"/>
      <c r="Y75" s="50"/>
      <c r="Z75" s="48" t="str">
        <f t="shared" si="1"/>
        <v/>
      </c>
      <c r="AA75" s="46"/>
      <c r="AB75" s="49"/>
      <c r="AC75" s="41"/>
      <c r="AD75" s="47"/>
      <c r="AE75" s="45"/>
      <c r="AF75" s="45"/>
      <c r="AG75" s="47"/>
      <c r="AH75" s="41"/>
      <c r="AI75" s="47"/>
      <c r="AJ75" s="47"/>
    </row>
    <row r="76" spans="1:36" x14ac:dyDescent="0.25">
      <c r="A76" s="40"/>
      <c r="B76" s="41"/>
      <c r="C76" s="42"/>
      <c r="D76" s="43"/>
      <c r="E76" s="44"/>
      <c r="F76" s="41"/>
      <c r="G76" s="45"/>
      <c r="H76" s="45"/>
      <c r="I76" s="46"/>
      <c r="J76" s="46"/>
      <c r="K76" s="47"/>
      <c r="L76" s="47"/>
      <c r="M76" s="47"/>
      <c r="N76" s="41"/>
      <c r="O76" s="47"/>
      <c r="P76" s="47"/>
      <c r="Q76" s="47"/>
      <c r="R76" s="41"/>
      <c r="S76" s="41"/>
      <c r="T76" s="41"/>
      <c r="U76" s="48" t="str">
        <f>IF(AND(EXPEDIDAS_INGRESOS!S76="",EXPEDIDAS_INGRESOS!T76=""),"",IF(EXPEDIDAS_INGRESOS!S76="S1",SUM(V76,X76,Z76),V76))</f>
        <v/>
      </c>
      <c r="V76" s="49"/>
      <c r="W76" s="50"/>
      <c r="X76" s="48"/>
      <c r="Y76" s="50"/>
      <c r="Z76" s="48" t="str">
        <f t="shared" si="1"/>
        <v/>
      </c>
      <c r="AA76" s="46"/>
      <c r="AB76" s="49"/>
      <c r="AC76" s="41"/>
      <c r="AD76" s="47"/>
      <c r="AE76" s="45"/>
      <c r="AF76" s="45"/>
      <c r="AG76" s="47"/>
      <c r="AH76" s="41"/>
      <c r="AI76" s="47"/>
      <c r="AJ76" s="47"/>
    </row>
    <row r="77" spans="1:36" x14ac:dyDescent="0.25">
      <c r="A77" s="40"/>
      <c r="B77" s="41"/>
      <c r="C77" s="42"/>
      <c r="D77" s="43"/>
      <c r="E77" s="44"/>
      <c r="F77" s="41"/>
      <c r="G77" s="45"/>
      <c r="H77" s="45"/>
      <c r="I77" s="46"/>
      <c r="J77" s="46"/>
      <c r="K77" s="47"/>
      <c r="L77" s="47"/>
      <c r="M77" s="47"/>
      <c r="N77" s="41"/>
      <c r="O77" s="47"/>
      <c r="P77" s="47"/>
      <c r="Q77" s="47"/>
      <c r="R77" s="41"/>
      <c r="S77" s="41"/>
      <c r="T77" s="41"/>
      <c r="U77" s="48" t="str">
        <f>IF(AND(EXPEDIDAS_INGRESOS!S77="",EXPEDIDAS_INGRESOS!T77=""),"",IF(EXPEDIDAS_INGRESOS!S77="S1",SUM(V77,X77,Z77),V77))</f>
        <v/>
      </c>
      <c r="V77" s="49"/>
      <c r="W77" s="50"/>
      <c r="X77" s="48"/>
      <c r="Y77" s="50"/>
      <c r="Z77" s="48" t="str">
        <f t="shared" si="1"/>
        <v/>
      </c>
      <c r="AA77" s="46"/>
      <c r="AB77" s="49"/>
      <c r="AC77" s="41"/>
      <c r="AD77" s="47"/>
      <c r="AE77" s="45"/>
      <c r="AF77" s="45"/>
      <c r="AG77" s="47"/>
      <c r="AH77" s="41"/>
      <c r="AI77" s="47"/>
      <c r="AJ77" s="47"/>
    </row>
    <row r="78" spans="1:36" x14ac:dyDescent="0.25">
      <c r="A78" s="40"/>
      <c r="B78" s="41"/>
      <c r="C78" s="42"/>
      <c r="D78" s="43"/>
      <c r="E78" s="44"/>
      <c r="F78" s="41"/>
      <c r="G78" s="45"/>
      <c r="H78" s="45"/>
      <c r="I78" s="46"/>
      <c r="J78" s="46"/>
      <c r="K78" s="47"/>
      <c r="L78" s="47"/>
      <c r="M78" s="47"/>
      <c r="N78" s="41"/>
      <c r="O78" s="47"/>
      <c r="P78" s="47"/>
      <c r="Q78" s="47"/>
      <c r="R78" s="41"/>
      <c r="S78" s="41"/>
      <c r="T78" s="41"/>
      <c r="U78" s="48" t="str">
        <f>IF(AND(EXPEDIDAS_INGRESOS!S78="",EXPEDIDAS_INGRESOS!T78=""),"",IF(EXPEDIDAS_INGRESOS!S78="S1",SUM(V78,X78,Z78),V78))</f>
        <v/>
      </c>
      <c r="V78" s="49"/>
      <c r="W78" s="50"/>
      <c r="X78" s="48"/>
      <c r="Y78" s="50"/>
      <c r="Z78" s="48" t="str">
        <f t="shared" si="1"/>
        <v/>
      </c>
      <c r="AA78" s="46"/>
      <c r="AB78" s="49"/>
      <c r="AC78" s="41"/>
      <c r="AD78" s="47"/>
      <c r="AE78" s="45"/>
      <c r="AF78" s="45"/>
      <c r="AG78" s="47"/>
      <c r="AH78" s="41"/>
      <c r="AI78" s="47"/>
      <c r="AJ78" s="47"/>
    </row>
    <row r="79" spans="1:36" x14ac:dyDescent="0.25">
      <c r="A79" s="40"/>
      <c r="B79" s="41"/>
      <c r="C79" s="42"/>
      <c r="D79" s="43"/>
      <c r="E79" s="44"/>
      <c r="F79" s="41"/>
      <c r="G79" s="45"/>
      <c r="H79" s="45"/>
      <c r="I79" s="46"/>
      <c r="J79" s="46"/>
      <c r="K79" s="47"/>
      <c r="L79" s="47"/>
      <c r="M79" s="47"/>
      <c r="N79" s="41"/>
      <c r="O79" s="47"/>
      <c r="P79" s="47"/>
      <c r="Q79" s="47"/>
      <c r="R79" s="41"/>
      <c r="S79" s="41"/>
      <c r="T79" s="41"/>
      <c r="U79" s="48" t="str">
        <f>IF(AND(EXPEDIDAS_INGRESOS!S79="",EXPEDIDAS_INGRESOS!T79=""),"",IF(EXPEDIDAS_INGRESOS!S79="S1",SUM(V79,X79,Z79),V79))</f>
        <v/>
      </c>
      <c r="V79" s="49"/>
      <c r="W79" s="50"/>
      <c r="X79" s="48"/>
      <c r="Y79" s="50"/>
      <c r="Z79" s="48" t="str">
        <f t="shared" si="1"/>
        <v/>
      </c>
      <c r="AA79" s="46"/>
      <c r="AB79" s="49"/>
      <c r="AC79" s="41"/>
      <c r="AD79" s="47"/>
      <c r="AE79" s="45"/>
      <c r="AF79" s="45"/>
      <c r="AG79" s="47"/>
      <c r="AH79" s="41"/>
      <c r="AI79" s="47"/>
      <c r="AJ79" s="47"/>
    </row>
    <row r="80" spans="1:36" x14ac:dyDescent="0.25">
      <c r="A80" s="40"/>
      <c r="B80" s="41"/>
      <c r="C80" s="42"/>
      <c r="D80" s="43"/>
      <c r="E80" s="44"/>
      <c r="F80" s="41"/>
      <c r="G80" s="45"/>
      <c r="H80" s="45"/>
      <c r="I80" s="46"/>
      <c r="J80" s="46"/>
      <c r="K80" s="47"/>
      <c r="L80" s="47"/>
      <c r="M80" s="47"/>
      <c r="N80" s="41"/>
      <c r="O80" s="47"/>
      <c r="P80" s="47"/>
      <c r="Q80" s="47"/>
      <c r="R80" s="41"/>
      <c r="S80" s="41"/>
      <c r="T80" s="41"/>
      <c r="U80" s="48" t="str">
        <f>IF(AND(EXPEDIDAS_INGRESOS!S80="",EXPEDIDAS_INGRESOS!T80=""),"",IF(EXPEDIDAS_INGRESOS!S80="S1",SUM(V80,X80,Z80),V80))</f>
        <v/>
      </c>
      <c r="V80" s="49"/>
      <c r="W80" s="50"/>
      <c r="X80" s="48"/>
      <c r="Y80" s="50"/>
      <c r="Z80" s="48" t="str">
        <f t="shared" si="1"/>
        <v/>
      </c>
      <c r="AA80" s="46"/>
      <c r="AB80" s="49"/>
      <c r="AC80" s="41"/>
      <c r="AD80" s="47"/>
      <c r="AE80" s="45"/>
      <c r="AF80" s="45"/>
      <c r="AG80" s="47"/>
      <c r="AH80" s="41"/>
      <c r="AI80" s="47"/>
      <c r="AJ80" s="47"/>
    </row>
    <row r="81" spans="1:36" x14ac:dyDescent="0.25">
      <c r="A81" s="40"/>
      <c r="B81" s="41"/>
      <c r="C81" s="42"/>
      <c r="D81" s="43"/>
      <c r="E81" s="44"/>
      <c r="F81" s="41"/>
      <c r="G81" s="45"/>
      <c r="H81" s="45"/>
      <c r="I81" s="46"/>
      <c r="J81" s="46"/>
      <c r="K81" s="47"/>
      <c r="L81" s="47"/>
      <c r="M81" s="47"/>
      <c r="N81" s="41"/>
      <c r="O81" s="47"/>
      <c r="P81" s="47"/>
      <c r="Q81" s="47"/>
      <c r="R81" s="41"/>
      <c r="S81" s="41"/>
      <c r="T81" s="41"/>
      <c r="U81" s="48" t="str">
        <f>IF(AND(EXPEDIDAS_INGRESOS!S81="",EXPEDIDAS_INGRESOS!T81=""),"",IF(EXPEDIDAS_INGRESOS!S81="S1",SUM(V81,X81,Z81),V81))</f>
        <v/>
      </c>
      <c r="V81" s="49"/>
      <c r="W81" s="50"/>
      <c r="X81" s="48"/>
      <c r="Y81" s="50"/>
      <c r="Z81" s="48" t="str">
        <f t="shared" si="1"/>
        <v/>
      </c>
      <c r="AA81" s="46"/>
      <c r="AB81" s="49"/>
      <c r="AC81" s="41"/>
      <c r="AD81" s="47"/>
      <c r="AE81" s="45"/>
      <c r="AF81" s="45"/>
      <c r="AG81" s="47"/>
      <c r="AH81" s="41"/>
      <c r="AI81" s="47"/>
      <c r="AJ81" s="47"/>
    </row>
    <row r="82" spans="1:36" x14ac:dyDescent="0.25">
      <c r="A82" s="40"/>
      <c r="B82" s="41"/>
      <c r="C82" s="42"/>
      <c r="D82" s="43"/>
      <c r="E82" s="44"/>
      <c r="F82" s="41"/>
      <c r="G82" s="45"/>
      <c r="H82" s="45"/>
      <c r="I82" s="46"/>
      <c r="J82" s="46"/>
      <c r="K82" s="47"/>
      <c r="L82" s="47"/>
      <c r="M82" s="47"/>
      <c r="N82" s="41"/>
      <c r="O82" s="47"/>
      <c r="P82" s="47"/>
      <c r="Q82" s="47"/>
      <c r="R82" s="41"/>
      <c r="S82" s="41"/>
      <c r="T82" s="41"/>
      <c r="U82" s="48" t="str">
        <f>IF(AND(EXPEDIDAS_INGRESOS!S82="",EXPEDIDAS_INGRESOS!T82=""),"",IF(EXPEDIDAS_INGRESOS!S82="S1",SUM(V82,X82,Z82),V82))</f>
        <v/>
      </c>
      <c r="V82" s="49"/>
      <c r="W82" s="50"/>
      <c r="X82" s="48"/>
      <c r="Y82" s="50"/>
      <c r="Z82" s="48" t="str">
        <f t="shared" si="1"/>
        <v/>
      </c>
      <c r="AA82" s="46"/>
      <c r="AB82" s="49"/>
      <c r="AC82" s="41"/>
      <c r="AD82" s="47"/>
      <c r="AE82" s="45"/>
      <c r="AF82" s="45"/>
      <c r="AG82" s="47"/>
      <c r="AH82" s="41"/>
      <c r="AI82" s="47"/>
      <c r="AJ82" s="47"/>
    </row>
    <row r="83" spans="1:36" x14ac:dyDescent="0.25">
      <c r="A83" s="40"/>
      <c r="B83" s="41"/>
      <c r="C83" s="42"/>
      <c r="D83" s="43"/>
      <c r="E83" s="44"/>
      <c r="F83" s="41"/>
      <c r="G83" s="45"/>
      <c r="H83" s="45"/>
      <c r="I83" s="46"/>
      <c r="J83" s="46"/>
      <c r="K83" s="47"/>
      <c r="L83" s="47"/>
      <c r="M83" s="47"/>
      <c r="N83" s="41"/>
      <c r="O83" s="47"/>
      <c r="P83" s="47"/>
      <c r="Q83" s="47"/>
      <c r="R83" s="41"/>
      <c r="S83" s="41"/>
      <c r="T83" s="41"/>
      <c r="U83" s="48" t="str">
        <f>IF(AND(EXPEDIDAS_INGRESOS!S83="",EXPEDIDAS_INGRESOS!T83=""),"",IF(EXPEDIDAS_INGRESOS!S83="S1",SUM(V83,X83,Z83),V83))</f>
        <v/>
      </c>
      <c r="V83" s="49"/>
      <c r="W83" s="50"/>
      <c r="X83" s="48"/>
      <c r="Y83" s="50"/>
      <c r="Z83" s="48" t="str">
        <f t="shared" si="1"/>
        <v/>
      </c>
      <c r="AA83" s="46"/>
      <c r="AB83" s="49"/>
      <c r="AC83" s="41"/>
      <c r="AD83" s="47"/>
      <c r="AE83" s="45"/>
      <c r="AF83" s="45"/>
      <c r="AG83" s="47"/>
      <c r="AH83" s="41"/>
      <c r="AI83" s="47"/>
      <c r="AJ83" s="47"/>
    </row>
    <row r="84" spans="1:36" x14ac:dyDescent="0.25">
      <c r="A84" s="40"/>
      <c r="B84" s="41"/>
      <c r="C84" s="42"/>
      <c r="D84" s="43"/>
      <c r="E84" s="44"/>
      <c r="F84" s="41"/>
      <c r="G84" s="45"/>
      <c r="H84" s="45"/>
      <c r="I84" s="46"/>
      <c r="J84" s="46"/>
      <c r="K84" s="47"/>
      <c r="L84" s="47"/>
      <c r="M84" s="47"/>
      <c r="N84" s="41"/>
      <c r="O84" s="47"/>
      <c r="P84" s="47"/>
      <c r="Q84" s="47"/>
      <c r="R84" s="41"/>
      <c r="S84" s="41"/>
      <c r="T84" s="41"/>
      <c r="U84" s="48" t="str">
        <f>IF(AND(EXPEDIDAS_INGRESOS!S84="",EXPEDIDAS_INGRESOS!T84=""),"",IF(EXPEDIDAS_INGRESOS!S84="S1",SUM(V84,X84,Z84),V84))</f>
        <v/>
      </c>
      <c r="V84" s="49"/>
      <c r="W84" s="50"/>
      <c r="X84" s="48"/>
      <c r="Y84" s="50"/>
      <c r="Z84" s="48" t="str">
        <f t="shared" si="1"/>
        <v/>
      </c>
      <c r="AA84" s="46"/>
      <c r="AB84" s="49"/>
      <c r="AC84" s="41"/>
      <c r="AD84" s="47"/>
      <c r="AE84" s="45"/>
      <c r="AF84" s="45"/>
      <c r="AG84" s="47"/>
      <c r="AH84" s="41"/>
      <c r="AI84" s="47"/>
      <c r="AJ84" s="47"/>
    </row>
    <row r="85" spans="1:36" x14ac:dyDescent="0.25">
      <c r="A85" s="40"/>
      <c r="B85" s="41"/>
      <c r="C85" s="42"/>
      <c r="D85" s="43"/>
      <c r="E85" s="44"/>
      <c r="F85" s="41"/>
      <c r="G85" s="45"/>
      <c r="H85" s="45"/>
      <c r="I85" s="46"/>
      <c r="J85" s="46"/>
      <c r="K85" s="47"/>
      <c r="L85" s="47"/>
      <c r="M85" s="47"/>
      <c r="N85" s="41"/>
      <c r="O85" s="47"/>
      <c r="P85" s="47"/>
      <c r="Q85" s="47"/>
      <c r="R85" s="41"/>
      <c r="S85" s="41"/>
      <c r="T85" s="41"/>
      <c r="U85" s="48" t="str">
        <f>IF(AND(EXPEDIDAS_INGRESOS!S85="",EXPEDIDAS_INGRESOS!T85=""),"",IF(EXPEDIDAS_INGRESOS!S85="S1",SUM(V85,X85,Z85),V85))</f>
        <v/>
      </c>
      <c r="V85" s="49"/>
      <c r="W85" s="50"/>
      <c r="X85" s="48"/>
      <c r="Y85" s="50"/>
      <c r="Z85" s="48" t="str">
        <f t="shared" si="1"/>
        <v/>
      </c>
      <c r="AA85" s="46"/>
      <c r="AB85" s="49"/>
      <c r="AC85" s="41"/>
      <c r="AD85" s="47"/>
      <c r="AE85" s="45"/>
      <c r="AF85" s="45"/>
      <c r="AG85" s="47"/>
      <c r="AH85" s="41"/>
      <c r="AI85" s="47"/>
      <c r="AJ85" s="47"/>
    </row>
    <row r="86" spans="1:36" x14ac:dyDescent="0.25">
      <c r="A86" s="40"/>
      <c r="B86" s="41"/>
      <c r="C86" s="42"/>
      <c r="D86" s="43"/>
      <c r="E86" s="44"/>
      <c r="F86" s="41"/>
      <c r="G86" s="45"/>
      <c r="H86" s="45"/>
      <c r="I86" s="46"/>
      <c r="J86" s="46"/>
      <c r="K86" s="47"/>
      <c r="L86" s="47"/>
      <c r="M86" s="47"/>
      <c r="N86" s="41"/>
      <c r="O86" s="47"/>
      <c r="P86" s="47"/>
      <c r="Q86" s="47"/>
      <c r="R86" s="41"/>
      <c r="S86" s="41"/>
      <c r="T86" s="41"/>
      <c r="U86" s="48" t="str">
        <f>IF(AND(EXPEDIDAS_INGRESOS!S86="",EXPEDIDAS_INGRESOS!T86=""),"",IF(EXPEDIDAS_INGRESOS!S86="S1",SUM(V86,X86,Z86),V86))</f>
        <v/>
      </c>
      <c r="V86" s="49"/>
      <c r="W86" s="50"/>
      <c r="X86" s="48"/>
      <c r="Y86" s="50"/>
      <c r="Z86" s="48" t="str">
        <f t="shared" si="1"/>
        <v/>
      </c>
      <c r="AA86" s="46"/>
      <c r="AB86" s="49"/>
      <c r="AC86" s="41"/>
      <c r="AD86" s="47"/>
      <c r="AE86" s="45"/>
      <c r="AF86" s="45"/>
      <c r="AG86" s="47"/>
      <c r="AH86" s="41"/>
      <c r="AI86" s="47"/>
      <c r="AJ86" s="47"/>
    </row>
    <row r="87" spans="1:36" x14ac:dyDescent="0.25">
      <c r="A87" s="40"/>
      <c r="B87" s="41"/>
      <c r="C87" s="42"/>
      <c r="D87" s="43"/>
      <c r="E87" s="44"/>
      <c r="F87" s="41"/>
      <c r="G87" s="45"/>
      <c r="H87" s="45"/>
      <c r="I87" s="46"/>
      <c r="J87" s="46"/>
      <c r="K87" s="47"/>
      <c r="L87" s="47"/>
      <c r="M87" s="47"/>
      <c r="N87" s="41"/>
      <c r="O87" s="47"/>
      <c r="P87" s="47"/>
      <c r="Q87" s="47"/>
      <c r="R87" s="41"/>
      <c r="S87" s="41"/>
      <c r="T87" s="41"/>
      <c r="U87" s="48" t="str">
        <f>IF(AND(EXPEDIDAS_INGRESOS!S87="",EXPEDIDAS_INGRESOS!T87=""),"",IF(EXPEDIDAS_INGRESOS!S87="S1",SUM(V87,X87,Z87),V87))</f>
        <v/>
      </c>
      <c r="V87" s="49"/>
      <c r="W87" s="50"/>
      <c r="X87" s="48"/>
      <c r="Y87" s="50"/>
      <c r="Z87" s="48" t="str">
        <f t="shared" si="1"/>
        <v/>
      </c>
      <c r="AA87" s="46"/>
      <c r="AB87" s="49"/>
      <c r="AC87" s="41"/>
      <c r="AD87" s="47"/>
      <c r="AE87" s="45"/>
      <c r="AF87" s="45"/>
      <c r="AG87" s="47"/>
      <c r="AH87" s="41"/>
      <c r="AI87" s="47"/>
      <c r="AJ87" s="47"/>
    </row>
    <row r="88" spans="1:36" x14ac:dyDescent="0.25">
      <c r="A88" s="40"/>
      <c r="B88" s="41"/>
      <c r="C88" s="42"/>
      <c r="D88" s="43"/>
      <c r="E88" s="44"/>
      <c r="F88" s="41"/>
      <c r="G88" s="45"/>
      <c r="H88" s="45"/>
      <c r="I88" s="46"/>
      <c r="J88" s="46"/>
      <c r="K88" s="47"/>
      <c r="L88" s="47"/>
      <c r="M88" s="47"/>
      <c r="N88" s="41"/>
      <c r="O88" s="47"/>
      <c r="P88" s="47"/>
      <c r="Q88" s="47"/>
      <c r="R88" s="41"/>
      <c r="S88" s="41"/>
      <c r="T88" s="41"/>
      <c r="U88" s="48" t="str">
        <f>IF(AND(EXPEDIDAS_INGRESOS!S88="",EXPEDIDAS_INGRESOS!T88=""),"",IF(EXPEDIDAS_INGRESOS!S88="S1",SUM(V88,X88,Z88),V88))</f>
        <v/>
      </c>
      <c r="V88" s="49"/>
      <c r="W88" s="50"/>
      <c r="X88" s="48"/>
      <c r="Y88" s="50"/>
      <c r="Z88" s="48" t="str">
        <f t="shared" si="1"/>
        <v/>
      </c>
      <c r="AA88" s="46"/>
      <c r="AB88" s="49"/>
      <c r="AC88" s="41"/>
      <c r="AD88" s="47"/>
      <c r="AE88" s="45"/>
      <c r="AF88" s="45"/>
      <c r="AG88" s="47"/>
      <c r="AH88" s="41"/>
      <c r="AI88" s="47"/>
      <c r="AJ88" s="47"/>
    </row>
    <row r="89" spans="1:36" x14ac:dyDescent="0.25">
      <c r="A89" s="40"/>
      <c r="B89" s="41"/>
      <c r="C89" s="42"/>
      <c r="D89" s="43"/>
      <c r="E89" s="44"/>
      <c r="F89" s="41"/>
      <c r="G89" s="45"/>
      <c r="H89" s="45"/>
      <c r="I89" s="46"/>
      <c r="J89" s="46"/>
      <c r="K89" s="47"/>
      <c r="L89" s="47"/>
      <c r="M89" s="47"/>
      <c r="N89" s="41"/>
      <c r="O89" s="47"/>
      <c r="P89" s="47"/>
      <c r="Q89" s="47"/>
      <c r="R89" s="41"/>
      <c r="S89" s="41"/>
      <c r="T89" s="41"/>
      <c r="U89" s="48" t="str">
        <f>IF(AND(EXPEDIDAS_INGRESOS!S89="",EXPEDIDAS_INGRESOS!T89=""),"",IF(EXPEDIDAS_INGRESOS!S89="S1",SUM(V89,X89,Z89),V89))</f>
        <v/>
      </c>
      <c r="V89" s="49"/>
      <c r="W89" s="50"/>
      <c r="X89" s="48"/>
      <c r="Y89" s="50"/>
      <c r="Z89" s="48" t="str">
        <f t="shared" si="1"/>
        <v/>
      </c>
      <c r="AA89" s="46"/>
      <c r="AB89" s="49"/>
      <c r="AC89" s="41"/>
      <c r="AD89" s="47"/>
      <c r="AE89" s="45"/>
      <c r="AF89" s="45"/>
      <c r="AG89" s="47"/>
      <c r="AH89" s="41"/>
      <c r="AI89" s="47"/>
      <c r="AJ89" s="47"/>
    </row>
    <row r="90" spans="1:36" x14ac:dyDescent="0.25">
      <c r="A90" s="40"/>
      <c r="B90" s="41"/>
      <c r="C90" s="42"/>
      <c r="D90" s="43"/>
      <c r="E90" s="44"/>
      <c r="F90" s="41"/>
      <c r="G90" s="45"/>
      <c r="H90" s="45"/>
      <c r="I90" s="46"/>
      <c r="J90" s="46"/>
      <c r="K90" s="47"/>
      <c r="L90" s="47"/>
      <c r="M90" s="47"/>
      <c r="N90" s="41"/>
      <c r="O90" s="47"/>
      <c r="P90" s="47"/>
      <c r="Q90" s="47"/>
      <c r="R90" s="41"/>
      <c r="S90" s="41"/>
      <c r="T90" s="41"/>
      <c r="U90" s="48" t="str">
        <f>IF(AND(EXPEDIDAS_INGRESOS!S90="",EXPEDIDAS_INGRESOS!T90=""),"",IF(EXPEDIDAS_INGRESOS!S90="S1",SUM(V90,X90,Z90),V90))</f>
        <v/>
      </c>
      <c r="V90" s="49"/>
      <c r="W90" s="50"/>
      <c r="X90" s="48"/>
      <c r="Y90" s="50"/>
      <c r="Z90" s="48" t="str">
        <f t="shared" si="1"/>
        <v/>
      </c>
      <c r="AA90" s="46"/>
      <c r="AB90" s="49"/>
      <c r="AC90" s="41"/>
      <c r="AD90" s="47"/>
      <c r="AE90" s="45"/>
      <c r="AF90" s="45"/>
      <c r="AG90" s="47"/>
      <c r="AH90" s="41"/>
      <c r="AI90" s="47"/>
      <c r="AJ90" s="47"/>
    </row>
    <row r="91" spans="1:36" x14ac:dyDescent="0.25">
      <c r="A91" s="40"/>
      <c r="B91" s="41"/>
      <c r="C91" s="42"/>
      <c r="D91" s="43"/>
      <c r="E91" s="44"/>
      <c r="F91" s="41"/>
      <c r="G91" s="45"/>
      <c r="H91" s="45"/>
      <c r="I91" s="46"/>
      <c r="J91" s="46"/>
      <c r="K91" s="47"/>
      <c r="L91" s="47"/>
      <c r="M91" s="47"/>
      <c r="N91" s="41"/>
      <c r="O91" s="47"/>
      <c r="P91" s="47"/>
      <c r="Q91" s="47"/>
      <c r="R91" s="41"/>
      <c r="S91" s="41"/>
      <c r="T91" s="41"/>
      <c r="U91" s="48" t="str">
        <f>IF(AND(EXPEDIDAS_INGRESOS!S91="",EXPEDIDAS_INGRESOS!T91=""),"",IF(EXPEDIDAS_INGRESOS!S91="S1",SUM(V91,X91,Z91),V91))</f>
        <v/>
      </c>
      <c r="V91" s="49"/>
      <c r="W91" s="50"/>
      <c r="X91" s="48"/>
      <c r="Y91" s="50"/>
      <c r="Z91" s="48" t="str">
        <f t="shared" si="1"/>
        <v/>
      </c>
      <c r="AA91" s="46"/>
      <c r="AB91" s="49"/>
      <c r="AC91" s="41"/>
      <c r="AD91" s="47"/>
      <c r="AE91" s="45"/>
      <c r="AF91" s="45"/>
      <c r="AG91" s="47"/>
      <c r="AH91" s="41"/>
      <c r="AI91" s="47"/>
      <c r="AJ91" s="47"/>
    </row>
    <row r="92" spans="1:36" x14ac:dyDescent="0.25">
      <c r="A92" s="40"/>
      <c r="B92" s="41"/>
      <c r="C92" s="42"/>
      <c r="D92" s="43"/>
      <c r="E92" s="44"/>
      <c r="F92" s="41"/>
      <c r="G92" s="45"/>
      <c r="H92" s="45"/>
      <c r="I92" s="46"/>
      <c r="J92" s="46"/>
      <c r="K92" s="47"/>
      <c r="L92" s="47"/>
      <c r="M92" s="47"/>
      <c r="N92" s="41"/>
      <c r="O92" s="47"/>
      <c r="P92" s="47"/>
      <c r="Q92" s="47"/>
      <c r="R92" s="41"/>
      <c r="S92" s="41"/>
      <c r="T92" s="41"/>
      <c r="U92" s="48" t="str">
        <f>IF(AND(EXPEDIDAS_INGRESOS!S92="",EXPEDIDAS_INGRESOS!T92=""),"",IF(EXPEDIDAS_INGRESOS!S92="S1",SUM(V92,X92,Z92),V92))</f>
        <v/>
      </c>
      <c r="V92" s="49"/>
      <c r="W92" s="50"/>
      <c r="X92" s="48"/>
      <c r="Y92" s="50"/>
      <c r="Z92" s="48" t="str">
        <f t="shared" si="1"/>
        <v/>
      </c>
      <c r="AA92" s="46"/>
      <c r="AB92" s="49"/>
      <c r="AC92" s="41"/>
      <c r="AD92" s="47"/>
      <c r="AE92" s="45"/>
      <c r="AF92" s="45"/>
      <c r="AG92" s="47"/>
      <c r="AH92" s="41"/>
      <c r="AI92" s="47"/>
      <c r="AJ92" s="47"/>
    </row>
    <row r="93" spans="1:36" x14ac:dyDescent="0.25">
      <c r="A93" s="40"/>
      <c r="B93" s="41"/>
      <c r="C93" s="42"/>
      <c r="D93" s="43"/>
      <c r="E93" s="44"/>
      <c r="F93" s="41"/>
      <c r="G93" s="45"/>
      <c r="H93" s="45"/>
      <c r="I93" s="46"/>
      <c r="J93" s="46"/>
      <c r="K93" s="47"/>
      <c r="L93" s="47"/>
      <c r="M93" s="47"/>
      <c r="N93" s="41"/>
      <c r="O93" s="47"/>
      <c r="P93" s="47"/>
      <c r="Q93" s="47"/>
      <c r="R93" s="41"/>
      <c r="S93" s="41"/>
      <c r="T93" s="41"/>
      <c r="U93" s="48" t="str">
        <f>IF(AND(EXPEDIDAS_INGRESOS!S93="",EXPEDIDAS_INGRESOS!T93=""),"",IF(EXPEDIDAS_INGRESOS!S93="S1",SUM(V93,X93,Z93),V93))</f>
        <v/>
      </c>
      <c r="V93" s="49"/>
      <c r="W93" s="50"/>
      <c r="X93" s="48"/>
      <c r="Y93" s="50"/>
      <c r="Z93" s="48" t="str">
        <f t="shared" si="1"/>
        <v/>
      </c>
      <c r="AA93" s="46"/>
      <c r="AB93" s="49"/>
      <c r="AC93" s="41"/>
      <c r="AD93" s="47"/>
      <c r="AE93" s="45"/>
      <c r="AF93" s="45"/>
      <c r="AG93" s="47"/>
      <c r="AH93" s="41"/>
      <c r="AI93" s="47"/>
      <c r="AJ93" s="47"/>
    </row>
    <row r="94" spans="1:36" x14ac:dyDescent="0.25">
      <c r="A94" s="40"/>
      <c r="B94" s="41"/>
      <c r="C94" s="42"/>
      <c r="D94" s="43"/>
      <c r="E94" s="44"/>
      <c r="F94" s="41"/>
      <c r="G94" s="45"/>
      <c r="H94" s="45"/>
      <c r="I94" s="46"/>
      <c r="J94" s="46"/>
      <c r="K94" s="47"/>
      <c r="L94" s="47"/>
      <c r="M94" s="47"/>
      <c r="N94" s="41"/>
      <c r="O94" s="47"/>
      <c r="P94" s="47"/>
      <c r="Q94" s="47"/>
      <c r="R94" s="41"/>
      <c r="S94" s="41"/>
      <c r="T94" s="41"/>
      <c r="U94" s="48" t="str">
        <f>IF(AND(EXPEDIDAS_INGRESOS!S94="",EXPEDIDAS_INGRESOS!T94=""),"",IF(EXPEDIDAS_INGRESOS!S94="S1",SUM(V94,X94,Z94),V94))</f>
        <v/>
      </c>
      <c r="V94" s="49"/>
      <c r="W94" s="50"/>
      <c r="X94" s="48"/>
      <c r="Y94" s="50"/>
      <c r="Z94" s="48" t="str">
        <f t="shared" si="1"/>
        <v/>
      </c>
      <c r="AA94" s="46"/>
      <c r="AB94" s="49"/>
      <c r="AC94" s="41"/>
      <c r="AD94" s="47"/>
      <c r="AE94" s="45"/>
      <c r="AF94" s="45"/>
      <c r="AG94" s="47"/>
      <c r="AH94" s="41"/>
      <c r="AI94" s="47"/>
      <c r="AJ94" s="47"/>
    </row>
    <row r="95" spans="1:36" x14ac:dyDescent="0.25">
      <c r="A95" s="40"/>
      <c r="B95" s="41"/>
      <c r="C95" s="42"/>
      <c r="D95" s="43"/>
      <c r="E95" s="44"/>
      <c r="F95" s="41"/>
      <c r="G95" s="45"/>
      <c r="H95" s="45"/>
      <c r="I95" s="46"/>
      <c r="J95" s="46"/>
      <c r="K95" s="47"/>
      <c r="L95" s="47"/>
      <c r="M95" s="47"/>
      <c r="N95" s="41"/>
      <c r="O95" s="47"/>
      <c r="P95" s="47"/>
      <c r="Q95" s="47"/>
      <c r="R95" s="41"/>
      <c r="S95" s="41"/>
      <c r="T95" s="41"/>
      <c r="U95" s="48" t="str">
        <f>IF(AND(EXPEDIDAS_INGRESOS!S95="",EXPEDIDAS_INGRESOS!T95=""),"",IF(EXPEDIDAS_INGRESOS!S95="S1",SUM(V95,X95,Z95),V95))</f>
        <v/>
      </c>
      <c r="V95" s="49"/>
      <c r="W95" s="50"/>
      <c r="X95" s="48"/>
      <c r="Y95" s="50"/>
      <c r="Z95" s="48" t="str">
        <f t="shared" si="1"/>
        <v/>
      </c>
      <c r="AA95" s="46"/>
      <c r="AB95" s="49"/>
      <c r="AC95" s="41"/>
      <c r="AD95" s="47"/>
      <c r="AE95" s="45"/>
      <c r="AF95" s="45"/>
      <c r="AG95" s="47"/>
      <c r="AH95" s="41"/>
      <c r="AI95" s="47"/>
      <c r="AJ95" s="47"/>
    </row>
    <row r="96" spans="1:36" x14ac:dyDescent="0.25">
      <c r="A96" s="40"/>
      <c r="B96" s="41"/>
      <c r="C96" s="42"/>
      <c r="D96" s="43"/>
      <c r="E96" s="44"/>
      <c r="F96" s="41"/>
      <c r="G96" s="45"/>
      <c r="H96" s="45"/>
      <c r="I96" s="46"/>
      <c r="J96" s="46"/>
      <c r="K96" s="47"/>
      <c r="L96" s="47"/>
      <c r="M96" s="47"/>
      <c r="N96" s="41"/>
      <c r="O96" s="47"/>
      <c r="P96" s="47"/>
      <c r="Q96" s="47"/>
      <c r="R96" s="41"/>
      <c r="S96" s="41"/>
      <c r="T96" s="41"/>
      <c r="U96" s="48" t="str">
        <f>IF(AND(EXPEDIDAS_INGRESOS!S96="",EXPEDIDAS_INGRESOS!T96=""),"",IF(EXPEDIDAS_INGRESOS!S96="S1",SUM(V96,X96,Z96),V96))</f>
        <v/>
      </c>
      <c r="V96" s="49"/>
      <c r="W96" s="50"/>
      <c r="X96" s="48"/>
      <c r="Y96" s="50"/>
      <c r="Z96" s="48" t="str">
        <f t="shared" si="1"/>
        <v/>
      </c>
      <c r="AA96" s="46"/>
      <c r="AB96" s="49"/>
      <c r="AC96" s="41"/>
      <c r="AD96" s="47"/>
      <c r="AE96" s="45"/>
      <c r="AF96" s="45"/>
      <c r="AG96" s="47"/>
      <c r="AH96" s="41"/>
      <c r="AI96" s="47"/>
      <c r="AJ96" s="47"/>
    </row>
    <row r="97" spans="1:36" x14ac:dyDescent="0.25">
      <c r="A97" s="40"/>
      <c r="B97" s="41"/>
      <c r="C97" s="42"/>
      <c r="D97" s="43"/>
      <c r="E97" s="44"/>
      <c r="F97" s="41"/>
      <c r="G97" s="45"/>
      <c r="H97" s="45"/>
      <c r="I97" s="46"/>
      <c r="J97" s="46"/>
      <c r="K97" s="47"/>
      <c r="L97" s="47"/>
      <c r="M97" s="47"/>
      <c r="N97" s="41"/>
      <c r="O97" s="47"/>
      <c r="P97" s="47"/>
      <c r="Q97" s="47"/>
      <c r="R97" s="41"/>
      <c r="S97" s="41"/>
      <c r="T97" s="41"/>
      <c r="U97" s="48" t="str">
        <f>IF(AND(EXPEDIDAS_INGRESOS!S97="",EXPEDIDAS_INGRESOS!T97=""),"",IF(EXPEDIDAS_INGRESOS!S97="S1",SUM(V97,X97,Z97),V97))</f>
        <v/>
      </c>
      <c r="V97" s="49"/>
      <c r="W97" s="50"/>
      <c r="X97" s="48"/>
      <c r="Y97" s="50"/>
      <c r="Z97" s="48" t="str">
        <f t="shared" si="1"/>
        <v/>
      </c>
      <c r="AA97" s="46"/>
      <c r="AB97" s="49"/>
      <c r="AC97" s="41"/>
      <c r="AD97" s="47"/>
      <c r="AE97" s="45"/>
      <c r="AF97" s="45"/>
      <c r="AG97" s="47"/>
      <c r="AH97" s="41"/>
      <c r="AI97" s="47"/>
      <c r="AJ97" s="47"/>
    </row>
    <row r="98" spans="1:36" x14ac:dyDescent="0.25">
      <c r="A98" s="40"/>
      <c r="B98" s="41"/>
      <c r="C98" s="42"/>
      <c r="D98" s="43"/>
      <c r="E98" s="44"/>
      <c r="F98" s="41"/>
      <c r="G98" s="45"/>
      <c r="H98" s="45"/>
      <c r="I98" s="46"/>
      <c r="J98" s="46"/>
      <c r="K98" s="47"/>
      <c r="L98" s="47"/>
      <c r="M98" s="47"/>
      <c r="N98" s="41"/>
      <c r="O98" s="47"/>
      <c r="P98" s="47"/>
      <c r="Q98" s="47"/>
      <c r="R98" s="41"/>
      <c r="S98" s="41"/>
      <c r="T98" s="41"/>
      <c r="U98" s="48" t="str">
        <f>IF(AND(EXPEDIDAS_INGRESOS!S98="",EXPEDIDAS_INGRESOS!T98=""),"",IF(EXPEDIDAS_INGRESOS!S98="S1",SUM(V98,X98,Z98),V98))</f>
        <v/>
      </c>
      <c r="V98" s="49"/>
      <c r="W98" s="50"/>
      <c r="X98" s="48"/>
      <c r="Y98" s="50"/>
      <c r="Z98" s="48" t="str">
        <f t="shared" si="1"/>
        <v/>
      </c>
      <c r="AA98" s="46"/>
      <c r="AB98" s="49"/>
      <c r="AC98" s="41"/>
      <c r="AD98" s="47"/>
      <c r="AE98" s="45"/>
      <c r="AF98" s="45"/>
      <c r="AG98" s="47"/>
      <c r="AH98" s="41"/>
      <c r="AI98" s="47"/>
      <c r="AJ98" s="47"/>
    </row>
    <row r="99" spans="1:36" x14ac:dyDescent="0.25">
      <c r="A99" s="40"/>
      <c r="B99" s="41"/>
      <c r="C99" s="42"/>
      <c r="D99" s="43"/>
      <c r="E99" s="44"/>
      <c r="F99" s="41"/>
      <c r="G99" s="45"/>
      <c r="H99" s="45"/>
      <c r="I99" s="46"/>
      <c r="J99" s="46"/>
      <c r="K99" s="47"/>
      <c r="L99" s="47"/>
      <c r="M99" s="47"/>
      <c r="N99" s="41"/>
      <c r="O99" s="47"/>
      <c r="P99" s="47"/>
      <c r="Q99" s="47"/>
      <c r="R99" s="41"/>
      <c r="S99" s="41"/>
      <c r="T99" s="41"/>
      <c r="U99" s="48" t="str">
        <f>IF(AND(EXPEDIDAS_INGRESOS!S99="",EXPEDIDAS_INGRESOS!T99=""),"",IF(EXPEDIDAS_INGRESOS!S99="S1",SUM(V99,X99,Z99),V99))</f>
        <v/>
      </c>
      <c r="V99" s="49"/>
      <c r="W99" s="50"/>
      <c r="X99" s="48"/>
      <c r="Y99" s="50"/>
      <c r="Z99" s="48" t="str">
        <f t="shared" si="1"/>
        <v/>
      </c>
      <c r="AA99" s="46"/>
      <c r="AB99" s="49"/>
      <c r="AC99" s="41"/>
      <c r="AD99" s="47"/>
      <c r="AE99" s="45"/>
      <c r="AF99" s="45"/>
      <c r="AG99" s="47"/>
      <c r="AH99" s="41"/>
      <c r="AI99" s="47"/>
      <c r="AJ99" s="47"/>
    </row>
    <row r="100" spans="1:36" x14ac:dyDescent="0.25">
      <c r="A100" s="40"/>
      <c r="B100" s="41"/>
      <c r="C100" s="42"/>
      <c r="D100" s="43"/>
      <c r="E100" s="44"/>
      <c r="F100" s="41"/>
      <c r="G100" s="45"/>
      <c r="H100" s="45"/>
      <c r="I100" s="46"/>
      <c r="J100" s="46"/>
      <c r="K100" s="47"/>
      <c r="L100" s="47"/>
      <c r="M100" s="47"/>
      <c r="N100" s="41"/>
      <c r="O100" s="47"/>
      <c r="P100" s="47"/>
      <c r="Q100" s="47"/>
      <c r="R100" s="41"/>
      <c r="S100" s="41"/>
      <c r="T100" s="41"/>
      <c r="U100" s="48" t="str">
        <f>IF(AND(EXPEDIDAS_INGRESOS!S100="",EXPEDIDAS_INGRESOS!T100=""),"",IF(EXPEDIDAS_INGRESOS!S100="S1",SUM(V100,X100,Z100),V100))</f>
        <v/>
      </c>
      <c r="V100" s="49"/>
      <c r="W100" s="50"/>
      <c r="X100" s="48"/>
      <c r="Y100" s="50"/>
      <c r="Z100" s="48" t="str">
        <f t="shared" ref="Z100:Z103" si="2">IF(OR(V100="",Y100=""),"",V100*Y100/100)</f>
        <v/>
      </c>
      <c r="AA100" s="46"/>
      <c r="AB100" s="49"/>
      <c r="AC100" s="41"/>
      <c r="AD100" s="47"/>
      <c r="AE100" s="45"/>
      <c r="AF100" s="45"/>
      <c r="AG100" s="47"/>
      <c r="AH100" s="41"/>
      <c r="AI100" s="47"/>
      <c r="AJ100" s="47"/>
    </row>
    <row r="101" spans="1:36" x14ac:dyDescent="0.25">
      <c r="A101" s="40"/>
      <c r="B101" s="41"/>
      <c r="C101" s="42"/>
      <c r="D101" s="43"/>
      <c r="E101" s="44"/>
      <c r="F101" s="41"/>
      <c r="G101" s="45"/>
      <c r="H101" s="45"/>
      <c r="I101" s="46"/>
      <c r="J101" s="46"/>
      <c r="K101" s="47"/>
      <c r="L101" s="47"/>
      <c r="M101" s="47"/>
      <c r="N101" s="41"/>
      <c r="O101" s="47"/>
      <c r="P101" s="47"/>
      <c r="Q101" s="47"/>
      <c r="R101" s="41"/>
      <c r="S101" s="41"/>
      <c r="T101" s="41"/>
      <c r="U101" s="48" t="str">
        <f>IF(AND(EXPEDIDAS_INGRESOS!S101="",EXPEDIDAS_INGRESOS!T101=""),"",IF(EXPEDIDAS_INGRESOS!S101="S1",SUM(V101,X101,Z101),V101))</f>
        <v/>
      </c>
      <c r="V101" s="49"/>
      <c r="W101" s="50"/>
      <c r="X101" s="48"/>
      <c r="Y101" s="50"/>
      <c r="Z101" s="48" t="str">
        <f t="shared" si="2"/>
        <v/>
      </c>
      <c r="AA101" s="46"/>
      <c r="AB101" s="49"/>
      <c r="AC101" s="41"/>
      <c r="AD101" s="47"/>
      <c r="AE101" s="45"/>
      <c r="AF101" s="45"/>
      <c r="AG101" s="47"/>
      <c r="AH101" s="41"/>
      <c r="AI101" s="47"/>
      <c r="AJ101" s="47"/>
    </row>
    <row r="102" spans="1:36" x14ac:dyDescent="0.25">
      <c r="A102" s="40"/>
      <c r="B102" s="41"/>
      <c r="C102" s="42"/>
      <c r="D102" s="43"/>
      <c r="E102" s="44"/>
      <c r="F102" s="41"/>
      <c r="G102" s="45"/>
      <c r="H102" s="45"/>
      <c r="I102" s="46"/>
      <c r="J102" s="46"/>
      <c r="K102" s="47"/>
      <c r="L102" s="47"/>
      <c r="M102" s="47"/>
      <c r="N102" s="41"/>
      <c r="O102" s="47"/>
      <c r="P102" s="47"/>
      <c r="Q102" s="47"/>
      <c r="R102" s="41"/>
      <c r="S102" s="41"/>
      <c r="T102" s="41"/>
      <c r="U102" s="48" t="str">
        <f>IF(AND(EXPEDIDAS_INGRESOS!S102="",EXPEDIDAS_INGRESOS!T102=""),"",IF(EXPEDIDAS_INGRESOS!S102="S1",SUM(V102,X102,Z102),V102))</f>
        <v/>
      </c>
      <c r="V102" s="49"/>
      <c r="W102" s="50"/>
      <c r="X102" s="48"/>
      <c r="Y102" s="50"/>
      <c r="Z102" s="48" t="str">
        <f t="shared" si="2"/>
        <v/>
      </c>
      <c r="AA102" s="46"/>
      <c r="AB102" s="49"/>
      <c r="AC102" s="41"/>
      <c r="AD102" s="47"/>
      <c r="AE102" s="45"/>
      <c r="AF102" s="45"/>
      <c r="AG102" s="47"/>
      <c r="AH102" s="41"/>
      <c r="AI102" s="47"/>
      <c r="AJ102" s="47"/>
    </row>
    <row r="103" spans="1:36" x14ac:dyDescent="0.25">
      <c r="A103" s="40"/>
      <c r="B103" s="41"/>
      <c r="C103" s="42"/>
      <c r="D103" s="43"/>
      <c r="E103" s="44"/>
      <c r="F103" s="41"/>
      <c r="G103" s="45"/>
      <c r="H103" s="45"/>
      <c r="I103" s="46"/>
      <c r="J103" s="46"/>
      <c r="K103" s="47"/>
      <c r="L103" s="47"/>
      <c r="M103" s="47"/>
      <c r="N103" s="41"/>
      <c r="O103" s="47"/>
      <c r="P103" s="47"/>
      <c r="Q103" s="47"/>
      <c r="R103" s="41"/>
      <c r="S103" s="41"/>
      <c r="T103" s="41"/>
      <c r="U103" s="48" t="str">
        <f>IF(AND(EXPEDIDAS_INGRESOS!S103="",EXPEDIDAS_INGRESOS!T103=""),"",IF(EXPEDIDAS_INGRESOS!S103="S1",SUM(V103,X103,Z103),V103))</f>
        <v/>
      </c>
      <c r="V103" s="49"/>
      <c r="W103" s="50"/>
      <c r="X103" s="48"/>
      <c r="Y103" s="50"/>
      <c r="Z103" s="48" t="str">
        <f t="shared" si="2"/>
        <v/>
      </c>
      <c r="AA103" s="46"/>
      <c r="AB103" s="49"/>
      <c r="AC103" s="41"/>
      <c r="AD103" s="47"/>
      <c r="AE103" s="45"/>
      <c r="AF103" s="45"/>
      <c r="AG103" s="47"/>
      <c r="AH103" s="41"/>
      <c r="AI103" s="47"/>
      <c r="AJ103" s="47"/>
    </row>
  </sheetData>
  <sheetProtection algorithmName="SHA-512" hashValue="f+1pdPvY0P7glFUZGynaUfH5s8Zm9/a0IyJN3p5hpACxilaOhjK1Vxcfwbe/mwiUAWe61YTksf4LHMF96Vj8tA==" saltValue="m2sMqhROkoxXDiH55kbSgw==" spinCount="100000" sheet="1" formatCells="0" formatColumns="0" formatRows="0" sort="0" autoFilter="0"/>
  <mergeCells count="42">
    <mergeCell ref="AF1:AF3"/>
    <mergeCell ref="AG1:AG3"/>
    <mergeCell ref="AI2:AI3"/>
    <mergeCell ref="AJ1:AJ3"/>
    <mergeCell ref="A1:B1"/>
    <mergeCell ref="A2:A3"/>
    <mergeCell ref="B2:B3"/>
    <mergeCell ref="E2:E3"/>
    <mergeCell ref="H1:H3"/>
    <mergeCell ref="K1:M1"/>
    <mergeCell ref="N1:P1"/>
    <mergeCell ref="C1:E1"/>
    <mergeCell ref="I1:I3"/>
    <mergeCell ref="J1:J3"/>
    <mergeCell ref="K2:K3"/>
    <mergeCell ref="L2:L3"/>
    <mergeCell ref="AE1:AE3"/>
    <mergeCell ref="S1:S3"/>
    <mergeCell ref="V1:V3"/>
    <mergeCell ref="W1:W3"/>
    <mergeCell ref="X1:X3"/>
    <mergeCell ref="Y1:Y3"/>
    <mergeCell ref="Z1:Z3"/>
    <mergeCell ref="T1:T3"/>
    <mergeCell ref="AC2:AC3"/>
    <mergeCell ref="AA1:AD1"/>
    <mergeCell ref="AH1:AI1"/>
    <mergeCell ref="C2:C3"/>
    <mergeCell ref="D2:D3"/>
    <mergeCell ref="F1:F3"/>
    <mergeCell ref="G1:G3"/>
    <mergeCell ref="N2:N3"/>
    <mergeCell ref="R1:R3"/>
    <mergeCell ref="M2:M3"/>
    <mergeCell ref="O2:O3"/>
    <mergeCell ref="P2:P3"/>
    <mergeCell ref="Q1:Q3"/>
    <mergeCell ref="AH2:AH3"/>
    <mergeCell ref="U1:U3"/>
    <mergeCell ref="AA2:AA3"/>
    <mergeCell ref="AB2:AB3"/>
    <mergeCell ref="AD2:AD3"/>
  </mergeCells>
  <conditionalFormatting sqref="S4 S6 S9 S11 S13 S15 S17 S19 S21 S23 S25 S27 S29 S31 S33 S35">
    <cfRule type="aboveAverage" dxfId="36" priority="44"/>
  </conditionalFormatting>
  <conditionalFormatting sqref="S4:S103">
    <cfRule type="expression" dxfId="35" priority="43">
      <formula>AND(OR(LEFT($R4,2)="01",LEFT($R4,2)="04",LEFT($R4,2)="05",LEFT($R4,2)="12"),OR(LEFT($F4,2)="F1",LEFT($F4,2)="F3",LEFT($F4,2)="R1",LEFT($F4,2)="R2",LEFT($F4,2)="R3",LEFT($F4,2)="R4"))</formula>
    </cfRule>
  </conditionalFormatting>
  <conditionalFormatting sqref="S5 S7:S8 S10 S12 S14 S16 S18 S20 S22 S24 S26 S28 S30 S32 S34">
    <cfRule type="aboveAverage" dxfId="34" priority="46"/>
  </conditionalFormatting>
  <conditionalFormatting sqref="S36:S103">
    <cfRule type="aboveAverage" dxfId="33" priority="391"/>
  </conditionalFormatting>
  <conditionalFormatting sqref="T4:T103">
    <cfRule type="expression" dxfId="32" priority="33">
      <formula>$S4&lt;&gt;""</formula>
    </cfRule>
  </conditionalFormatting>
  <dataValidations count="26">
    <dataValidation type="date" allowBlank="1" showInputMessage="1" showErrorMessage="1" errorTitle="Fecha de expedición incorrecta" error="Esta fecha no puede ser superior a la fecha en la que se presenta el libro de registro en la sede electrónica de la Agencia Tributaria" prompt="Esta fecha no puede ser superior a la fecha en la que se presenta el libro de registro en la sede electrónica de la Agencia Tributaria" sqref="I4:I103" xr:uid="{00000000-0002-0000-0100-000000000000}">
      <formula1>TODAY()-5000</formula1>
      <formula2>TODAY()</formula2>
    </dataValidation>
    <dataValidation type="list" errorStyle="warning" allowBlank="1" showInputMessage="1" showErrorMessage="1" errorTitle="Tipo de factura incorrecto" error="Tipo de factura incorrecto" promptTitle="Tipo de factura" sqref="F4:F103" xr:uid="{00000000-0002-0000-0100-000001000000}">
      <formula1>TIPO_FACTURA</formula1>
    </dataValidation>
    <dataValidation type="list" allowBlank="1" showErrorMessage="1" prompt="_x000a__x000a_" sqref="C4:C103" xr:uid="{00000000-0002-0000-0100-000002000000}">
      <formula1>ACTIVIDAD</formula1>
    </dataValidation>
    <dataValidation type="list" errorStyle="warning" allowBlank="1" showInputMessage="1" showErrorMessage="1" errorTitle="Medio utilizado incorrecto" error="Medio utilizado incorrecto" promptTitle="Medio utilizado" prompt="Sólo se tiene en cuenta cuando Clave de operación es 07" sqref="AC4:AC103" xr:uid="{00000000-0002-0000-0100-000003000000}">
      <formula1>MEDIO_UTILIZADO</formula1>
    </dataValidation>
    <dataValidation type="list" errorStyle="warning" allowBlank="1" showInputMessage="1" showErrorMessage="1" errorTitle="Situación incorrecta" error="Situación incorrecta" promptTitle="Situación" sqref="AH4:AH103" xr:uid="{00000000-0002-0000-0100-000004000000}">
      <formula1>SITUACION</formula1>
    </dataValidation>
    <dataValidation type="list" errorStyle="warning" allowBlank="1" showInputMessage="1" showErrorMessage="1" errorTitle="Tipo de NIF incorrecto" error="Tipo de NIF incorrecto" promptTitle="Tipo de NIF" sqref="N4:N103" xr:uid="{00000000-0002-0000-0100-000005000000}">
      <formula1>TIPO_NIF</formula1>
    </dataValidation>
    <dataValidation type="custom" allowBlank="1" showInputMessage="1" showErrorMessage="1" error="El ejercicio debe ser un año entre 2000 y el año actual" sqref="A4:A103" xr:uid="{00000000-0002-0000-0100-000006000000}">
      <formula1>AND(LEN(A4)=4,ISNUMBER(VALUE(A4)),VALUE(A4)&gt;=2000,VALUE(A4)&lt;=YEAR(TODAY()))</formula1>
    </dataValidation>
    <dataValidation type="decimal" allowBlank="1" showInputMessage="1" showErrorMessage="1" prompt="Decimal (12, 2)" sqref="V4:V103" xr:uid="{00000000-0002-0000-0100-000007000000}">
      <formula1>-9999999999</formula1>
      <formula2>9999999999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Title="DD/MM/YYYY" prompt="Solo se tiene en cuenta cuando Clave de Operación 07" sqref="AA4:AA103" xr:uid="{00000000-0002-0000-0100-000008000000}">
      <formula1>TODAY()-5000</formula1>
      <formula2>TODAY()</formula2>
    </dataValidation>
    <dataValidation type="textLength" allowBlank="1" showInputMessage="1" showErrorMessage="1" prompt="Máximo de 2 caracteres" sqref="O4:O103" xr:uid="{00000000-0002-0000-0100-000009000000}">
      <formula1>0</formula1>
      <formula2>2</formula2>
    </dataValidation>
    <dataValidation type="textLength" allowBlank="1" showInputMessage="1" showErrorMessage="1" prompt="Máximo 20 caracteres" sqref="K4:M103 AI4:AI103" xr:uid="{00000000-0002-0000-0100-00000A000000}">
      <formula1>0</formula1>
      <formula2>20</formula2>
    </dataValidation>
    <dataValidation type="textLength" allowBlank="1" showInputMessage="1" showErrorMessage="1" prompt="Máximo de 40 caracteres" sqref="AJ4:AJ103 Q4:Q103" xr:uid="{00000000-0002-0000-0100-00000B000000}">
      <formula1>0</formula1>
      <formula2>40</formula2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G4:AG103" xr:uid="{00000000-0002-0000-0100-00000C000000}">
      <formula1>0</formula1>
      <formula2>15</formula2>
    </dataValidation>
    <dataValidation type="textLength" allowBlank="1" showInputMessage="1" showErrorMessage="1" promptTitle="Máximo 34 caracteres" prompt="Sólo se tiene en cuenta cuando Clave de operación es 07" sqref="AD4:AD103" xr:uid="{00000000-0002-0000-0100-00000D000000}">
      <formula1>0</formula1>
      <formula2>34</formula2>
    </dataValidation>
    <dataValidation type="list" allowBlank="1" showInputMessage="1" showErrorMessage="1" error="Trimestre incorrecto" sqref="B4:B103" xr:uid="{00000000-0002-0000-0100-00000E000000}">
      <formula1>TRIMESTRE</formula1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P4 P6:P103" xr:uid="{00000000-0002-0000-0100-00000F000000}">
      <formula1>IF(N4="01-NIF/NIE",AND(LEN(TRIM(P4))=9,RIGHT(UPPER(P4),1)=MID("TRWAGMYFPDXBNJZSQVHLCKE",MOD(VALUE(SUBSTITUTE(SUBSTITUTE(SUBSTITUTE(LEFT(UPPER(P4),1),"X","0"),"Y","1"),"Z","2") &amp; MID(UPPER(P4),2,7)),23)+1,1)),LEN(P4)&lt;=20)</formula1>
    </dataValidation>
    <dataValidation type="decimal" allowBlank="1" showInputMessage="1" showErrorMessage="1" promptTitle="Decimal (12, 2)" prompt="Solo se tiene en cuenta cuando Clave de Operación 07" sqref="AB4:AB103" xr:uid="{00000000-0002-0000-0100-000010000000}">
      <formula1>-9999999999</formula1>
      <formula2>9999999999</formula2>
    </dataValidation>
    <dataValidation type="list" allowBlank="1" showInputMessage="1" showErrorMessage="1" prompt="Decimal (4,2)" sqref="W4:W103" xr:uid="{00000000-0002-0000-0100-000011000000}">
      <formula1>TIPO_IVA</formula1>
    </dataValidation>
    <dataValidation type="list" allowBlank="1" showInputMessage="1" showErrorMessage="1" prompt="Decimal (4,2)" sqref="Y4:Y103" xr:uid="{00000000-0002-0000-0100-000012000000}">
      <formula1>TIPO_RECARGO_EQUIVALENCIA</formula1>
    </dataValidation>
    <dataValidation type="decimal" errorStyle="information" allowBlank="1" showInputMessage="1" prompt="Decimal (12, 2)" sqref="X4:X103 U4:U103 Z4:Z103" xr:uid="{00000000-0002-0000-0100-000013000000}">
      <formula1>-9999999999</formula1>
      <formula2>9999999999</formula2>
    </dataValidation>
    <dataValidation type="list" errorStyle="warning" allowBlank="1" showInputMessage="1" showErrorMessage="1" errorTitle="Califica de operación incorrecta" error="Calificación de operación incorrecta" promptTitle="Calificación de operación" sqref="S4:S103" xr:uid="{00000000-0002-0000-0100-000014000000}">
      <formula1>CALIFICACION_OPERACION</formula1>
    </dataValidation>
    <dataValidation type="list" errorStyle="warning" allowBlank="1" showInputMessage="1" showErrorMessage="1" errorTitle="Operación exenta incorrecta" error="Operación exenta incorrecta" promptTitle="Operación exenta" sqref="T4:T103" xr:uid="{00000000-0002-0000-0100-000015000000}">
      <formula1>OPERACION_EXENTA</formula1>
    </dataValidation>
    <dataValidation type="custom" errorStyle="warning" allowBlank="1" showInputMessage="1" showErrorMessage="1" error="Si el tipo de NIF está vacío o es 01, debe introducir un NIF válido. En cualquier otro caso introduzca un máximo de 20 caracteres" prompt="Máximo 20 caracteres" sqref="P5" xr:uid="{00000000-0002-0000-0100-000016000000}">
      <formula1>IF(N5="01-NIF/NIE",AND(LEN(TRIM(P5))=9,RIGHT(UPPER(P5),1)=MID("TRWAGMYFPDXBNJZSQVHLCKE",MOD(VALUE(SUBSTITUTE(SUBSTITUTE(SUBSTITUTE(LEFT(UPPER(P5),1),"X","0"),"Y","1"),"Z","2") &amp; MID(UPPER(P5),2,7)),23)+1,1)),LEN(P5)&lt;=20)</formula1>
    </dataValidation>
    <dataValidation type="list" errorStyle="warning" allowBlank="1" showErrorMessage="1" errorTitle="Clave de operación incorrecta" error="Clave de operación incorrecta" promptTitle="Clave de operación" prompt="Si el tipo de factura es DV se descarta el valor que se consigne en clave de operación, ya que tiene que ser 02." sqref="R4:R103" xr:uid="{00000000-0002-0000-0100-000017000000}">
      <formula1>CLAVE_OPERACION</formula1>
    </dataValidation>
    <dataValidation type="textLength" errorStyle="warning" allowBlank="1" showInputMessage="1" showErrorMessage="1" errorTitle="Epigrafe incorrecto" error="Longitud máxima permitida: 5" prompt="Máximo 5 posiciones alfanuméricas. " sqref="E4:E103" xr:uid="{00000000-0002-0000-0100-000018000000}">
      <formula1>1</formula1>
      <formula2>5</formula2>
    </dataValidation>
    <dataValidation type="custom" allowBlank="1" showInputMessage="1" showErrorMessage="1" errorTitle="Fecha de expedición incorrecta" error="La fecha de expedición es mayor a la fecha de operación o mayor a la fecha de hoy" prompt="Obligatorio si es distinta a la fecha de expedición. " sqref="J4:J103" xr:uid="{00000000-0002-0000-0100-000019000000}">
      <formula1>IF(OR(LEFT(R4,2)="14",LEFT(R4,2)="15"),J4&lt;=I4,J4&lt;=TODAY())</formula1>
    </dataValidation>
  </dataValidations>
  <pageMargins left="0.70866141732283472" right="0.70866141732283472" top="0.74803149606299213" bottom="0.74803149606299213" header="0.31496062992125984" footer="0.31496062992125984"/>
  <pageSetup paperSize="8" scale="2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3" id="{BC30A51A-1D42-477E-85D3-8AA8E9712D13}">
            <xm:f>OR(EXPEDIDAS_INGRESOS!#REF!="S1",EXPEDIDAS_INGRESOS!#REF!="S2")</xm:f>
            <x14:dxf>
              <fill>
                <patternFill>
                  <bgColor theme="1"/>
                </patternFill>
              </fill>
            </x14:dxf>
          </x14:cfRule>
          <xm:sqref>T104:T9103</xm:sqref>
        </x14:conditionalFormatting>
        <x14:conditionalFormatting xmlns:xm="http://schemas.microsoft.com/office/excel/2006/main">
          <x14:cfRule type="expression" priority="344" id="{BC30A51A-1D42-477E-85D3-8AA8E9712D13}">
            <xm:f>OR(EXPEDIDAS_INGRESOS!$S104="S1",EXPEDIDAS_INGRESOS!$S104="S2")</xm:f>
            <x14:dxf>
              <fill>
                <patternFill>
                  <bgColor theme="1"/>
                </patternFill>
              </fill>
            </x14:dxf>
          </x14:cfRule>
          <xm:sqref>T9104:T996678</xm:sqref>
        </x14:conditionalFormatting>
        <x14:conditionalFormatting xmlns:xm="http://schemas.microsoft.com/office/excel/2006/main">
          <x14:cfRule type="expression" priority="251" id="{BC30A51A-1D42-477E-85D3-8AA8E9712D13}">
            <xm:f>OR(EXPEDIDAS_INGRESOS!$S936780="S1",EXPEDIDAS_INGRESOS!$S936780="S2")</xm:f>
            <x14:dxf>
              <fill>
                <patternFill>
                  <bgColor theme="1"/>
                </patternFill>
              </fill>
            </x14:dxf>
          </x14:cfRule>
          <xm:sqref>T996679:T1048576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errorTitle="Tipo de actividad incorrecto" error="Tipo de actividad incorrecto" xr:uid="{00000000-0002-0000-0100-00001A000000}">
          <x14:formula1>
            <xm:f>INDIRECT(RIGHT(EXPEDIDAS_INGRESOS!$C5,1))</xm:f>
          </x14:formula1>
          <xm:sqref>D5:D103</xm:sqref>
        </x14:dataValidation>
        <x14:dataValidation type="list" errorStyle="information" allowBlank="1" showInputMessage="1" showErrorMessage="1" errorTitle="Tipo de actividad incorrecto" error="Tipo de actividad incorrecto" xr:uid="{00000000-0002-0000-0100-00001B000000}">
          <x14:formula1>
            <xm:f>INDIRECT(EXPEDIDAS_INGRESOS!$C4)</xm:f>
          </x14:formula1>
          <xm:sqref>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AP103"/>
  <sheetViews>
    <sheetView showGridLines="0" zoomScaleNormal="100" workbookViewId="0">
      <selection activeCell="C6" sqref="C6"/>
    </sheetView>
  </sheetViews>
  <sheetFormatPr baseColWidth="10" defaultRowHeight="15" x14ac:dyDescent="0.25"/>
  <cols>
    <col min="1" max="1" width="11" style="18" bestFit="1" customWidth="1"/>
    <col min="2" max="2" width="8.140625" style="18" bestFit="1" customWidth="1"/>
    <col min="3" max="3" width="49.28515625" style="18" customWidth="1"/>
    <col min="4" max="4" width="54.28515625" style="18" customWidth="1"/>
    <col min="5" max="5" width="23.7109375" style="28" bestFit="1" customWidth="1"/>
    <col min="6" max="6" width="49" style="18" bestFit="1" customWidth="1"/>
    <col min="7" max="7" width="30.42578125" style="33" customWidth="1"/>
    <col min="8" max="8" width="15.5703125" style="33" customWidth="1"/>
    <col min="9" max="9" width="13" style="18" bestFit="1" customWidth="1"/>
    <col min="10" max="10" width="18.28515625" style="18" customWidth="1"/>
    <col min="11" max="11" width="18.140625" style="18" customWidth="1"/>
    <col min="12" max="13" width="21.28515625" style="18" customWidth="1"/>
    <col min="14" max="14" width="16.28515625" style="18" customWidth="1"/>
    <col min="15" max="15" width="18.42578125" style="18" customWidth="1"/>
    <col min="16" max="16" width="42.5703125" style="18" customWidth="1"/>
    <col min="17" max="17" width="14.42578125" style="18" bestFit="1" customWidth="1"/>
    <col min="18" max="19" width="15.42578125" style="18" bestFit="1" customWidth="1"/>
    <col min="20" max="20" width="60.42578125" style="18" customWidth="1"/>
    <col min="21" max="21" width="14.7109375" style="18" bestFit="1" customWidth="1"/>
    <col min="22" max="22" width="15.7109375" style="18" customWidth="1"/>
    <col min="23" max="23" width="22.28515625" style="18" customWidth="1"/>
    <col min="24" max="24" width="15.5703125" style="18" customWidth="1"/>
    <col min="25" max="25" width="8.140625" style="18" bestFit="1" customWidth="1"/>
    <col min="26" max="27" width="13.140625" style="18" bestFit="1" customWidth="1"/>
    <col min="28" max="28" width="11.42578125" style="18" bestFit="1" customWidth="1"/>
    <col min="29" max="30" width="13.140625" style="18" bestFit="1" customWidth="1"/>
    <col min="31" max="31" width="14.42578125" style="18" customWidth="1"/>
    <col min="32" max="32" width="16.140625" style="18" customWidth="1"/>
    <col min="33" max="33" width="17.7109375" style="18" bestFit="1" customWidth="1"/>
    <col min="34" max="34" width="13.140625" style="18" bestFit="1" customWidth="1"/>
    <col min="35" max="35" width="52.140625" style="18" customWidth="1"/>
    <col min="36" max="36" width="28.28515625" style="18" bestFit="1" customWidth="1"/>
    <col min="37" max="37" width="17.5703125" style="33" customWidth="1"/>
    <col min="38" max="38" width="19.7109375" style="33" bestFit="1" customWidth="1"/>
    <col min="39" max="39" width="19.85546875" style="18" customWidth="1"/>
    <col min="40" max="40" width="92.7109375" style="18" customWidth="1"/>
    <col min="41" max="41" width="19.5703125" style="18" bestFit="1" customWidth="1"/>
    <col min="42" max="42" width="18.5703125" style="18" bestFit="1" customWidth="1"/>
    <col min="43" max="16384" width="11.42578125" style="18"/>
  </cols>
  <sheetData>
    <row r="1" spans="1:42" s="31" customFormat="1" ht="12" x14ac:dyDescent="0.25">
      <c r="A1" s="93" t="s">
        <v>56</v>
      </c>
      <c r="B1" s="99"/>
      <c r="C1" s="93" t="s">
        <v>57</v>
      </c>
      <c r="D1" s="93"/>
      <c r="E1" s="105"/>
      <c r="F1" s="93" t="s">
        <v>58</v>
      </c>
      <c r="G1" s="101" t="s">
        <v>83</v>
      </c>
      <c r="H1" s="101" t="s">
        <v>84</v>
      </c>
      <c r="I1" s="96" t="s">
        <v>19</v>
      </c>
      <c r="J1" s="96" t="s">
        <v>61</v>
      </c>
      <c r="K1" s="93" t="s">
        <v>22</v>
      </c>
      <c r="L1" s="99"/>
      <c r="M1" s="96" t="s">
        <v>85</v>
      </c>
      <c r="N1" s="96" t="s">
        <v>77</v>
      </c>
      <c r="O1" s="96" t="s">
        <v>78</v>
      </c>
      <c r="P1" s="93" t="s">
        <v>79</v>
      </c>
      <c r="Q1" s="95"/>
      <c r="R1" s="95"/>
      <c r="S1" s="96" t="s">
        <v>23</v>
      </c>
      <c r="T1" s="93" t="s">
        <v>86</v>
      </c>
      <c r="U1" s="96" t="s">
        <v>87</v>
      </c>
      <c r="V1" s="96" t="s">
        <v>88</v>
      </c>
      <c r="W1" s="96" t="s">
        <v>89</v>
      </c>
      <c r="X1" s="93" t="s">
        <v>90</v>
      </c>
      <c r="Y1" s="99"/>
      <c r="Z1" s="96" t="s">
        <v>2</v>
      </c>
      <c r="AA1" s="96" t="s">
        <v>0</v>
      </c>
      <c r="AB1" s="96" t="s">
        <v>1</v>
      </c>
      <c r="AC1" s="96" t="s">
        <v>7</v>
      </c>
      <c r="AD1" s="96" t="s">
        <v>27</v>
      </c>
      <c r="AE1" s="96" t="s">
        <v>5</v>
      </c>
      <c r="AF1" s="96" t="s">
        <v>6</v>
      </c>
      <c r="AG1" s="94" t="s">
        <v>170</v>
      </c>
      <c r="AH1" s="95"/>
      <c r="AI1" s="95"/>
      <c r="AJ1" s="95"/>
      <c r="AK1" s="101" t="s">
        <v>67</v>
      </c>
      <c r="AL1" s="101" t="s">
        <v>68</v>
      </c>
      <c r="AM1" s="96" t="s">
        <v>69</v>
      </c>
      <c r="AN1" s="93" t="s">
        <v>93</v>
      </c>
      <c r="AO1" s="93"/>
      <c r="AP1" s="90" t="s">
        <v>209</v>
      </c>
    </row>
    <row r="2" spans="1:42" s="31" customFormat="1" ht="12" x14ac:dyDescent="0.25">
      <c r="A2" s="90" t="s">
        <v>31</v>
      </c>
      <c r="B2" s="92" t="s">
        <v>32</v>
      </c>
      <c r="C2" s="104" t="s">
        <v>55</v>
      </c>
      <c r="D2" s="92" t="s">
        <v>18</v>
      </c>
      <c r="E2" s="92" t="s">
        <v>52</v>
      </c>
      <c r="F2" s="93"/>
      <c r="G2" s="102"/>
      <c r="H2" s="102"/>
      <c r="I2" s="97"/>
      <c r="J2" s="97"/>
      <c r="K2" s="90" t="s">
        <v>28</v>
      </c>
      <c r="L2" s="90" t="s">
        <v>30</v>
      </c>
      <c r="M2" s="97"/>
      <c r="N2" s="97"/>
      <c r="O2" s="97"/>
      <c r="P2" s="92" t="s">
        <v>18</v>
      </c>
      <c r="Q2" s="90" t="s">
        <v>8</v>
      </c>
      <c r="R2" s="90" t="s">
        <v>11</v>
      </c>
      <c r="S2" s="97"/>
      <c r="T2" s="93"/>
      <c r="U2" s="97"/>
      <c r="V2" s="97"/>
      <c r="W2" s="97"/>
      <c r="X2" s="90" t="s">
        <v>31</v>
      </c>
      <c r="Y2" s="92" t="s">
        <v>32</v>
      </c>
      <c r="Z2" s="97"/>
      <c r="AA2" s="97"/>
      <c r="AB2" s="97"/>
      <c r="AC2" s="97"/>
      <c r="AD2" s="97"/>
      <c r="AE2" s="97"/>
      <c r="AF2" s="97"/>
      <c r="AG2" s="90" t="s">
        <v>13</v>
      </c>
      <c r="AH2" s="90" t="s">
        <v>14</v>
      </c>
      <c r="AI2" s="92" t="s">
        <v>16</v>
      </c>
      <c r="AJ2" s="90" t="s">
        <v>26</v>
      </c>
      <c r="AK2" s="102"/>
      <c r="AL2" s="102"/>
      <c r="AM2" s="97"/>
      <c r="AN2" s="93" t="s">
        <v>91</v>
      </c>
      <c r="AO2" s="90" t="s">
        <v>92</v>
      </c>
      <c r="AP2" s="100"/>
    </row>
    <row r="3" spans="1:42" s="32" customFormat="1" ht="12" x14ac:dyDescent="0.25">
      <c r="A3" s="91"/>
      <c r="B3" s="92"/>
      <c r="C3" s="104"/>
      <c r="D3" s="92"/>
      <c r="E3" s="92"/>
      <c r="F3" s="93"/>
      <c r="G3" s="103"/>
      <c r="H3" s="103"/>
      <c r="I3" s="98"/>
      <c r="J3" s="98"/>
      <c r="K3" s="91"/>
      <c r="L3" s="91"/>
      <c r="M3" s="98"/>
      <c r="N3" s="98"/>
      <c r="O3" s="98"/>
      <c r="P3" s="92"/>
      <c r="Q3" s="91"/>
      <c r="R3" s="91"/>
      <c r="S3" s="98"/>
      <c r="T3" s="93"/>
      <c r="U3" s="98"/>
      <c r="V3" s="98"/>
      <c r="W3" s="98"/>
      <c r="X3" s="91"/>
      <c r="Y3" s="92"/>
      <c r="Z3" s="98"/>
      <c r="AA3" s="98"/>
      <c r="AB3" s="98"/>
      <c r="AC3" s="98"/>
      <c r="AD3" s="98"/>
      <c r="AE3" s="98"/>
      <c r="AF3" s="98"/>
      <c r="AG3" s="91"/>
      <c r="AH3" s="91"/>
      <c r="AI3" s="92"/>
      <c r="AJ3" s="91"/>
      <c r="AK3" s="103"/>
      <c r="AL3" s="103"/>
      <c r="AM3" s="98"/>
      <c r="AN3" s="93"/>
      <c r="AO3" s="91"/>
      <c r="AP3" s="91"/>
    </row>
    <row r="4" spans="1:42" s="26" customFormat="1" x14ac:dyDescent="0.25">
      <c r="A4" s="40"/>
      <c r="B4" s="41"/>
      <c r="C4" s="41"/>
      <c r="D4" s="43"/>
      <c r="E4" s="44"/>
      <c r="F4" s="41"/>
      <c r="G4" s="51"/>
      <c r="H4" s="45"/>
      <c r="I4" s="46"/>
      <c r="J4" s="46"/>
      <c r="K4" s="47"/>
      <c r="L4" s="47"/>
      <c r="M4" s="46"/>
      <c r="N4" s="52" t="str">
        <f>IF(RECIBIDAS_GASTOS!F4="","",CONCATENATE(RECIBIDAS_GASTOS!F4,"-",COUNTIF(RECIBIDAS_GASTOS!F:F,RECIBIDAS_GASTOS!F4)))</f>
        <v/>
      </c>
      <c r="O4" s="52" t="str">
        <f>IF(RECIBIDAS_GASTOS!F4="","",CONCATENATE(RECIBIDAS_GASTOS!F4,"-",COUNTIF(RECIBIDAS_GASTOS!F:F,RECIBIDAS_GASTOS!F4)))</f>
        <v/>
      </c>
      <c r="P4" s="41"/>
      <c r="Q4" s="47"/>
      <c r="R4" s="47"/>
      <c r="S4" s="47"/>
      <c r="T4" s="41"/>
      <c r="U4" s="53"/>
      <c r="V4" s="53"/>
      <c r="W4" s="53"/>
      <c r="X4" s="40"/>
      <c r="Y4" s="41"/>
      <c r="Z4" s="48" t="str">
        <f>IF(AA4="","",IF(AND(F4="",T4=""),"",IF(OR(LEFT(T4,2)="03",LEFT(T4,2)="05",LEFT(T4,2)="09"),AA4,SUM(AA4,AC4,AF4))))</f>
        <v/>
      </c>
      <c r="AA4" s="49"/>
      <c r="AB4" s="50"/>
      <c r="AC4" s="48" t="str">
        <f>IF(OR(AA4="",AB4=""),"",AA4*AB4/100)</f>
        <v/>
      </c>
      <c r="AD4" s="49"/>
      <c r="AE4" s="50"/>
      <c r="AF4" s="48" t="str">
        <f>IF(OR(AA4="",AE4=""),"",AA4*AE4/100)</f>
        <v/>
      </c>
      <c r="AG4" s="46"/>
      <c r="AH4" s="49"/>
      <c r="AI4" s="41"/>
      <c r="AJ4" s="47"/>
      <c r="AK4" s="45"/>
      <c r="AL4" s="45"/>
      <c r="AM4" s="47"/>
      <c r="AN4" s="41"/>
      <c r="AO4" s="47"/>
      <c r="AP4" s="47"/>
    </row>
    <row r="5" spans="1:42" x14ac:dyDescent="0.25">
      <c r="A5" s="40"/>
      <c r="B5" s="41"/>
      <c r="C5" s="41"/>
      <c r="D5" s="43"/>
      <c r="E5" s="44"/>
      <c r="F5" s="41"/>
      <c r="G5" s="51"/>
      <c r="H5" s="45"/>
      <c r="I5" s="46"/>
      <c r="J5" s="46"/>
      <c r="K5" s="47"/>
      <c r="L5" s="47"/>
      <c r="M5" s="46"/>
      <c r="N5" s="52" t="str">
        <f>IF(RECIBIDAS_GASTOS!F5="","",CONCATENATE(RECIBIDAS_GASTOS!F5,"-",COUNTIF(RECIBIDAS_GASTOS!F:F,RECIBIDAS_GASTOS!F5)))</f>
        <v/>
      </c>
      <c r="O5" s="52" t="str">
        <f>IF(RECIBIDAS_GASTOS!F5="","",CONCATENATE(RECIBIDAS_GASTOS!F5,"-",COUNTIF(RECIBIDAS_GASTOS!F:F,RECIBIDAS_GASTOS!F5)))</f>
        <v/>
      </c>
      <c r="P5" s="41"/>
      <c r="Q5" s="47"/>
      <c r="R5" s="47"/>
      <c r="S5" s="47"/>
      <c r="T5" s="41"/>
      <c r="U5" s="53"/>
      <c r="V5" s="53"/>
      <c r="W5" s="53"/>
      <c r="X5" s="40"/>
      <c r="Y5" s="41"/>
      <c r="Z5" s="48" t="str">
        <f t="shared" ref="Z5:Z35" si="0">IF(AA5="","",IF(AND(F5="",T5=""),"",IF(OR(LEFT(T5,2)="03",LEFT(T5,2)="05",LEFT(T5,2)="09"),AA5,SUM(AA5,AC5,AF5))))</f>
        <v/>
      </c>
      <c r="AA5" s="49"/>
      <c r="AB5" s="50"/>
      <c r="AC5" s="48" t="str">
        <f t="shared" ref="AC5:AC35" si="1">IF(OR(AA5="",AB5=""),"",AA5*AB5/100)</f>
        <v/>
      </c>
      <c r="AD5" s="49"/>
      <c r="AE5" s="50"/>
      <c r="AF5" s="48" t="str">
        <f t="shared" ref="AF5:AF35" si="2">IF(OR(AA5="",AE5=""),"",AA5*AE5/100)</f>
        <v/>
      </c>
      <c r="AG5" s="46"/>
      <c r="AH5" s="49"/>
      <c r="AI5" s="41"/>
      <c r="AJ5" s="47"/>
      <c r="AK5" s="45"/>
      <c r="AL5" s="45"/>
      <c r="AM5" s="47"/>
      <c r="AN5" s="41"/>
      <c r="AO5" s="47"/>
      <c r="AP5" s="47"/>
    </row>
    <row r="6" spans="1:42" x14ac:dyDescent="0.25">
      <c r="A6" s="40"/>
      <c r="B6" s="41"/>
      <c r="C6" s="41"/>
      <c r="D6" s="43"/>
      <c r="E6" s="44"/>
      <c r="F6" s="41"/>
      <c r="G6" s="51"/>
      <c r="H6" s="45"/>
      <c r="I6" s="46"/>
      <c r="J6" s="46"/>
      <c r="K6" s="47"/>
      <c r="L6" s="47"/>
      <c r="M6" s="46"/>
      <c r="N6" s="52" t="str">
        <f>IF(RECIBIDAS_GASTOS!F6="","",CONCATENATE(RECIBIDAS_GASTOS!F6,"-",COUNTIF(RECIBIDAS_GASTOS!F:F,RECIBIDAS_GASTOS!F6)))</f>
        <v/>
      </c>
      <c r="O6" s="52" t="str">
        <f>IF(RECIBIDAS_GASTOS!F6="","",CONCATENATE(RECIBIDAS_GASTOS!F6,"-",COUNTIF(RECIBIDAS_GASTOS!F:F,RECIBIDAS_GASTOS!F6)))</f>
        <v/>
      </c>
      <c r="P6" s="41"/>
      <c r="Q6" s="47"/>
      <c r="R6" s="47"/>
      <c r="S6" s="47"/>
      <c r="T6" s="41"/>
      <c r="U6" s="53"/>
      <c r="V6" s="53"/>
      <c r="W6" s="53"/>
      <c r="X6" s="40"/>
      <c r="Y6" s="41"/>
      <c r="Z6" s="48" t="str">
        <f t="shared" si="0"/>
        <v/>
      </c>
      <c r="AA6" s="49"/>
      <c r="AB6" s="50"/>
      <c r="AC6" s="48" t="str">
        <f t="shared" si="1"/>
        <v/>
      </c>
      <c r="AD6" s="49"/>
      <c r="AE6" s="50"/>
      <c r="AF6" s="48" t="str">
        <f t="shared" si="2"/>
        <v/>
      </c>
      <c r="AG6" s="46"/>
      <c r="AH6" s="49"/>
      <c r="AI6" s="41"/>
      <c r="AJ6" s="47"/>
      <c r="AK6" s="45"/>
      <c r="AL6" s="45"/>
      <c r="AM6" s="47"/>
      <c r="AN6" s="41"/>
      <c r="AO6" s="47"/>
      <c r="AP6" s="47"/>
    </row>
    <row r="7" spans="1:42" x14ac:dyDescent="0.25">
      <c r="A7" s="40"/>
      <c r="B7" s="41"/>
      <c r="C7" s="41"/>
      <c r="D7" s="43"/>
      <c r="E7" s="44"/>
      <c r="F7" s="41"/>
      <c r="G7" s="51"/>
      <c r="H7" s="45"/>
      <c r="I7" s="46"/>
      <c r="J7" s="46"/>
      <c r="K7" s="47"/>
      <c r="L7" s="47"/>
      <c r="M7" s="46"/>
      <c r="N7" s="52" t="str">
        <f>IF(RECIBIDAS_GASTOS!F7="","",CONCATENATE(RECIBIDAS_GASTOS!F7,"-",COUNTIF(RECIBIDAS_GASTOS!F:F,RECIBIDAS_GASTOS!F7)))</f>
        <v/>
      </c>
      <c r="O7" s="52" t="str">
        <f>IF(RECIBIDAS_GASTOS!F7="","",CONCATENATE(RECIBIDAS_GASTOS!F7,"-",COUNTIF(RECIBIDAS_GASTOS!F:F,RECIBIDAS_GASTOS!F7)))</f>
        <v/>
      </c>
      <c r="P7" s="41"/>
      <c r="Q7" s="47"/>
      <c r="R7" s="47"/>
      <c r="S7" s="47"/>
      <c r="T7" s="41"/>
      <c r="U7" s="53"/>
      <c r="V7" s="53"/>
      <c r="W7" s="53"/>
      <c r="X7" s="40"/>
      <c r="Y7" s="41"/>
      <c r="Z7" s="48" t="str">
        <f t="shared" si="0"/>
        <v/>
      </c>
      <c r="AA7" s="49"/>
      <c r="AB7" s="50"/>
      <c r="AC7" s="48" t="str">
        <f t="shared" si="1"/>
        <v/>
      </c>
      <c r="AD7" s="49"/>
      <c r="AE7" s="50"/>
      <c r="AF7" s="48" t="str">
        <f t="shared" si="2"/>
        <v/>
      </c>
      <c r="AG7" s="46"/>
      <c r="AH7" s="49"/>
      <c r="AI7" s="41"/>
      <c r="AJ7" s="47"/>
      <c r="AK7" s="45"/>
      <c r="AL7" s="45"/>
      <c r="AM7" s="47"/>
      <c r="AN7" s="41"/>
      <c r="AO7" s="47"/>
      <c r="AP7" s="47"/>
    </row>
    <row r="8" spans="1:42" x14ac:dyDescent="0.25">
      <c r="A8" s="40"/>
      <c r="B8" s="41"/>
      <c r="C8" s="41"/>
      <c r="D8" s="43"/>
      <c r="E8" s="44"/>
      <c r="F8" s="41"/>
      <c r="G8" s="51"/>
      <c r="H8" s="45"/>
      <c r="I8" s="46"/>
      <c r="J8" s="46"/>
      <c r="K8" s="47"/>
      <c r="L8" s="47"/>
      <c r="M8" s="46"/>
      <c r="N8" s="52" t="str">
        <f>IF(RECIBIDAS_GASTOS!F8="","",CONCATENATE(RECIBIDAS_GASTOS!F8,"-",COUNTIF(RECIBIDAS_GASTOS!F:F,RECIBIDAS_GASTOS!F8)))</f>
        <v/>
      </c>
      <c r="O8" s="52" t="str">
        <f>IF(RECIBIDAS_GASTOS!F8="","",CONCATENATE(RECIBIDAS_GASTOS!F8,"-",COUNTIF(RECIBIDAS_GASTOS!F:F,RECIBIDAS_GASTOS!F8)))</f>
        <v/>
      </c>
      <c r="P8" s="41"/>
      <c r="Q8" s="47"/>
      <c r="R8" s="47"/>
      <c r="S8" s="47"/>
      <c r="T8" s="41"/>
      <c r="U8" s="53"/>
      <c r="V8" s="53"/>
      <c r="W8" s="53"/>
      <c r="X8" s="40"/>
      <c r="Y8" s="41"/>
      <c r="Z8" s="48" t="str">
        <f t="shared" si="0"/>
        <v/>
      </c>
      <c r="AA8" s="49"/>
      <c r="AB8" s="50"/>
      <c r="AC8" s="48" t="str">
        <f t="shared" si="1"/>
        <v/>
      </c>
      <c r="AD8" s="49"/>
      <c r="AE8" s="50"/>
      <c r="AF8" s="48" t="str">
        <f t="shared" si="2"/>
        <v/>
      </c>
      <c r="AG8" s="46"/>
      <c r="AH8" s="49"/>
      <c r="AI8" s="41"/>
      <c r="AJ8" s="47"/>
      <c r="AK8" s="45"/>
      <c r="AL8" s="45"/>
      <c r="AM8" s="47"/>
      <c r="AN8" s="41"/>
      <c r="AO8" s="47"/>
      <c r="AP8" s="47"/>
    </row>
    <row r="9" spans="1:42" x14ac:dyDescent="0.25">
      <c r="A9" s="40"/>
      <c r="B9" s="41"/>
      <c r="C9" s="41"/>
      <c r="D9" s="43"/>
      <c r="E9" s="44"/>
      <c r="F9" s="41"/>
      <c r="G9" s="51"/>
      <c r="H9" s="45"/>
      <c r="I9" s="46"/>
      <c r="J9" s="46"/>
      <c r="K9" s="47"/>
      <c r="L9" s="47"/>
      <c r="M9" s="46"/>
      <c r="N9" s="52" t="str">
        <f>IF(RECIBIDAS_GASTOS!F9="","",CONCATENATE(RECIBIDAS_GASTOS!F9,"-",COUNTIF(RECIBIDAS_GASTOS!F:F,RECIBIDAS_GASTOS!F9)))</f>
        <v/>
      </c>
      <c r="O9" s="52" t="str">
        <f>IF(RECIBIDAS_GASTOS!F9="","",CONCATENATE(RECIBIDAS_GASTOS!F9,"-",COUNTIF(RECIBIDAS_GASTOS!F:F,RECIBIDAS_GASTOS!F9)))</f>
        <v/>
      </c>
      <c r="P9" s="41"/>
      <c r="Q9" s="47"/>
      <c r="R9" s="47"/>
      <c r="S9" s="47"/>
      <c r="T9" s="41"/>
      <c r="U9" s="53"/>
      <c r="V9" s="53"/>
      <c r="W9" s="53"/>
      <c r="X9" s="40"/>
      <c r="Y9" s="41"/>
      <c r="Z9" s="48" t="str">
        <f t="shared" si="0"/>
        <v/>
      </c>
      <c r="AA9" s="49"/>
      <c r="AB9" s="50"/>
      <c r="AC9" s="48" t="str">
        <f t="shared" si="1"/>
        <v/>
      </c>
      <c r="AD9" s="49"/>
      <c r="AE9" s="50"/>
      <c r="AF9" s="48" t="str">
        <f t="shared" si="2"/>
        <v/>
      </c>
      <c r="AG9" s="46"/>
      <c r="AH9" s="49"/>
      <c r="AI9" s="41"/>
      <c r="AJ9" s="47"/>
      <c r="AK9" s="45"/>
      <c r="AL9" s="45"/>
      <c r="AM9" s="47"/>
      <c r="AN9" s="41"/>
      <c r="AO9" s="47"/>
      <c r="AP9" s="47"/>
    </row>
    <row r="10" spans="1:42" x14ac:dyDescent="0.25">
      <c r="A10" s="40"/>
      <c r="B10" s="41"/>
      <c r="C10" s="41"/>
      <c r="D10" s="43"/>
      <c r="E10" s="44"/>
      <c r="F10" s="41"/>
      <c r="G10" s="51"/>
      <c r="H10" s="45"/>
      <c r="I10" s="46"/>
      <c r="J10" s="46"/>
      <c r="K10" s="47"/>
      <c r="L10" s="47"/>
      <c r="M10" s="46"/>
      <c r="N10" s="52" t="str">
        <f>IF(RECIBIDAS_GASTOS!F10="","",CONCATENATE(RECIBIDAS_GASTOS!F10,"-",COUNTIF(RECIBIDAS_GASTOS!F:F,RECIBIDAS_GASTOS!F10)))</f>
        <v/>
      </c>
      <c r="O10" s="52" t="str">
        <f>IF(RECIBIDAS_GASTOS!F10="","",CONCATENATE(RECIBIDAS_GASTOS!F10,"-",COUNTIF(RECIBIDAS_GASTOS!F:F,RECIBIDAS_GASTOS!F10)))</f>
        <v/>
      </c>
      <c r="P10" s="41"/>
      <c r="Q10" s="47"/>
      <c r="R10" s="47"/>
      <c r="S10" s="47"/>
      <c r="T10" s="41"/>
      <c r="U10" s="53"/>
      <c r="V10" s="53"/>
      <c r="W10" s="53"/>
      <c r="X10" s="40"/>
      <c r="Y10" s="41"/>
      <c r="Z10" s="48" t="str">
        <f t="shared" si="0"/>
        <v/>
      </c>
      <c r="AA10" s="49"/>
      <c r="AB10" s="50"/>
      <c r="AC10" s="48" t="str">
        <f t="shared" si="1"/>
        <v/>
      </c>
      <c r="AD10" s="49"/>
      <c r="AE10" s="50"/>
      <c r="AF10" s="48" t="str">
        <f t="shared" si="2"/>
        <v/>
      </c>
      <c r="AG10" s="46"/>
      <c r="AH10" s="49"/>
      <c r="AI10" s="41"/>
      <c r="AJ10" s="47"/>
      <c r="AK10" s="45"/>
      <c r="AL10" s="45"/>
      <c r="AM10" s="47"/>
      <c r="AN10" s="41"/>
      <c r="AO10" s="47"/>
      <c r="AP10" s="47"/>
    </row>
    <row r="11" spans="1:42" x14ac:dyDescent="0.25">
      <c r="A11" s="40"/>
      <c r="B11" s="41"/>
      <c r="C11" s="41"/>
      <c r="D11" s="43"/>
      <c r="E11" s="44"/>
      <c r="F11" s="41"/>
      <c r="G11" s="51"/>
      <c r="H11" s="45"/>
      <c r="I11" s="46"/>
      <c r="J11" s="46"/>
      <c r="K11" s="47"/>
      <c r="L11" s="47"/>
      <c r="M11" s="46"/>
      <c r="N11" s="52" t="str">
        <f>IF(RECIBIDAS_GASTOS!F11="","",CONCATENATE(RECIBIDAS_GASTOS!F11,"-",COUNTIF(RECIBIDAS_GASTOS!F:F,RECIBIDAS_GASTOS!F11)))</f>
        <v/>
      </c>
      <c r="O11" s="52" t="str">
        <f>IF(RECIBIDAS_GASTOS!F11="","",CONCATENATE(RECIBIDAS_GASTOS!F11,"-",COUNTIF(RECIBIDAS_GASTOS!F:F,RECIBIDAS_GASTOS!F11)))</f>
        <v/>
      </c>
      <c r="P11" s="41"/>
      <c r="Q11" s="47"/>
      <c r="R11" s="47"/>
      <c r="S11" s="47"/>
      <c r="T11" s="41"/>
      <c r="U11" s="53"/>
      <c r="V11" s="53"/>
      <c r="W11" s="53"/>
      <c r="X11" s="40"/>
      <c r="Y11" s="41"/>
      <c r="Z11" s="48" t="str">
        <f t="shared" si="0"/>
        <v/>
      </c>
      <c r="AA11" s="49"/>
      <c r="AB11" s="50"/>
      <c r="AC11" s="48" t="str">
        <f t="shared" si="1"/>
        <v/>
      </c>
      <c r="AD11" s="49"/>
      <c r="AE11" s="50"/>
      <c r="AF11" s="48" t="str">
        <f t="shared" si="2"/>
        <v/>
      </c>
      <c r="AG11" s="46"/>
      <c r="AH11" s="49"/>
      <c r="AI11" s="41"/>
      <c r="AJ11" s="47"/>
      <c r="AK11" s="45"/>
      <c r="AL11" s="45"/>
      <c r="AM11" s="47"/>
      <c r="AN11" s="41"/>
      <c r="AO11" s="47"/>
      <c r="AP11" s="47"/>
    </row>
    <row r="12" spans="1:42" x14ac:dyDescent="0.25">
      <c r="A12" s="40"/>
      <c r="B12" s="41"/>
      <c r="C12" s="41"/>
      <c r="D12" s="43"/>
      <c r="E12" s="44"/>
      <c r="F12" s="41"/>
      <c r="G12" s="51"/>
      <c r="H12" s="45"/>
      <c r="I12" s="46"/>
      <c r="J12" s="46"/>
      <c r="K12" s="47"/>
      <c r="L12" s="47"/>
      <c r="M12" s="46"/>
      <c r="N12" s="52" t="str">
        <f>IF(RECIBIDAS_GASTOS!F12="","",CONCATENATE(RECIBIDAS_GASTOS!F12,"-",COUNTIF(RECIBIDAS_GASTOS!F:F,RECIBIDAS_GASTOS!F12)))</f>
        <v/>
      </c>
      <c r="O12" s="52" t="str">
        <f>IF(RECIBIDAS_GASTOS!F12="","",CONCATENATE(RECIBIDAS_GASTOS!F12,"-",COUNTIF(RECIBIDAS_GASTOS!F:F,RECIBIDAS_GASTOS!F12)))</f>
        <v/>
      </c>
      <c r="P12" s="41"/>
      <c r="Q12" s="47"/>
      <c r="R12" s="47"/>
      <c r="S12" s="47"/>
      <c r="T12" s="41"/>
      <c r="U12" s="53"/>
      <c r="V12" s="53"/>
      <c r="W12" s="53"/>
      <c r="X12" s="40"/>
      <c r="Y12" s="41"/>
      <c r="Z12" s="48" t="str">
        <f t="shared" si="0"/>
        <v/>
      </c>
      <c r="AA12" s="49"/>
      <c r="AB12" s="50"/>
      <c r="AC12" s="48" t="str">
        <f t="shared" si="1"/>
        <v/>
      </c>
      <c r="AD12" s="49"/>
      <c r="AE12" s="50"/>
      <c r="AF12" s="48" t="str">
        <f t="shared" si="2"/>
        <v/>
      </c>
      <c r="AG12" s="46"/>
      <c r="AH12" s="49"/>
      <c r="AI12" s="41"/>
      <c r="AJ12" s="47"/>
      <c r="AK12" s="45"/>
      <c r="AL12" s="45"/>
      <c r="AM12" s="47"/>
      <c r="AN12" s="41"/>
      <c r="AO12" s="47"/>
      <c r="AP12" s="47"/>
    </row>
    <row r="13" spans="1:42" x14ac:dyDescent="0.25">
      <c r="A13" s="40"/>
      <c r="B13" s="41"/>
      <c r="C13" s="41"/>
      <c r="D13" s="43"/>
      <c r="E13" s="44"/>
      <c r="F13" s="41"/>
      <c r="G13" s="51"/>
      <c r="H13" s="45"/>
      <c r="I13" s="46"/>
      <c r="J13" s="46"/>
      <c r="K13" s="47"/>
      <c r="L13" s="47"/>
      <c r="M13" s="46"/>
      <c r="N13" s="52" t="str">
        <f>IF(RECIBIDAS_GASTOS!F13="","",CONCATENATE(RECIBIDAS_GASTOS!F13,"-",COUNTIF(RECIBIDAS_GASTOS!F:F,RECIBIDAS_GASTOS!F13)))</f>
        <v/>
      </c>
      <c r="O13" s="52" t="str">
        <f>IF(RECIBIDAS_GASTOS!F13="","",CONCATENATE(RECIBIDAS_GASTOS!F13,"-",COUNTIF(RECIBIDAS_GASTOS!F:F,RECIBIDAS_GASTOS!F13)))</f>
        <v/>
      </c>
      <c r="P13" s="41"/>
      <c r="Q13" s="47"/>
      <c r="R13" s="47"/>
      <c r="S13" s="47"/>
      <c r="T13" s="41"/>
      <c r="U13" s="53"/>
      <c r="V13" s="53"/>
      <c r="W13" s="53"/>
      <c r="X13" s="40"/>
      <c r="Y13" s="41"/>
      <c r="Z13" s="48" t="str">
        <f t="shared" si="0"/>
        <v/>
      </c>
      <c r="AA13" s="49"/>
      <c r="AB13" s="50"/>
      <c r="AC13" s="48" t="str">
        <f t="shared" si="1"/>
        <v/>
      </c>
      <c r="AD13" s="49"/>
      <c r="AE13" s="50"/>
      <c r="AF13" s="48" t="str">
        <f t="shared" si="2"/>
        <v/>
      </c>
      <c r="AG13" s="46"/>
      <c r="AH13" s="49"/>
      <c r="AI13" s="41"/>
      <c r="AJ13" s="47"/>
      <c r="AK13" s="45"/>
      <c r="AL13" s="45"/>
      <c r="AM13" s="47"/>
      <c r="AN13" s="41"/>
      <c r="AO13" s="47"/>
      <c r="AP13" s="47"/>
    </row>
    <row r="14" spans="1:42" x14ac:dyDescent="0.25">
      <c r="A14" s="40"/>
      <c r="B14" s="41"/>
      <c r="C14" s="41"/>
      <c r="D14" s="43"/>
      <c r="E14" s="44"/>
      <c r="F14" s="41"/>
      <c r="G14" s="51"/>
      <c r="H14" s="45"/>
      <c r="I14" s="46"/>
      <c r="J14" s="46"/>
      <c r="K14" s="47"/>
      <c r="L14" s="47"/>
      <c r="M14" s="46"/>
      <c r="N14" s="52" t="str">
        <f>IF(RECIBIDAS_GASTOS!F14="","",CONCATENATE(RECIBIDAS_GASTOS!F14,"-",COUNTIF(RECIBIDAS_GASTOS!F:F,RECIBIDAS_GASTOS!F14)))</f>
        <v/>
      </c>
      <c r="O14" s="52" t="str">
        <f>IF(RECIBIDAS_GASTOS!F14="","",CONCATENATE(RECIBIDAS_GASTOS!F14,"-",COUNTIF(RECIBIDAS_GASTOS!F:F,RECIBIDAS_GASTOS!F14)))</f>
        <v/>
      </c>
      <c r="P14" s="41"/>
      <c r="Q14" s="47"/>
      <c r="R14" s="47"/>
      <c r="S14" s="47"/>
      <c r="T14" s="41"/>
      <c r="U14" s="53"/>
      <c r="V14" s="53"/>
      <c r="W14" s="53"/>
      <c r="X14" s="40"/>
      <c r="Y14" s="41"/>
      <c r="Z14" s="48" t="str">
        <f t="shared" si="0"/>
        <v/>
      </c>
      <c r="AA14" s="49"/>
      <c r="AB14" s="50"/>
      <c r="AC14" s="48" t="str">
        <f t="shared" si="1"/>
        <v/>
      </c>
      <c r="AD14" s="49"/>
      <c r="AE14" s="50"/>
      <c r="AF14" s="48" t="str">
        <f t="shared" si="2"/>
        <v/>
      </c>
      <c r="AG14" s="46"/>
      <c r="AH14" s="49"/>
      <c r="AI14" s="41"/>
      <c r="AJ14" s="47"/>
      <c r="AK14" s="45"/>
      <c r="AL14" s="45"/>
      <c r="AM14" s="47"/>
      <c r="AN14" s="41"/>
      <c r="AO14" s="47"/>
      <c r="AP14" s="47"/>
    </row>
    <row r="15" spans="1:42" x14ac:dyDescent="0.25">
      <c r="A15" s="40"/>
      <c r="B15" s="41"/>
      <c r="C15" s="41"/>
      <c r="D15" s="43"/>
      <c r="E15" s="44"/>
      <c r="F15" s="41"/>
      <c r="G15" s="51"/>
      <c r="H15" s="45"/>
      <c r="I15" s="46"/>
      <c r="J15" s="46"/>
      <c r="K15" s="47"/>
      <c r="L15" s="47"/>
      <c r="M15" s="46"/>
      <c r="N15" s="52" t="str">
        <f>IF(RECIBIDAS_GASTOS!F15="","",CONCATENATE(RECIBIDAS_GASTOS!F15,"-",COUNTIF(RECIBIDAS_GASTOS!F:F,RECIBIDAS_GASTOS!F15)))</f>
        <v/>
      </c>
      <c r="O15" s="52" t="str">
        <f>IF(RECIBIDAS_GASTOS!F15="","",CONCATENATE(RECIBIDAS_GASTOS!F15,"-",COUNTIF(RECIBIDAS_GASTOS!F:F,RECIBIDAS_GASTOS!F15)))</f>
        <v/>
      </c>
      <c r="P15" s="41"/>
      <c r="Q15" s="47"/>
      <c r="R15" s="47"/>
      <c r="S15" s="47"/>
      <c r="T15" s="41"/>
      <c r="U15" s="53"/>
      <c r="V15" s="53"/>
      <c r="W15" s="53"/>
      <c r="X15" s="40"/>
      <c r="Y15" s="41"/>
      <c r="Z15" s="48" t="str">
        <f t="shared" si="0"/>
        <v/>
      </c>
      <c r="AA15" s="49"/>
      <c r="AB15" s="50"/>
      <c r="AC15" s="48" t="str">
        <f t="shared" si="1"/>
        <v/>
      </c>
      <c r="AD15" s="49"/>
      <c r="AE15" s="50"/>
      <c r="AF15" s="48" t="str">
        <f t="shared" si="2"/>
        <v/>
      </c>
      <c r="AG15" s="46"/>
      <c r="AH15" s="49"/>
      <c r="AI15" s="41"/>
      <c r="AJ15" s="47"/>
      <c r="AK15" s="45"/>
      <c r="AL15" s="45"/>
      <c r="AM15" s="47"/>
      <c r="AN15" s="41"/>
      <c r="AO15" s="47"/>
      <c r="AP15" s="47"/>
    </row>
    <row r="16" spans="1:42" x14ac:dyDescent="0.25">
      <c r="A16" s="40"/>
      <c r="B16" s="41"/>
      <c r="C16" s="41"/>
      <c r="D16" s="43"/>
      <c r="E16" s="44"/>
      <c r="F16" s="41"/>
      <c r="G16" s="51"/>
      <c r="H16" s="45"/>
      <c r="I16" s="46"/>
      <c r="J16" s="46"/>
      <c r="K16" s="47"/>
      <c r="L16" s="47"/>
      <c r="M16" s="46"/>
      <c r="N16" s="52" t="str">
        <f>IF(RECIBIDAS_GASTOS!F16="","",CONCATENATE(RECIBIDAS_GASTOS!F16,"-",COUNTIF(RECIBIDAS_GASTOS!F:F,RECIBIDAS_GASTOS!F16)))</f>
        <v/>
      </c>
      <c r="O16" s="52" t="str">
        <f>IF(RECIBIDAS_GASTOS!F16="","",CONCATENATE(RECIBIDAS_GASTOS!F16,"-",COUNTIF(RECIBIDAS_GASTOS!F:F,RECIBIDAS_GASTOS!F16)))</f>
        <v/>
      </c>
      <c r="P16" s="41"/>
      <c r="Q16" s="47"/>
      <c r="R16" s="47"/>
      <c r="S16" s="47"/>
      <c r="T16" s="41"/>
      <c r="U16" s="53"/>
      <c r="V16" s="53"/>
      <c r="W16" s="53"/>
      <c r="X16" s="40"/>
      <c r="Y16" s="41"/>
      <c r="Z16" s="48" t="str">
        <f t="shared" si="0"/>
        <v/>
      </c>
      <c r="AA16" s="49"/>
      <c r="AB16" s="50"/>
      <c r="AC16" s="48" t="str">
        <f t="shared" si="1"/>
        <v/>
      </c>
      <c r="AD16" s="49"/>
      <c r="AE16" s="50"/>
      <c r="AF16" s="48" t="str">
        <f t="shared" si="2"/>
        <v/>
      </c>
      <c r="AG16" s="46"/>
      <c r="AH16" s="49"/>
      <c r="AI16" s="41"/>
      <c r="AJ16" s="47"/>
      <c r="AK16" s="45"/>
      <c r="AL16" s="45"/>
      <c r="AM16" s="47"/>
      <c r="AN16" s="41"/>
      <c r="AO16" s="47"/>
      <c r="AP16" s="47"/>
    </row>
    <row r="17" spans="1:42" x14ac:dyDescent="0.25">
      <c r="A17" s="40"/>
      <c r="B17" s="41"/>
      <c r="C17" s="41"/>
      <c r="D17" s="43"/>
      <c r="E17" s="44"/>
      <c r="F17" s="41"/>
      <c r="G17" s="51"/>
      <c r="H17" s="45"/>
      <c r="I17" s="46"/>
      <c r="J17" s="46"/>
      <c r="K17" s="47"/>
      <c r="L17" s="47"/>
      <c r="M17" s="46"/>
      <c r="N17" s="52" t="str">
        <f>IF(RECIBIDAS_GASTOS!F17="","",CONCATENATE(RECIBIDAS_GASTOS!F17,"-",COUNTIF(RECIBIDAS_GASTOS!F:F,RECIBIDAS_GASTOS!F17)))</f>
        <v/>
      </c>
      <c r="O17" s="52" t="str">
        <f>IF(RECIBIDAS_GASTOS!F17="","",CONCATENATE(RECIBIDAS_GASTOS!F17,"-",COUNTIF(RECIBIDAS_GASTOS!F:F,RECIBIDAS_GASTOS!F17)))</f>
        <v/>
      </c>
      <c r="P17" s="41"/>
      <c r="Q17" s="47"/>
      <c r="R17" s="47"/>
      <c r="S17" s="47"/>
      <c r="T17" s="41"/>
      <c r="U17" s="53"/>
      <c r="V17" s="53"/>
      <c r="W17" s="53"/>
      <c r="X17" s="40"/>
      <c r="Y17" s="41"/>
      <c r="Z17" s="48" t="str">
        <f t="shared" si="0"/>
        <v/>
      </c>
      <c r="AA17" s="49"/>
      <c r="AB17" s="50"/>
      <c r="AC17" s="48" t="str">
        <f t="shared" si="1"/>
        <v/>
      </c>
      <c r="AD17" s="49"/>
      <c r="AE17" s="50"/>
      <c r="AF17" s="48" t="str">
        <f t="shared" si="2"/>
        <v/>
      </c>
      <c r="AG17" s="46"/>
      <c r="AH17" s="49"/>
      <c r="AI17" s="41"/>
      <c r="AJ17" s="47"/>
      <c r="AK17" s="45"/>
      <c r="AL17" s="45"/>
      <c r="AM17" s="47"/>
      <c r="AN17" s="41"/>
      <c r="AO17" s="47"/>
      <c r="AP17" s="47"/>
    </row>
    <row r="18" spans="1:42" x14ac:dyDescent="0.25">
      <c r="A18" s="40"/>
      <c r="B18" s="41"/>
      <c r="C18" s="41"/>
      <c r="D18" s="43"/>
      <c r="E18" s="44"/>
      <c r="F18" s="41"/>
      <c r="G18" s="51"/>
      <c r="H18" s="45"/>
      <c r="I18" s="46"/>
      <c r="J18" s="46"/>
      <c r="K18" s="47"/>
      <c r="L18" s="47"/>
      <c r="M18" s="46"/>
      <c r="N18" s="52" t="str">
        <f>IF(RECIBIDAS_GASTOS!F18="","",CONCATENATE(RECIBIDAS_GASTOS!F18,"-",COUNTIF(RECIBIDAS_GASTOS!F:F,RECIBIDAS_GASTOS!F18)))</f>
        <v/>
      </c>
      <c r="O18" s="52" t="str">
        <f>IF(RECIBIDAS_GASTOS!F18="","",CONCATENATE(RECIBIDAS_GASTOS!F18,"-",COUNTIF(RECIBIDAS_GASTOS!F:F,RECIBIDAS_GASTOS!F18)))</f>
        <v/>
      </c>
      <c r="P18" s="41"/>
      <c r="Q18" s="47"/>
      <c r="R18" s="47"/>
      <c r="S18" s="47"/>
      <c r="T18" s="41"/>
      <c r="U18" s="53"/>
      <c r="V18" s="53"/>
      <c r="W18" s="53"/>
      <c r="X18" s="40"/>
      <c r="Y18" s="41"/>
      <c r="Z18" s="48" t="str">
        <f t="shared" si="0"/>
        <v/>
      </c>
      <c r="AA18" s="49"/>
      <c r="AB18" s="50"/>
      <c r="AC18" s="48" t="str">
        <f t="shared" si="1"/>
        <v/>
      </c>
      <c r="AD18" s="49"/>
      <c r="AE18" s="50"/>
      <c r="AF18" s="48" t="str">
        <f t="shared" si="2"/>
        <v/>
      </c>
      <c r="AG18" s="46"/>
      <c r="AH18" s="49"/>
      <c r="AI18" s="41"/>
      <c r="AJ18" s="47"/>
      <c r="AK18" s="45"/>
      <c r="AL18" s="45"/>
      <c r="AM18" s="47"/>
      <c r="AN18" s="41"/>
      <c r="AO18" s="47"/>
      <c r="AP18" s="47"/>
    </row>
    <row r="19" spans="1:42" x14ac:dyDescent="0.25">
      <c r="A19" s="40"/>
      <c r="B19" s="41"/>
      <c r="C19" s="41"/>
      <c r="D19" s="43"/>
      <c r="E19" s="44"/>
      <c r="F19" s="41"/>
      <c r="G19" s="51"/>
      <c r="H19" s="45"/>
      <c r="I19" s="46"/>
      <c r="J19" s="46"/>
      <c r="K19" s="47"/>
      <c r="L19" s="47"/>
      <c r="M19" s="46"/>
      <c r="N19" s="52" t="str">
        <f>IF(RECIBIDAS_GASTOS!F19="","",CONCATENATE(RECIBIDAS_GASTOS!F19,"-",COUNTIF(RECIBIDAS_GASTOS!F:F,RECIBIDAS_GASTOS!F19)))</f>
        <v/>
      </c>
      <c r="O19" s="52" t="str">
        <f>IF(RECIBIDAS_GASTOS!F19="","",CONCATENATE(RECIBIDAS_GASTOS!F19,"-",COUNTIF(RECIBIDAS_GASTOS!F:F,RECIBIDAS_GASTOS!F19)))</f>
        <v/>
      </c>
      <c r="P19" s="41"/>
      <c r="Q19" s="47"/>
      <c r="R19" s="47"/>
      <c r="S19" s="47"/>
      <c r="T19" s="41"/>
      <c r="U19" s="53"/>
      <c r="V19" s="53"/>
      <c r="W19" s="53"/>
      <c r="X19" s="40"/>
      <c r="Y19" s="41"/>
      <c r="Z19" s="48" t="str">
        <f t="shared" si="0"/>
        <v/>
      </c>
      <c r="AA19" s="49"/>
      <c r="AB19" s="50"/>
      <c r="AC19" s="48" t="str">
        <f t="shared" si="1"/>
        <v/>
      </c>
      <c r="AD19" s="49"/>
      <c r="AE19" s="50"/>
      <c r="AF19" s="48" t="str">
        <f t="shared" si="2"/>
        <v/>
      </c>
      <c r="AG19" s="46"/>
      <c r="AH19" s="49"/>
      <c r="AI19" s="41"/>
      <c r="AJ19" s="47"/>
      <c r="AK19" s="45"/>
      <c r="AL19" s="45"/>
      <c r="AM19" s="47"/>
      <c r="AN19" s="41"/>
      <c r="AO19" s="47"/>
      <c r="AP19" s="47"/>
    </row>
    <row r="20" spans="1:42" x14ac:dyDescent="0.25">
      <c r="A20" s="40"/>
      <c r="B20" s="41"/>
      <c r="C20" s="41"/>
      <c r="D20" s="43"/>
      <c r="E20" s="44"/>
      <c r="F20" s="41"/>
      <c r="G20" s="51"/>
      <c r="H20" s="45"/>
      <c r="I20" s="46"/>
      <c r="J20" s="46"/>
      <c r="K20" s="47"/>
      <c r="L20" s="47"/>
      <c r="M20" s="46"/>
      <c r="N20" s="52" t="str">
        <f>IF(RECIBIDAS_GASTOS!F20="","",CONCATENATE(RECIBIDAS_GASTOS!F20,"-",COUNTIF(RECIBIDAS_GASTOS!F:F,RECIBIDAS_GASTOS!F20)))</f>
        <v/>
      </c>
      <c r="O20" s="52" t="str">
        <f>IF(RECIBIDAS_GASTOS!F20="","",CONCATENATE(RECIBIDAS_GASTOS!F20,"-",COUNTIF(RECIBIDAS_GASTOS!F:F,RECIBIDAS_GASTOS!F20)))</f>
        <v/>
      </c>
      <c r="P20" s="41"/>
      <c r="Q20" s="47"/>
      <c r="R20" s="47"/>
      <c r="S20" s="47"/>
      <c r="T20" s="41"/>
      <c r="U20" s="53"/>
      <c r="V20" s="53"/>
      <c r="W20" s="53"/>
      <c r="X20" s="40"/>
      <c r="Y20" s="41"/>
      <c r="Z20" s="48" t="str">
        <f t="shared" si="0"/>
        <v/>
      </c>
      <c r="AA20" s="49"/>
      <c r="AB20" s="50"/>
      <c r="AC20" s="48" t="str">
        <f t="shared" si="1"/>
        <v/>
      </c>
      <c r="AD20" s="49"/>
      <c r="AE20" s="50"/>
      <c r="AF20" s="48" t="str">
        <f t="shared" si="2"/>
        <v/>
      </c>
      <c r="AG20" s="46"/>
      <c r="AH20" s="49"/>
      <c r="AI20" s="41"/>
      <c r="AJ20" s="47"/>
      <c r="AK20" s="45"/>
      <c r="AL20" s="45"/>
      <c r="AM20" s="47"/>
      <c r="AN20" s="41"/>
      <c r="AO20" s="47"/>
      <c r="AP20" s="47"/>
    </row>
    <row r="21" spans="1:42" x14ac:dyDescent="0.25">
      <c r="A21" s="40"/>
      <c r="B21" s="41"/>
      <c r="C21" s="41"/>
      <c r="D21" s="43"/>
      <c r="E21" s="44"/>
      <c r="F21" s="41"/>
      <c r="G21" s="51"/>
      <c r="H21" s="45"/>
      <c r="I21" s="46"/>
      <c r="J21" s="46"/>
      <c r="K21" s="47"/>
      <c r="L21" s="47"/>
      <c r="M21" s="46"/>
      <c r="N21" s="52" t="str">
        <f>IF(RECIBIDAS_GASTOS!F21="","",CONCATENATE(RECIBIDAS_GASTOS!F21,"-",COUNTIF(RECIBIDAS_GASTOS!F:F,RECIBIDAS_GASTOS!F21)))</f>
        <v/>
      </c>
      <c r="O21" s="52" t="str">
        <f>IF(RECIBIDAS_GASTOS!F21="","",CONCATENATE(RECIBIDAS_GASTOS!F21,"-",COUNTIF(RECIBIDAS_GASTOS!F:F,RECIBIDAS_GASTOS!F21)))</f>
        <v/>
      </c>
      <c r="P21" s="41"/>
      <c r="Q21" s="47"/>
      <c r="R21" s="47"/>
      <c r="S21" s="47"/>
      <c r="T21" s="41"/>
      <c r="U21" s="53"/>
      <c r="V21" s="53"/>
      <c r="W21" s="53"/>
      <c r="X21" s="40"/>
      <c r="Y21" s="41"/>
      <c r="Z21" s="48" t="str">
        <f t="shared" si="0"/>
        <v/>
      </c>
      <c r="AA21" s="49"/>
      <c r="AB21" s="50"/>
      <c r="AC21" s="48" t="str">
        <f t="shared" si="1"/>
        <v/>
      </c>
      <c r="AD21" s="49"/>
      <c r="AE21" s="50"/>
      <c r="AF21" s="48" t="str">
        <f t="shared" si="2"/>
        <v/>
      </c>
      <c r="AG21" s="46"/>
      <c r="AH21" s="49"/>
      <c r="AI21" s="41"/>
      <c r="AJ21" s="47"/>
      <c r="AK21" s="45"/>
      <c r="AL21" s="45"/>
      <c r="AM21" s="47"/>
      <c r="AN21" s="41"/>
      <c r="AO21" s="47"/>
      <c r="AP21" s="47"/>
    </row>
    <row r="22" spans="1:42" x14ac:dyDescent="0.25">
      <c r="A22" s="40"/>
      <c r="B22" s="41"/>
      <c r="C22" s="41"/>
      <c r="D22" s="43"/>
      <c r="E22" s="44"/>
      <c r="F22" s="41"/>
      <c r="G22" s="51"/>
      <c r="H22" s="45"/>
      <c r="I22" s="46"/>
      <c r="J22" s="46"/>
      <c r="K22" s="47"/>
      <c r="L22" s="47"/>
      <c r="M22" s="46"/>
      <c r="N22" s="52" t="str">
        <f>IF(RECIBIDAS_GASTOS!F22="","",CONCATENATE(RECIBIDAS_GASTOS!F22,"-",COUNTIF(RECIBIDAS_GASTOS!F:F,RECIBIDAS_GASTOS!F22)))</f>
        <v/>
      </c>
      <c r="O22" s="52" t="str">
        <f>IF(RECIBIDAS_GASTOS!F22="","",CONCATENATE(RECIBIDAS_GASTOS!F22,"-",COUNTIF(RECIBIDAS_GASTOS!F:F,RECIBIDAS_GASTOS!F22)))</f>
        <v/>
      </c>
      <c r="P22" s="41"/>
      <c r="Q22" s="47"/>
      <c r="R22" s="47"/>
      <c r="S22" s="47"/>
      <c r="T22" s="41"/>
      <c r="U22" s="53"/>
      <c r="V22" s="53"/>
      <c r="W22" s="53"/>
      <c r="X22" s="40"/>
      <c r="Y22" s="41"/>
      <c r="Z22" s="48" t="str">
        <f t="shared" si="0"/>
        <v/>
      </c>
      <c r="AA22" s="49"/>
      <c r="AB22" s="50"/>
      <c r="AC22" s="48" t="str">
        <f t="shared" si="1"/>
        <v/>
      </c>
      <c r="AD22" s="49"/>
      <c r="AE22" s="50"/>
      <c r="AF22" s="48" t="str">
        <f t="shared" si="2"/>
        <v/>
      </c>
      <c r="AG22" s="46"/>
      <c r="AH22" s="49"/>
      <c r="AI22" s="41"/>
      <c r="AJ22" s="47"/>
      <c r="AK22" s="45"/>
      <c r="AL22" s="45"/>
      <c r="AM22" s="47"/>
      <c r="AN22" s="41"/>
      <c r="AO22" s="47"/>
      <c r="AP22" s="47"/>
    </row>
    <row r="23" spans="1:42" x14ac:dyDescent="0.25">
      <c r="A23" s="40"/>
      <c r="B23" s="41"/>
      <c r="C23" s="41"/>
      <c r="D23" s="43"/>
      <c r="E23" s="44"/>
      <c r="F23" s="41"/>
      <c r="G23" s="51"/>
      <c r="H23" s="45"/>
      <c r="I23" s="46"/>
      <c r="J23" s="46"/>
      <c r="K23" s="47"/>
      <c r="L23" s="47"/>
      <c r="M23" s="46"/>
      <c r="N23" s="52" t="str">
        <f>IF(RECIBIDAS_GASTOS!F23="","",CONCATENATE(RECIBIDAS_GASTOS!F23,"-",COUNTIF(RECIBIDAS_GASTOS!F:F,RECIBIDAS_GASTOS!F23)))</f>
        <v/>
      </c>
      <c r="O23" s="52" t="str">
        <f>IF(RECIBIDAS_GASTOS!F23="","",CONCATENATE(RECIBIDAS_GASTOS!F23,"-",COUNTIF(RECIBIDAS_GASTOS!F:F,RECIBIDAS_GASTOS!F23)))</f>
        <v/>
      </c>
      <c r="P23" s="41"/>
      <c r="Q23" s="47"/>
      <c r="R23" s="47"/>
      <c r="S23" s="47"/>
      <c r="T23" s="41"/>
      <c r="U23" s="53"/>
      <c r="V23" s="53"/>
      <c r="W23" s="53"/>
      <c r="X23" s="40"/>
      <c r="Y23" s="41"/>
      <c r="Z23" s="48" t="str">
        <f t="shared" si="0"/>
        <v/>
      </c>
      <c r="AA23" s="49"/>
      <c r="AB23" s="50"/>
      <c r="AC23" s="48" t="str">
        <f t="shared" si="1"/>
        <v/>
      </c>
      <c r="AD23" s="49"/>
      <c r="AE23" s="50"/>
      <c r="AF23" s="48" t="str">
        <f t="shared" si="2"/>
        <v/>
      </c>
      <c r="AG23" s="46"/>
      <c r="AH23" s="49"/>
      <c r="AI23" s="41"/>
      <c r="AJ23" s="47"/>
      <c r="AK23" s="45"/>
      <c r="AL23" s="45"/>
      <c r="AM23" s="47"/>
      <c r="AN23" s="41"/>
      <c r="AO23" s="47"/>
      <c r="AP23" s="47"/>
    </row>
    <row r="24" spans="1:42" x14ac:dyDescent="0.25">
      <c r="A24" s="40"/>
      <c r="B24" s="41"/>
      <c r="C24" s="41"/>
      <c r="D24" s="43"/>
      <c r="E24" s="44"/>
      <c r="F24" s="41"/>
      <c r="G24" s="51"/>
      <c r="H24" s="45"/>
      <c r="I24" s="46"/>
      <c r="J24" s="46"/>
      <c r="K24" s="47"/>
      <c r="L24" s="47"/>
      <c r="M24" s="46"/>
      <c r="N24" s="52" t="str">
        <f>IF(RECIBIDAS_GASTOS!F24="","",CONCATENATE(RECIBIDAS_GASTOS!F24,"-",COUNTIF(RECIBIDAS_GASTOS!F:F,RECIBIDAS_GASTOS!F24)))</f>
        <v/>
      </c>
      <c r="O24" s="52" t="str">
        <f>IF(RECIBIDAS_GASTOS!F24="","",CONCATENATE(RECIBIDAS_GASTOS!F24,"-",COUNTIF(RECIBIDAS_GASTOS!F:F,RECIBIDAS_GASTOS!F24)))</f>
        <v/>
      </c>
      <c r="P24" s="41"/>
      <c r="Q24" s="47"/>
      <c r="R24" s="47"/>
      <c r="S24" s="47"/>
      <c r="T24" s="41"/>
      <c r="U24" s="53"/>
      <c r="V24" s="53"/>
      <c r="W24" s="53"/>
      <c r="X24" s="40"/>
      <c r="Y24" s="41"/>
      <c r="Z24" s="48" t="str">
        <f t="shared" si="0"/>
        <v/>
      </c>
      <c r="AA24" s="49"/>
      <c r="AB24" s="50"/>
      <c r="AC24" s="48" t="str">
        <f t="shared" si="1"/>
        <v/>
      </c>
      <c r="AD24" s="49"/>
      <c r="AE24" s="50"/>
      <c r="AF24" s="48" t="str">
        <f t="shared" si="2"/>
        <v/>
      </c>
      <c r="AG24" s="46"/>
      <c r="AH24" s="49"/>
      <c r="AI24" s="41"/>
      <c r="AJ24" s="47"/>
      <c r="AK24" s="45"/>
      <c r="AL24" s="45"/>
      <c r="AM24" s="47"/>
      <c r="AN24" s="41"/>
      <c r="AO24" s="47"/>
      <c r="AP24" s="47"/>
    </row>
    <row r="25" spans="1:42" x14ac:dyDescent="0.25">
      <c r="A25" s="40"/>
      <c r="B25" s="41"/>
      <c r="C25" s="41"/>
      <c r="D25" s="43"/>
      <c r="E25" s="44"/>
      <c r="F25" s="41"/>
      <c r="G25" s="51"/>
      <c r="H25" s="45"/>
      <c r="I25" s="46"/>
      <c r="J25" s="46"/>
      <c r="K25" s="47"/>
      <c r="L25" s="47"/>
      <c r="M25" s="46"/>
      <c r="N25" s="52" t="str">
        <f>IF(RECIBIDAS_GASTOS!F25="","",CONCATENATE(RECIBIDAS_GASTOS!F25,"-",COUNTIF(RECIBIDAS_GASTOS!F:F,RECIBIDAS_GASTOS!F25)))</f>
        <v/>
      </c>
      <c r="O25" s="52" t="str">
        <f>IF(RECIBIDAS_GASTOS!F25="","",CONCATENATE(RECIBIDAS_GASTOS!F25,"-",COUNTIF(RECIBIDAS_GASTOS!F:F,RECIBIDAS_GASTOS!F25)))</f>
        <v/>
      </c>
      <c r="P25" s="41"/>
      <c r="Q25" s="47"/>
      <c r="R25" s="47"/>
      <c r="S25" s="47"/>
      <c r="T25" s="41"/>
      <c r="U25" s="53"/>
      <c r="V25" s="53"/>
      <c r="W25" s="53"/>
      <c r="X25" s="40"/>
      <c r="Y25" s="41"/>
      <c r="Z25" s="48" t="str">
        <f t="shared" si="0"/>
        <v/>
      </c>
      <c r="AA25" s="49"/>
      <c r="AB25" s="50"/>
      <c r="AC25" s="48" t="str">
        <f t="shared" si="1"/>
        <v/>
      </c>
      <c r="AD25" s="49"/>
      <c r="AE25" s="50"/>
      <c r="AF25" s="48" t="str">
        <f t="shared" si="2"/>
        <v/>
      </c>
      <c r="AG25" s="46"/>
      <c r="AH25" s="49"/>
      <c r="AI25" s="41"/>
      <c r="AJ25" s="47"/>
      <c r="AK25" s="45"/>
      <c r="AL25" s="45"/>
      <c r="AM25" s="47"/>
      <c r="AN25" s="41"/>
      <c r="AO25" s="47"/>
      <c r="AP25" s="47"/>
    </row>
    <row r="26" spans="1:42" x14ac:dyDescent="0.25">
      <c r="A26" s="40"/>
      <c r="B26" s="41"/>
      <c r="C26" s="41"/>
      <c r="D26" s="43"/>
      <c r="E26" s="44"/>
      <c r="F26" s="41"/>
      <c r="G26" s="51"/>
      <c r="H26" s="45"/>
      <c r="I26" s="46"/>
      <c r="J26" s="46"/>
      <c r="K26" s="47"/>
      <c r="L26" s="47"/>
      <c r="M26" s="46"/>
      <c r="N26" s="52" t="str">
        <f>IF(RECIBIDAS_GASTOS!F26="","",CONCATENATE(RECIBIDAS_GASTOS!F26,"-",COUNTIF(RECIBIDAS_GASTOS!F:F,RECIBIDAS_GASTOS!F26)))</f>
        <v/>
      </c>
      <c r="O26" s="52" t="str">
        <f>IF(RECIBIDAS_GASTOS!F26="","",CONCATENATE(RECIBIDAS_GASTOS!F26,"-",COUNTIF(RECIBIDAS_GASTOS!F:F,RECIBIDAS_GASTOS!F26)))</f>
        <v/>
      </c>
      <c r="P26" s="41"/>
      <c r="Q26" s="47"/>
      <c r="R26" s="47"/>
      <c r="S26" s="47"/>
      <c r="T26" s="41"/>
      <c r="U26" s="53"/>
      <c r="V26" s="53"/>
      <c r="W26" s="53"/>
      <c r="X26" s="40"/>
      <c r="Y26" s="41"/>
      <c r="Z26" s="48" t="str">
        <f t="shared" si="0"/>
        <v/>
      </c>
      <c r="AA26" s="49"/>
      <c r="AB26" s="50"/>
      <c r="AC26" s="48" t="str">
        <f t="shared" si="1"/>
        <v/>
      </c>
      <c r="AD26" s="49"/>
      <c r="AE26" s="50"/>
      <c r="AF26" s="48" t="str">
        <f t="shared" si="2"/>
        <v/>
      </c>
      <c r="AG26" s="46"/>
      <c r="AH26" s="49"/>
      <c r="AI26" s="41"/>
      <c r="AJ26" s="47"/>
      <c r="AK26" s="45"/>
      <c r="AL26" s="45"/>
      <c r="AM26" s="47"/>
      <c r="AN26" s="41"/>
      <c r="AO26" s="47"/>
      <c r="AP26" s="47"/>
    </row>
    <row r="27" spans="1:42" x14ac:dyDescent="0.25">
      <c r="A27" s="40"/>
      <c r="B27" s="41"/>
      <c r="C27" s="41"/>
      <c r="D27" s="43"/>
      <c r="E27" s="44"/>
      <c r="F27" s="41"/>
      <c r="G27" s="51"/>
      <c r="H27" s="45"/>
      <c r="I27" s="46"/>
      <c r="J27" s="46"/>
      <c r="K27" s="47"/>
      <c r="L27" s="47"/>
      <c r="M27" s="46"/>
      <c r="N27" s="52" t="str">
        <f>IF(RECIBIDAS_GASTOS!F27="","",CONCATENATE(RECIBIDAS_GASTOS!F27,"-",COUNTIF(RECIBIDAS_GASTOS!F:F,RECIBIDAS_GASTOS!F27)))</f>
        <v/>
      </c>
      <c r="O27" s="52" t="str">
        <f>IF(RECIBIDAS_GASTOS!F27="","",CONCATENATE(RECIBIDAS_GASTOS!F27,"-",COUNTIF(RECIBIDAS_GASTOS!F:F,RECIBIDAS_GASTOS!F27)))</f>
        <v/>
      </c>
      <c r="P27" s="41"/>
      <c r="Q27" s="47"/>
      <c r="R27" s="47"/>
      <c r="S27" s="47"/>
      <c r="T27" s="41"/>
      <c r="U27" s="53"/>
      <c r="V27" s="53"/>
      <c r="W27" s="53"/>
      <c r="X27" s="40"/>
      <c r="Y27" s="41"/>
      <c r="Z27" s="48" t="str">
        <f t="shared" si="0"/>
        <v/>
      </c>
      <c r="AA27" s="49"/>
      <c r="AB27" s="50"/>
      <c r="AC27" s="48" t="str">
        <f t="shared" si="1"/>
        <v/>
      </c>
      <c r="AD27" s="49"/>
      <c r="AE27" s="50"/>
      <c r="AF27" s="48" t="str">
        <f t="shared" si="2"/>
        <v/>
      </c>
      <c r="AG27" s="46"/>
      <c r="AH27" s="49"/>
      <c r="AI27" s="41"/>
      <c r="AJ27" s="47"/>
      <c r="AK27" s="45"/>
      <c r="AL27" s="45"/>
      <c r="AM27" s="47"/>
      <c r="AN27" s="41"/>
      <c r="AO27" s="47"/>
      <c r="AP27" s="47"/>
    </row>
    <row r="28" spans="1:42" x14ac:dyDescent="0.25">
      <c r="A28" s="40"/>
      <c r="B28" s="41"/>
      <c r="C28" s="41"/>
      <c r="D28" s="43"/>
      <c r="E28" s="44"/>
      <c r="F28" s="41"/>
      <c r="G28" s="51"/>
      <c r="H28" s="45"/>
      <c r="I28" s="46"/>
      <c r="J28" s="46"/>
      <c r="K28" s="47"/>
      <c r="L28" s="47"/>
      <c r="M28" s="46"/>
      <c r="N28" s="52" t="str">
        <f>IF(RECIBIDAS_GASTOS!F28="","",CONCATENATE(RECIBIDAS_GASTOS!F28,"-",COUNTIF(RECIBIDAS_GASTOS!F:F,RECIBIDAS_GASTOS!F28)))</f>
        <v/>
      </c>
      <c r="O28" s="52" t="str">
        <f>IF(RECIBIDAS_GASTOS!F28="","",CONCATENATE(RECIBIDAS_GASTOS!F28,"-",COUNTIF(RECIBIDAS_GASTOS!F:F,RECIBIDAS_GASTOS!F28)))</f>
        <v/>
      </c>
      <c r="P28" s="41"/>
      <c r="Q28" s="47"/>
      <c r="R28" s="47"/>
      <c r="S28" s="47"/>
      <c r="T28" s="41"/>
      <c r="U28" s="53"/>
      <c r="V28" s="53"/>
      <c r="W28" s="53"/>
      <c r="X28" s="40"/>
      <c r="Y28" s="41"/>
      <c r="Z28" s="48" t="str">
        <f t="shared" si="0"/>
        <v/>
      </c>
      <c r="AA28" s="49"/>
      <c r="AB28" s="50"/>
      <c r="AC28" s="48" t="str">
        <f t="shared" si="1"/>
        <v/>
      </c>
      <c r="AD28" s="49"/>
      <c r="AE28" s="50"/>
      <c r="AF28" s="48" t="str">
        <f t="shared" si="2"/>
        <v/>
      </c>
      <c r="AG28" s="46"/>
      <c r="AH28" s="49"/>
      <c r="AI28" s="41"/>
      <c r="AJ28" s="47"/>
      <c r="AK28" s="45"/>
      <c r="AL28" s="45"/>
      <c r="AM28" s="47"/>
      <c r="AN28" s="41"/>
      <c r="AO28" s="47"/>
      <c r="AP28" s="47"/>
    </row>
    <row r="29" spans="1:42" x14ac:dyDescent="0.25">
      <c r="A29" s="40"/>
      <c r="B29" s="41"/>
      <c r="C29" s="41"/>
      <c r="D29" s="43"/>
      <c r="E29" s="44"/>
      <c r="F29" s="41"/>
      <c r="G29" s="51"/>
      <c r="H29" s="45"/>
      <c r="I29" s="46"/>
      <c r="J29" s="46"/>
      <c r="K29" s="47"/>
      <c r="L29" s="47"/>
      <c r="M29" s="46"/>
      <c r="N29" s="52" t="str">
        <f>IF(RECIBIDAS_GASTOS!F29="","",CONCATENATE(RECIBIDAS_GASTOS!F29,"-",COUNTIF(RECIBIDAS_GASTOS!F:F,RECIBIDAS_GASTOS!F29)))</f>
        <v/>
      </c>
      <c r="O29" s="52" t="str">
        <f>IF(RECIBIDAS_GASTOS!F29="","",CONCATENATE(RECIBIDAS_GASTOS!F29,"-",COUNTIF(RECIBIDAS_GASTOS!F:F,RECIBIDAS_GASTOS!F29)))</f>
        <v/>
      </c>
      <c r="P29" s="41"/>
      <c r="Q29" s="47"/>
      <c r="R29" s="47"/>
      <c r="S29" s="47"/>
      <c r="T29" s="41"/>
      <c r="U29" s="53"/>
      <c r="V29" s="53"/>
      <c r="W29" s="53"/>
      <c r="X29" s="40"/>
      <c r="Y29" s="41"/>
      <c r="Z29" s="48" t="str">
        <f t="shared" si="0"/>
        <v/>
      </c>
      <c r="AA29" s="49"/>
      <c r="AB29" s="50"/>
      <c r="AC29" s="48" t="str">
        <f t="shared" si="1"/>
        <v/>
      </c>
      <c r="AD29" s="49"/>
      <c r="AE29" s="50"/>
      <c r="AF29" s="48" t="str">
        <f t="shared" si="2"/>
        <v/>
      </c>
      <c r="AG29" s="46"/>
      <c r="AH29" s="49"/>
      <c r="AI29" s="41"/>
      <c r="AJ29" s="47"/>
      <c r="AK29" s="45"/>
      <c r="AL29" s="45"/>
      <c r="AM29" s="47"/>
      <c r="AN29" s="41"/>
      <c r="AO29" s="47"/>
      <c r="AP29" s="47"/>
    </row>
    <row r="30" spans="1:42" x14ac:dyDescent="0.25">
      <c r="A30" s="40"/>
      <c r="B30" s="41"/>
      <c r="C30" s="41"/>
      <c r="D30" s="43"/>
      <c r="E30" s="44"/>
      <c r="F30" s="41"/>
      <c r="G30" s="51"/>
      <c r="H30" s="45"/>
      <c r="I30" s="46"/>
      <c r="J30" s="46"/>
      <c r="K30" s="47"/>
      <c r="L30" s="47"/>
      <c r="M30" s="46"/>
      <c r="N30" s="52" t="str">
        <f>IF(RECIBIDAS_GASTOS!F30="","",CONCATENATE(RECIBIDAS_GASTOS!F30,"-",COUNTIF(RECIBIDAS_GASTOS!F:F,RECIBIDAS_GASTOS!F30)))</f>
        <v/>
      </c>
      <c r="O30" s="52" t="str">
        <f>IF(RECIBIDAS_GASTOS!F30="","",CONCATENATE(RECIBIDAS_GASTOS!F30,"-",COUNTIF(RECIBIDAS_GASTOS!F:F,RECIBIDAS_GASTOS!F30)))</f>
        <v/>
      </c>
      <c r="P30" s="41"/>
      <c r="Q30" s="47"/>
      <c r="R30" s="47"/>
      <c r="S30" s="47"/>
      <c r="T30" s="41"/>
      <c r="U30" s="53"/>
      <c r="V30" s="53"/>
      <c r="W30" s="53"/>
      <c r="X30" s="40"/>
      <c r="Y30" s="41"/>
      <c r="Z30" s="48" t="str">
        <f t="shared" si="0"/>
        <v/>
      </c>
      <c r="AA30" s="49"/>
      <c r="AB30" s="50"/>
      <c r="AC30" s="48" t="str">
        <f t="shared" si="1"/>
        <v/>
      </c>
      <c r="AD30" s="49"/>
      <c r="AE30" s="50"/>
      <c r="AF30" s="48" t="str">
        <f t="shared" si="2"/>
        <v/>
      </c>
      <c r="AG30" s="46"/>
      <c r="AH30" s="49"/>
      <c r="AI30" s="41"/>
      <c r="AJ30" s="47"/>
      <c r="AK30" s="45"/>
      <c r="AL30" s="45"/>
      <c r="AM30" s="47"/>
      <c r="AN30" s="41"/>
      <c r="AO30" s="47"/>
      <c r="AP30" s="47"/>
    </row>
    <row r="31" spans="1:42" x14ac:dyDescent="0.25">
      <c r="A31" s="40"/>
      <c r="B31" s="41"/>
      <c r="C31" s="41"/>
      <c r="D31" s="43"/>
      <c r="E31" s="44"/>
      <c r="F31" s="41"/>
      <c r="G31" s="51"/>
      <c r="H31" s="45"/>
      <c r="I31" s="46"/>
      <c r="J31" s="46"/>
      <c r="K31" s="47"/>
      <c r="L31" s="47"/>
      <c r="M31" s="46"/>
      <c r="N31" s="52" t="str">
        <f>IF(RECIBIDAS_GASTOS!F31="","",CONCATENATE(RECIBIDAS_GASTOS!F31,"-",COUNTIF(RECIBIDAS_GASTOS!F:F,RECIBIDAS_GASTOS!F31)))</f>
        <v/>
      </c>
      <c r="O31" s="52" t="str">
        <f>IF(RECIBIDAS_GASTOS!F31="","",CONCATENATE(RECIBIDAS_GASTOS!F31,"-",COUNTIF(RECIBIDAS_GASTOS!F:F,RECIBIDAS_GASTOS!F31)))</f>
        <v/>
      </c>
      <c r="P31" s="41"/>
      <c r="Q31" s="47"/>
      <c r="R31" s="47"/>
      <c r="S31" s="47"/>
      <c r="T31" s="41"/>
      <c r="U31" s="53"/>
      <c r="V31" s="53"/>
      <c r="W31" s="53"/>
      <c r="X31" s="40"/>
      <c r="Y31" s="41"/>
      <c r="Z31" s="48" t="str">
        <f t="shared" si="0"/>
        <v/>
      </c>
      <c r="AA31" s="49"/>
      <c r="AB31" s="50"/>
      <c r="AC31" s="48" t="str">
        <f t="shared" si="1"/>
        <v/>
      </c>
      <c r="AD31" s="49"/>
      <c r="AE31" s="50"/>
      <c r="AF31" s="48" t="str">
        <f t="shared" si="2"/>
        <v/>
      </c>
      <c r="AG31" s="46"/>
      <c r="AH31" s="49"/>
      <c r="AI31" s="41"/>
      <c r="AJ31" s="47"/>
      <c r="AK31" s="45"/>
      <c r="AL31" s="45"/>
      <c r="AM31" s="47"/>
      <c r="AN31" s="41"/>
      <c r="AO31" s="47"/>
      <c r="AP31" s="47"/>
    </row>
    <row r="32" spans="1:42" x14ac:dyDescent="0.25">
      <c r="A32" s="40"/>
      <c r="B32" s="41"/>
      <c r="C32" s="41"/>
      <c r="D32" s="43"/>
      <c r="E32" s="44"/>
      <c r="F32" s="41"/>
      <c r="G32" s="51"/>
      <c r="H32" s="45"/>
      <c r="I32" s="46"/>
      <c r="J32" s="46"/>
      <c r="K32" s="47"/>
      <c r="L32" s="47"/>
      <c r="M32" s="46"/>
      <c r="N32" s="52" t="str">
        <f>IF(RECIBIDAS_GASTOS!F32="","",CONCATENATE(RECIBIDAS_GASTOS!F32,"-",COUNTIF(RECIBIDAS_GASTOS!F:F,RECIBIDAS_GASTOS!F32)))</f>
        <v/>
      </c>
      <c r="O32" s="52" t="str">
        <f>IF(RECIBIDAS_GASTOS!F32="","",CONCATENATE(RECIBIDAS_GASTOS!F32,"-",COUNTIF(RECIBIDAS_GASTOS!F:F,RECIBIDAS_GASTOS!F32)))</f>
        <v/>
      </c>
      <c r="P32" s="41"/>
      <c r="Q32" s="47"/>
      <c r="R32" s="47"/>
      <c r="S32" s="47"/>
      <c r="T32" s="41"/>
      <c r="U32" s="53"/>
      <c r="V32" s="53"/>
      <c r="W32" s="53"/>
      <c r="X32" s="40"/>
      <c r="Y32" s="41"/>
      <c r="Z32" s="48" t="str">
        <f t="shared" si="0"/>
        <v/>
      </c>
      <c r="AA32" s="49"/>
      <c r="AB32" s="50"/>
      <c r="AC32" s="48" t="str">
        <f t="shared" si="1"/>
        <v/>
      </c>
      <c r="AD32" s="49"/>
      <c r="AE32" s="50"/>
      <c r="AF32" s="48" t="str">
        <f t="shared" si="2"/>
        <v/>
      </c>
      <c r="AG32" s="46"/>
      <c r="AH32" s="49"/>
      <c r="AI32" s="41"/>
      <c r="AJ32" s="47"/>
      <c r="AK32" s="45"/>
      <c r="AL32" s="45"/>
      <c r="AM32" s="47"/>
      <c r="AN32" s="41"/>
      <c r="AO32" s="47"/>
      <c r="AP32" s="47"/>
    </row>
    <row r="33" spans="1:42" x14ac:dyDescent="0.25">
      <c r="A33" s="40"/>
      <c r="B33" s="41"/>
      <c r="C33" s="41"/>
      <c r="D33" s="43"/>
      <c r="E33" s="44"/>
      <c r="F33" s="41"/>
      <c r="G33" s="51"/>
      <c r="H33" s="45"/>
      <c r="I33" s="46"/>
      <c r="J33" s="46"/>
      <c r="K33" s="47"/>
      <c r="L33" s="47"/>
      <c r="M33" s="46"/>
      <c r="N33" s="52" t="str">
        <f>IF(RECIBIDAS_GASTOS!F33="","",CONCATENATE(RECIBIDAS_GASTOS!F33,"-",COUNTIF(RECIBIDAS_GASTOS!F:F,RECIBIDAS_GASTOS!F33)))</f>
        <v/>
      </c>
      <c r="O33" s="52" t="str">
        <f>IF(RECIBIDAS_GASTOS!F33="","",CONCATENATE(RECIBIDAS_GASTOS!F33,"-",COUNTIF(RECIBIDAS_GASTOS!F:F,RECIBIDAS_GASTOS!F33)))</f>
        <v/>
      </c>
      <c r="P33" s="41"/>
      <c r="Q33" s="47"/>
      <c r="R33" s="47"/>
      <c r="S33" s="47"/>
      <c r="T33" s="41"/>
      <c r="U33" s="53"/>
      <c r="V33" s="53"/>
      <c r="W33" s="53"/>
      <c r="X33" s="40"/>
      <c r="Y33" s="41"/>
      <c r="Z33" s="48" t="str">
        <f t="shared" si="0"/>
        <v/>
      </c>
      <c r="AA33" s="49"/>
      <c r="AB33" s="50"/>
      <c r="AC33" s="48" t="str">
        <f t="shared" si="1"/>
        <v/>
      </c>
      <c r="AD33" s="49"/>
      <c r="AE33" s="50"/>
      <c r="AF33" s="48" t="str">
        <f t="shared" si="2"/>
        <v/>
      </c>
      <c r="AG33" s="46"/>
      <c r="AH33" s="49"/>
      <c r="AI33" s="41"/>
      <c r="AJ33" s="47"/>
      <c r="AK33" s="45"/>
      <c r="AL33" s="45"/>
      <c r="AM33" s="47"/>
      <c r="AN33" s="41"/>
      <c r="AO33" s="47"/>
      <c r="AP33" s="47"/>
    </row>
    <row r="34" spans="1:42" x14ac:dyDescent="0.25">
      <c r="A34" s="40"/>
      <c r="B34" s="41"/>
      <c r="C34" s="41"/>
      <c r="D34" s="43"/>
      <c r="E34" s="44"/>
      <c r="F34" s="41"/>
      <c r="G34" s="51"/>
      <c r="H34" s="45"/>
      <c r="I34" s="46"/>
      <c r="J34" s="46"/>
      <c r="K34" s="47"/>
      <c r="L34" s="47"/>
      <c r="M34" s="46"/>
      <c r="N34" s="52" t="str">
        <f>IF(RECIBIDAS_GASTOS!F34="","",CONCATENATE(RECIBIDAS_GASTOS!F34,"-",COUNTIF(RECIBIDAS_GASTOS!F:F,RECIBIDAS_GASTOS!F34)))</f>
        <v/>
      </c>
      <c r="O34" s="52" t="str">
        <f>IF(RECIBIDAS_GASTOS!F34="","",CONCATENATE(RECIBIDAS_GASTOS!F34,"-",COUNTIF(RECIBIDAS_GASTOS!F:F,RECIBIDAS_GASTOS!F34)))</f>
        <v/>
      </c>
      <c r="P34" s="41"/>
      <c r="Q34" s="47"/>
      <c r="R34" s="47"/>
      <c r="S34" s="47"/>
      <c r="T34" s="41"/>
      <c r="U34" s="53"/>
      <c r="V34" s="53"/>
      <c r="W34" s="53"/>
      <c r="X34" s="40"/>
      <c r="Y34" s="41"/>
      <c r="Z34" s="48" t="str">
        <f t="shared" si="0"/>
        <v/>
      </c>
      <c r="AA34" s="49"/>
      <c r="AB34" s="50"/>
      <c r="AC34" s="48" t="str">
        <f t="shared" si="1"/>
        <v/>
      </c>
      <c r="AD34" s="49"/>
      <c r="AE34" s="50"/>
      <c r="AF34" s="48" t="str">
        <f t="shared" si="2"/>
        <v/>
      </c>
      <c r="AG34" s="46"/>
      <c r="AH34" s="49"/>
      <c r="AI34" s="41"/>
      <c r="AJ34" s="47"/>
      <c r="AK34" s="45"/>
      <c r="AL34" s="45"/>
      <c r="AM34" s="47"/>
      <c r="AN34" s="41"/>
      <c r="AO34" s="47"/>
      <c r="AP34" s="47"/>
    </row>
    <row r="35" spans="1:42" x14ac:dyDescent="0.25">
      <c r="A35" s="40"/>
      <c r="B35" s="41"/>
      <c r="C35" s="41"/>
      <c r="D35" s="43"/>
      <c r="E35" s="44"/>
      <c r="F35" s="41"/>
      <c r="G35" s="51"/>
      <c r="H35" s="45"/>
      <c r="I35" s="46"/>
      <c r="J35" s="46"/>
      <c r="K35" s="47"/>
      <c r="L35" s="47"/>
      <c r="M35" s="46"/>
      <c r="N35" s="52" t="str">
        <f>IF(RECIBIDAS_GASTOS!F35="","",CONCATENATE(RECIBIDAS_GASTOS!F35,"-",COUNTIF(RECIBIDAS_GASTOS!F:F,RECIBIDAS_GASTOS!F35)))</f>
        <v/>
      </c>
      <c r="O35" s="52" t="str">
        <f>IF(RECIBIDAS_GASTOS!F35="","",CONCATENATE(RECIBIDAS_GASTOS!F35,"-",COUNTIF(RECIBIDAS_GASTOS!F:F,RECIBIDAS_GASTOS!F35)))</f>
        <v/>
      </c>
      <c r="P35" s="41"/>
      <c r="Q35" s="47"/>
      <c r="R35" s="47"/>
      <c r="S35" s="47"/>
      <c r="T35" s="41"/>
      <c r="U35" s="53"/>
      <c r="V35" s="53"/>
      <c r="W35" s="53"/>
      <c r="X35" s="40"/>
      <c r="Y35" s="41"/>
      <c r="Z35" s="48" t="str">
        <f t="shared" si="0"/>
        <v/>
      </c>
      <c r="AA35" s="49"/>
      <c r="AB35" s="50"/>
      <c r="AC35" s="48" t="str">
        <f t="shared" si="1"/>
        <v/>
      </c>
      <c r="AD35" s="49"/>
      <c r="AE35" s="50"/>
      <c r="AF35" s="48" t="str">
        <f t="shared" si="2"/>
        <v/>
      </c>
      <c r="AG35" s="46"/>
      <c r="AH35" s="49"/>
      <c r="AI35" s="41"/>
      <c r="AJ35" s="47"/>
      <c r="AK35" s="45"/>
      <c r="AL35" s="45"/>
      <c r="AM35" s="47"/>
      <c r="AN35" s="41"/>
      <c r="AO35" s="47"/>
      <c r="AP35" s="47"/>
    </row>
    <row r="36" spans="1:42" x14ac:dyDescent="0.25">
      <c r="A36" s="40"/>
      <c r="B36" s="41"/>
      <c r="C36" s="41"/>
      <c r="D36" s="43"/>
      <c r="E36" s="44"/>
      <c r="F36" s="41"/>
      <c r="G36" s="51"/>
      <c r="H36" s="45"/>
      <c r="I36" s="46"/>
      <c r="J36" s="46"/>
      <c r="K36" s="47"/>
      <c r="L36" s="47"/>
      <c r="M36" s="46"/>
      <c r="N36" s="52" t="str">
        <f>IF(RECIBIDAS_GASTOS!F36="","",CONCATENATE(RECIBIDAS_GASTOS!F36,"-",COUNTIF(RECIBIDAS_GASTOS!F:F,RECIBIDAS_GASTOS!F36)))</f>
        <v/>
      </c>
      <c r="O36" s="52" t="str">
        <f>IF(RECIBIDAS_GASTOS!F36="","",CONCATENATE(RECIBIDAS_GASTOS!F36,"-",COUNTIF(RECIBIDAS_GASTOS!F:F,RECIBIDAS_GASTOS!F36)))</f>
        <v/>
      </c>
      <c r="P36" s="41"/>
      <c r="Q36" s="47"/>
      <c r="R36" s="47"/>
      <c r="S36" s="47"/>
      <c r="T36" s="41"/>
      <c r="U36" s="53"/>
      <c r="V36" s="53"/>
      <c r="W36" s="53"/>
      <c r="X36" s="40"/>
      <c r="Y36" s="41"/>
      <c r="Z36" s="48" t="str">
        <f t="shared" ref="Z36:Z99" si="3">IF(AA36="","",IF(AND(F36="",T36=""),"",IF(OR(LEFT(T36,2)="03",LEFT(T36,2)="05",LEFT(T36,2)="09"),AA36,SUM(AA36,AC36,AF36))))</f>
        <v/>
      </c>
      <c r="AA36" s="49"/>
      <c r="AB36" s="50"/>
      <c r="AC36" s="48" t="str">
        <f t="shared" ref="AC36:AC99" si="4">IF(OR(AA36="",AB36=""),"",AA36*AB36/100)</f>
        <v/>
      </c>
      <c r="AD36" s="49"/>
      <c r="AE36" s="50"/>
      <c r="AF36" s="48" t="str">
        <f t="shared" ref="AF36:AF99" si="5">IF(OR(AA36="",AE36=""),"",AA36*AE36/100)</f>
        <v/>
      </c>
      <c r="AG36" s="46"/>
      <c r="AH36" s="49"/>
      <c r="AI36" s="41"/>
      <c r="AJ36" s="47"/>
      <c r="AK36" s="45"/>
      <c r="AL36" s="45"/>
      <c r="AM36" s="47"/>
      <c r="AN36" s="41"/>
      <c r="AO36" s="47"/>
      <c r="AP36" s="47"/>
    </row>
    <row r="37" spans="1:42" x14ac:dyDescent="0.25">
      <c r="A37" s="40"/>
      <c r="B37" s="41"/>
      <c r="C37" s="41"/>
      <c r="D37" s="43"/>
      <c r="E37" s="44"/>
      <c r="F37" s="41"/>
      <c r="G37" s="51"/>
      <c r="H37" s="45"/>
      <c r="I37" s="46"/>
      <c r="J37" s="46"/>
      <c r="K37" s="47"/>
      <c r="L37" s="47"/>
      <c r="M37" s="46"/>
      <c r="N37" s="52" t="str">
        <f>IF(RECIBIDAS_GASTOS!F37="","",CONCATENATE(RECIBIDAS_GASTOS!F37,"-",COUNTIF(RECIBIDAS_GASTOS!F:F,RECIBIDAS_GASTOS!F37)))</f>
        <v/>
      </c>
      <c r="O37" s="52" t="str">
        <f>IF(RECIBIDAS_GASTOS!F37="","",CONCATENATE(RECIBIDAS_GASTOS!F37,"-",COUNTIF(RECIBIDAS_GASTOS!F:F,RECIBIDAS_GASTOS!F37)))</f>
        <v/>
      </c>
      <c r="P37" s="41"/>
      <c r="Q37" s="47"/>
      <c r="R37" s="47"/>
      <c r="S37" s="47"/>
      <c r="T37" s="41"/>
      <c r="U37" s="53"/>
      <c r="V37" s="53"/>
      <c r="W37" s="53"/>
      <c r="X37" s="40"/>
      <c r="Y37" s="41"/>
      <c r="Z37" s="48" t="str">
        <f t="shared" si="3"/>
        <v/>
      </c>
      <c r="AA37" s="49"/>
      <c r="AB37" s="50"/>
      <c r="AC37" s="48" t="str">
        <f t="shared" si="4"/>
        <v/>
      </c>
      <c r="AD37" s="49"/>
      <c r="AE37" s="50"/>
      <c r="AF37" s="48" t="str">
        <f t="shared" si="5"/>
        <v/>
      </c>
      <c r="AG37" s="46"/>
      <c r="AH37" s="49"/>
      <c r="AI37" s="41"/>
      <c r="AJ37" s="47"/>
      <c r="AK37" s="45"/>
      <c r="AL37" s="45"/>
      <c r="AM37" s="47"/>
      <c r="AN37" s="41"/>
      <c r="AO37" s="47"/>
      <c r="AP37" s="47"/>
    </row>
    <row r="38" spans="1:42" x14ac:dyDescent="0.25">
      <c r="A38" s="40"/>
      <c r="B38" s="41"/>
      <c r="C38" s="41"/>
      <c r="D38" s="43"/>
      <c r="E38" s="44"/>
      <c r="F38" s="41"/>
      <c r="G38" s="51"/>
      <c r="H38" s="45"/>
      <c r="I38" s="46"/>
      <c r="J38" s="46"/>
      <c r="K38" s="47"/>
      <c r="L38" s="47"/>
      <c r="M38" s="46"/>
      <c r="N38" s="52" t="str">
        <f>IF(RECIBIDAS_GASTOS!F38="","",CONCATENATE(RECIBIDAS_GASTOS!F38,"-",COUNTIF(RECIBIDAS_GASTOS!F:F,RECIBIDAS_GASTOS!F38)))</f>
        <v/>
      </c>
      <c r="O38" s="52" t="str">
        <f>IF(RECIBIDAS_GASTOS!F38="","",CONCATENATE(RECIBIDAS_GASTOS!F38,"-",COUNTIF(RECIBIDAS_GASTOS!F:F,RECIBIDAS_GASTOS!F38)))</f>
        <v/>
      </c>
      <c r="P38" s="41"/>
      <c r="Q38" s="47"/>
      <c r="R38" s="47"/>
      <c r="S38" s="47"/>
      <c r="T38" s="41"/>
      <c r="U38" s="53"/>
      <c r="V38" s="53"/>
      <c r="W38" s="53"/>
      <c r="X38" s="40"/>
      <c r="Y38" s="41"/>
      <c r="Z38" s="48" t="str">
        <f t="shared" si="3"/>
        <v/>
      </c>
      <c r="AA38" s="49"/>
      <c r="AB38" s="50"/>
      <c r="AC38" s="48" t="str">
        <f t="shared" si="4"/>
        <v/>
      </c>
      <c r="AD38" s="49"/>
      <c r="AE38" s="50"/>
      <c r="AF38" s="48" t="str">
        <f t="shared" si="5"/>
        <v/>
      </c>
      <c r="AG38" s="46"/>
      <c r="AH38" s="49"/>
      <c r="AI38" s="41"/>
      <c r="AJ38" s="47"/>
      <c r="AK38" s="45"/>
      <c r="AL38" s="45"/>
      <c r="AM38" s="47"/>
      <c r="AN38" s="41"/>
      <c r="AO38" s="47"/>
      <c r="AP38" s="47"/>
    </row>
    <row r="39" spans="1:42" x14ac:dyDescent="0.25">
      <c r="A39" s="40"/>
      <c r="B39" s="41"/>
      <c r="C39" s="41"/>
      <c r="D39" s="43"/>
      <c r="E39" s="44"/>
      <c r="F39" s="41"/>
      <c r="G39" s="51"/>
      <c r="H39" s="45"/>
      <c r="I39" s="46"/>
      <c r="J39" s="46"/>
      <c r="K39" s="47"/>
      <c r="L39" s="47"/>
      <c r="M39" s="46"/>
      <c r="N39" s="52" t="str">
        <f>IF(RECIBIDAS_GASTOS!F39="","",CONCATENATE(RECIBIDAS_GASTOS!F39,"-",COUNTIF(RECIBIDAS_GASTOS!F:F,RECIBIDAS_GASTOS!F39)))</f>
        <v/>
      </c>
      <c r="O39" s="52" t="str">
        <f>IF(RECIBIDAS_GASTOS!F39="","",CONCATENATE(RECIBIDAS_GASTOS!F39,"-",COUNTIF(RECIBIDAS_GASTOS!F:F,RECIBIDAS_GASTOS!F39)))</f>
        <v/>
      </c>
      <c r="P39" s="41"/>
      <c r="Q39" s="47"/>
      <c r="R39" s="47"/>
      <c r="S39" s="47"/>
      <c r="T39" s="41"/>
      <c r="U39" s="53"/>
      <c r="V39" s="53"/>
      <c r="W39" s="53"/>
      <c r="X39" s="40"/>
      <c r="Y39" s="41"/>
      <c r="Z39" s="48" t="str">
        <f t="shared" si="3"/>
        <v/>
      </c>
      <c r="AA39" s="49"/>
      <c r="AB39" s="50"/>
      <c r="AC39" s="48" t="str">
        <f t="shared" si="4"/>
        <v/>
      </c>
      <c r="AD39" s="49"/>
      <c r="AE39" s="50"/>
      <c r="AF39" s="48" t="str">
        <f t="shared" si="5"/>
        <v/>
      </c>
      <c r="AG39" s="46"/>
      <c r="AH39" s="49"/>
      <c r="AI39" s="41"/>
      <c r="AJ39" s="47"/>
      <c r="AK39" s="45"/>
      <c r="AL39" s="45"/>
      <c r="AM39" s="47"/>
      <c r="AN39" s="41"/>
      <c r="AO39" s="47"/>
      <c r="AP39" s="47"/>
    </row>
    <row r="40" spans="1:42" x14ac:dyDescent="0.25">
      <c r="A40" s="40"/>
      <c r="B40" s="41"/>
      <c r="C40" s="41"/>
      <c r="D40" s="43"/>
      <c r="E40" s="44"/>
      <c r="F40" s="41"/>
      <c r="G40" s="51"/>
      <c r="H40" s="45"/>
      <c r="I40" s="46"/>
      <c r="J40" s="46"/>
      <c r="K40" s="47"/>
      <c r="L40" s="47"/>
      <c r="M40" s="46"/>
      <c r="N40" s="52" t="str">
        <f>IF(RECIBIDAS_GASTOS!F40="","",CONCATENATE(RECIBIDAS_GASTOS!F40,"-",COUNTIF(RECIBIDAS_GASTOS!F:F,RECIBIDAS_GASTOS!F40)))</f>
        <v/>
      </c>
      <c r="O40" s="52" t="str">
        <f>IF(RECIBIDAS_GASTOS!F40="","",CONCATENATE(RECIBIDAS_GASTOS!F40,"-",COUNTIF(RECIBIDAS_GASTOS!F:F,RECIBIDAS_GASTOS!F40)))</f>
        <v/>
      </c>
      <c r="P40" s="41"/>
      <c r="Q40" s="47"/>
      <c r="R40" s="47"/>
      <c r="S40" s="47"/>
      <c r="T40" s="41"/>
      <c r="U40" s="53"/>
      <c r="V40" s="53"/>
      <c r="W40" s="53"/>
      <c r="X40" s="40"/>
      <c r="Y40" s="41"/>
      <c r="Z40" s="48" t="str">
        <f t="shared" si="3"/>
        <v/>
      </c>
      <c r="AA40" s="49"/>
      <c r="AB40" s="50"/>
      <c r="AC40" s="48" t="str">
        <f t="shared" si="4"/>
        <v/>
      </c>
      <c r="AD40" s="49"/>
      <c r="AE40" s="50"/>
      <c r="AF40" s="48" t="str">
        <f t="shared" si="5"/>
        <v/>
      </c>
      <c r="AG40" s="46"/>
      <c r="AH40" s="49"/>
      <c r="AI40" s="41"/>
      <c r="AJ40" s="47"/>
      <c r="AK40" s="45"/>
      <c r="AL40" s="45"/>
      <c r="AM40" s="47"/>
      <c r="AN40" s="41"/>
      <c r="AO40" s="47"/>
      <c r="AP40" s="47"/>
    </row>
    <row r="41" spans="1:42" x14ac:dyDescent="0.25">
      <c r="A41" s="40"/>
      <c r="B41" s="41"/>
      <c r="C41" s="41"/>
      <c r="D41" s="43"/>
      <c r="E41" s="44"/>
      <c r="F41" s="41"/>
      <c r="G41" s="51"/>
      <c r="H41" s="45"/>
      <c r="I41" s="46"/>
      <c r="J41" s="46"/>
      <c r="K41" s="47"/>
      <c r="L41" s="47"/>
      <c r="M41" s="46"/>
      <c r="N41" s="52" t="str">
        <f>IF(RECIBIDAS_GASTOS!F41="","",CONCATENATE(RECIBIDAS_GASTOS!F41,"-",COUNTIF(RECIBIDAS_GASTOS!F:F,RECIBIDAS_GASTOS!F41)))</f>
        <v/>
      </c>
      <c r="O41" s="52" t="str">
        <f>IF(RECIBIDAS_GASTOS!F41="","",CONCATENATE(RECIBIDAS_GASTOS!F41,"-",COUNTIF(RECIBIDAS_GASTOS!F:F,RECIBIDAS_GASTOS!F41)))</f>
        <v/>
      </c>
      <c r="P41" s="41"/>
      <c r="Q41" s="47"/>
      <c r="R41" s="47"/>
      <c r="S41" s="47"/>
      <c r="T41" s="41"/>
      <c r="U41" s="53"/>
      <c r="V41" s="53"/>
      <c r="W41" s="53"/>
      <c r="X41" s="40"/>
      <c r="Y41" s="41"/>
      <c r="Z41" s="48" t="str">
        <f t="shared" si="3"/>
        <v/>
      </c>
      <c r="AA41" s="49"/>
      <c r="AB41" s="50"/>
      <c r="AC41" s="48" t="str">
        <f t="shared" si="4"/>
        <v/>
      </c>
      <c r="AD41" s="49"/>
      <c r="AE41" s="50"/>
      <c r="AF41" s="48" t="str">
        <f t="shared" si="5"/>
        <v/>
      </c>
      <c r="AG41" s="46"/>
      <c r="AH41" s="49"/>
      <c r="AI41" s="41"/>
      <c r="AJ41" s="47"/>
      <c r="AK41" s="45"/>
      <c r="AL41" s="45"/>
      <c r="AM41" s="47"/>
      <c r="AN41" s="41"/>
      <c r="AO41" s="47"/>
      <c r="AP41" s="47"/>
    </row>
    <row r="42" spans="1:42" x14ac:dyDescent="0.25">
      <c r="A42" s="40"/>
      <c r="B42" s="41"/>
      <c r="C42" s="41"/>
      <c r="D42" s="43"/>
      <c r="E42" s="44"/>
      <c r="F42" s="41"/>
      <c r="G42" s="51"/>
      <c r="H42" s="45"/>
      <c r="I42" s="46"/>
      <c r="J42" s="46"/>
      <c r="K42" s="47"/>
      <c r="L42" s="47"/>
      <c r="M42" s="46"/>
      <c r="N42" s="52" t="str">
        <f>IF(RECIBIDAS_GASTOS!F42="","",CONCATENATE(RECIBIDAS_GASTOS!F42,"-",COUNTIF(RECIBIDAS_GASTOS!F:F,RECIBIDAS_GASTOS!F42)))</f>
        <v/>
      </c>
      <c r="O42" s="52" t="str">
        <f>IF(RECIBIDAS_GASTOS!F42="","",CONCATENATE(RECIBIDAS_GASTOS!F42,"-",COUNTIF(RECIBIDAS_GASTOS!F:F,RECIBIDAS_GASTOS!F42)))</f>
        <v/>
      </c>
      <c r="P42" s="41"/>
      <c r="Q42" s="47"/>
      <c r="R42" s="47"/>
      <c r="S42" s="47"/>
      <c r="T42" s="41"/>
      <c r="U42" s="53"/>
      <c r="V42" s="53"/>
      <c r="W42" s="53"/>
      <c r="X42" s="40"/>
      <c r="Y42" s="41"/>
      <c r="Z42" s="48" t="str">
        <f t="shared" si="3"/>
        <v/>
      </c>
      <c r="AA42" s="49"/>
      <c r="AB42" s="50"/>
      <c r="AC42" s="48" t="str">
        <f t="shared" si="4"/>
        <v/>
      </c>
      <c r="AD42" s="49"/>
      <c r="AE42" s="50"/>
      <c r="AF42" s="48" t="str">
        <f t="shared" si="5"/>
        <v/>
      </c>
      <c r="AG42" s="46"/>
      <c r="AH42" s="49"/>
      <c r="AI42" s="41"/>
      <c r="AJ42" s="47"/>
      <c r="AK42" s="45"/>
      <c r="AL42" s="45"/>
      <c r="AM42" s="47"/>
      <c r="AN42" s="41"/>
      <c r="AO42" s="47"/>
      <c r="AP42" s="47"/>
    </row>
    <row r="43" spans="1:42" x14ac:dyDescent="0.25">
      <c r="A43" s="40"/>
      <c r="B43" s="41"/>
      <c r="C43" s="41"/>
      <c r="D43" s="43"/>
      <c r="E43" s="44"/>
      <c r="F43" s="41"/>
      <c r="G43" s="51"/>
      <c r="H43" s="45"/>
      <c r="I43" s="46"/>
      <c r="J43" s="46"/>
      <c r="K43" s="47"/>
      <c r="L43" s="47"/>
      <c r="M43" s="46"/>
      <c r="N43" s="52" t="str">
        <f>IF(RECIBIDAS_GASTOS!F43="","",CONCATENATE(RECIBIDAS_GASTOS!F43,"-",COUNTIF(RECIBIDAS_GASTOS!F:F,RECIBIDAS_GASTOS!F43)))</f>
        <v/>
      </c>
      <c r="O43" s="52" t="str">
        <f>IF(RECIBIDAS_GASTOS!F43="","",CONCATENATE(RECIBIDAS_GASTOS!F43,"-",COUNTIF(RECIBIDAS_GASTOS!F:F,RECIBIDAS_GASTOS!F43)))</f>
        <v/>
      </c>
      <c r="P43" s="41"/>
      <c r="Q43" s="47"/>
      <c r="R43" s="47"/>
      <c r="S43" s="47"/>
      <c r="T43" s="41"/>
      <c r="U43" s="53"/>
      <c r="V43" s="53"/>
      <c r="W43" s="53"/>
      <c r="X43" s="40"/>
      <c r="Y43" s="41"/>
      <c r="Z43" s="48" t="str">
        <f t="shared" si="3"/>
        <v/>
      </c>
      <c r="AA43" s="49"/>
      <c r="AB43" s="50"/>
      <c r="AC43" s="48" t="str">
        <f t="shared" si="4"/>
        <v/>
      </c>
      <c r="AD43" s="49"/>
      <c r="AE43" s="50"/>
      <c r="AF43" s="48" t="str">
        <f t="shared" si="5"/>
        <v/>
      </c>
      <c r="AG43" s="46"/>
      <c r="AH43" s="49"/>
      <c r="AI43" s="41"/>
      <c r="AJ43" s="47"/>
      <c r="AK43" s="45"/>
      <c r="AL43" s="45"/>
      <c r="AM43" s="47"/>
      <c r="AN43" s="41"/>
      <c r="AO43" s="47"/>
      <c r="AP43" s="47"/>
    </row>
    <row r="44" spans="1:42" x14ac:dyDescent="0.25">
      <c r="A44" s="40"/>
      <c r="B44" s="41"/>
      <c r="C44" s="41"/>
      <c r="D44" s="43"/>
      <c r="E44" s="44"/>
      <c r="F44" s="41"/>
      <c r="G44" s="51"/>
      <c r="H44" s="45"/>
      <c r="I44" s="46"/>
      <c r="J44" s="46"/>
      <c r="K44" s="47"/>
      <c r="L44" s="47"/>
      <c r="M44" s="46"/>
      <c r="N44" s="52" t="str">
        <f>IF(RECIBIDAS_GASTOS!F44="","",CONCATENATE(RECIBIDAS_GASTOS!F44,"-",COUNTIF(RECIBIDAS_GASTOS!F:F,RECIBIDAS_GASTOS!F44)))</f>
        <v/>
      </c>
      <c r="O44" s="52" t="str">
        <f>IF(RECIBIDAS_GASTOS!F44="","",CONCATENATE(RECIBIDAS_GASTOS!F44,"-",COUNTIF(RECIBIDAS_GASTOS!F:F,RECIBIDAS_GASTOS!F44)))</f>
        <v/>
      </c>
      <c r="P44" s="41"/>
      <c r="Q44" s="47"/>
      <c r="R44" s="47"/>
      <c r="S44" s="47"/>
      <c r="T44" s="41"/>
      <c r="U44" s="53"/>
      <c r="V44" s="53"/>
      <c r="W44" s="53"/>
      <c r="X44" s="40"/>
      <c r="Y44" s="41"/>
      <c r="Z44" s="48" t="str">
        <f t="shared" si="3"/>
        <v/>
      </c>
      <c r="AA44" s="49"/>
      <c r="AB44" s="50"/>
      <c r="AC44" s="48" t="str">
        <f t="shared" si="4"/>
        <v/>
      </c>
      <c r="AD44" s="49"/>
      <c r="AE44" s="50"/>
      <c r="AF44" s="48" t="str">
        <f t="shared" si="5"/>
        <v/>
      </c>
      <c r="AG44" s="46"/>
      <c r="AH44" s="49"/>
      <c r="AI44" s="41"/>
      <c r="AJ44" s="47"/>
      <c r="AK44" s="45"/>
      <c r="AL44" s="45"/>
      <c r="AM44" s="47"/>
      <c r="AN44" s="41"/>
      <c r="AO44" s="47"/>
      <c r="AP44" s="47"/>
    </row>
    <row r="45" spans="1:42" x14ac:dyDescent="0.25">
      <c r="A45" s="40"/>
      <c r="B45" s="41"/>
      <c r="C45" s="41"/>
      <c r="D45" s="43"/>
      <c r="E45" s="44"/>
      <c r="F45" s="41"/>
      <c r="G45" s="51"/>
      <c r="H45" s="45"/>
      <c r="I45" s="46"/>
      <c r="J45" s="46"/>
      <c r="K45" s="47"/>
      <c r="L45" s="47"/>
      <c r="M45" s="46"/>
      <c r="N45" s="52" t="str">
        <f>IF(RECIBIDAS_GASTOS!F45="","",CONCATENATE(RECIBIDAS_GASTOS!F45,"-",COUNTIF(RECIBIDAS_GASTOS!F:F,RECIBIDAS_GASTOS!F45)))</f>
        <v/>
      </c>
      <c r="O45" s="52" t="str">
        <f>IF(RECIBIDAS_GASTOS!F45="","",CONCATENATE(RECIBIDAS_GASTOS!F45,"-",COUNTIF(RECIBIDAS_GASTOS!F:F,RECIBIDAS_GASTOS!F45)))</f>
        <v/>
      </c>
      <c r="P45" s="41"/>
      <c r="Q45" s="47"/>
      <c r="R45" s="47"/>
      <c r="S45" s="47"/>
      <c r="T45" s="41"/>
      <c r="U45" s="53"/>
      <c r="V45" s="53"/>
      <c r="W45" s="53"/>
      <c r="X45" s="40"/>
      <c r="Y45" s="41"/>
      <c r="Z45" s="48" t="str">
        <f t="shared" si="3"/>
        <v/>
      </c>
      <c r="AA45" s="49"/>
      <c r="AB45" s="50"/>
      <c r="AC45" s="48" t="str">
        <f t="shared" si="4"/>
        <v/>
      </c>
      <c r="AD45" s="49"/>
      <c r="AE45" s="50"/>
      <c r="AF45" s="48" t="str">
        <f t="shared" si="5"/>
        <v/>
      </c>
      <c r="AG45" s="46"/>
      <c r="AH45" s="49"/>
      <c r="AI45" s="41"/>
      <c r="AJ45" s="47"/>
      <c r="AK45" s="45"/>
      <c r="AL45" s="45"/>
      <c r="AM45" s="47"/>
      <c r="AN45" s="41"/>
      <c r="AO45" s="47"/>
      <c r="AP45" s="47"/>
    </row>
    <row r="46" spans="1:42" x14ac:dyDescent="0.25">
      <c r="A46" s="40"/>
      <c r="B46" s="41"/>
      <c r="C46" s="41"/>
      <c r="D46" s="43"/>
      <c r="E46" s="44"/>
      <c r="F46" s="41"/>
      <c r="G46" s="51"/>
      <c r="H46" s="45"/>
      <c r="I46" s="46"/>
      <c r="J46" s="46"/>
      <c r="K46" s="47"/>
      <c r="L46" s="47"/>
      <c r="M46" s="46"/>
      <c r="N46" s="52" t="str">
        <f>IF(RECIBIDAS_GASTOS!F46="","",CONCATENATE(RECIBIDAS_GASTOS!F46,"-",COUNTIF(RECIBIDAS_GASTOS!F:F,RECIBIDAS_GASTOS!F46)))</f>
        <v/>
      </c>
      <c r="O46" s="52" t="str">
        <f>IF(RECIBIDAS_GASTOS!F46="","",CONCATENATE(RECIBIDAS_GASTOS!F46,"-",COUNTIF(RECIBIDAS_GASTOS!F:F,RECIBIDAS_GASTOS!F46)))</f>
        <v/>
      </c>
      <c r="P46" s="41"/>
      <c r="Q46" s="47"/>
      <c r="R46" s="47"/>
      <c r="S46" s="47"/>
      <c r="T46" s="41"/>
      <c r="U46" s="53"/>
      <c r="V46" s="53"/>
      <c r="W46" s="53"/>
      <c r="X46" s="40"/>
      <c r="Y46" s="41"/>
      <c r="Z46" s="48" t="str">
        <f t="shared" si="3"/>
        <v/>
      </c>
      <c r="AA46" s="49"/>
      <c r="AB46" s="50"/>
      <c r="AC46" s="48" t="str">
        <f t="shared" si="4"/>
        <v/>
      </c>
      <c r="AD46" s="49"/>
      <c r="AE46" s="50"/>
      <c r="AF46" s="48" t="str">
        <f t="shared" si="5"/>
        <v/>
      </c>
      <c r="AG46" s="46"/>
      <c r="AH46" s="49"/>
      <c r="AI46" s="41"/>
      <c r="AJ46" s="47"/>
      <c r="AK46" s="45"/>
      <c r="AL46" s="45"/>
      <c r="AM46" s="47"/>
      <c r="AN46" s="41"/>
      <c r="AO46" s="47"/>
      <c r="AP46" s="47"/>
    </row>
    <row r="47" spans="1:42" x14ac:dyDescent="0.25">
      <c r="A47" s="40"/>
      <c r="B47" s="41"/>
      <c r="C47" s="41"/>
      <c r="D47" s="43"/>
      <c r="E47" s="44"/>
      <c r="F47" s="41"/>
      <c r="G47" s="51"/>
      <c r="H47" s="45"/>
      <c r="I47" s="46"/>
      <c r="J47" s="46"/>
      <c r="K47" s="47"/>
      <c r="L47" s="47"/>
      <c r="M47" s="46"/>
      <c r="N47" s="52" t="str">
        <f>IF(RECIBIDAS_GASTOS!F47="","",CONCATENATE(RECIBIDAS_GASTOS!F47,"-",COUNTIF(RECIBIDAS_GASTOS!F:F,RECIBIDAS_GASTOS!F47)))</f>
        <v/>
      </c>
      <c r="O47" s="52" t="str">
        <f>IF(RECIBIDAS_GASTOS!F47="","",CONCATENATE(RECIBIDAS_GASTOS!F47,"-",COUNTIF(RECIBIDAS_GASTOS!F:F,RECIBIDAS_GASTOS!F47)))</f>
        <v/>
      </c>
      <c r="P47" s="41"/>
      <c r="Q47" s="47"/>
      <c r="R47" s="47"/>
      <c r="S47" s="47"/>
      <c r="T47" s="41"/>
      <c r="U47" s="53"/>
      <c r="V47" s="53"/>
      <c r="W47" s="53"/>
      <c r="X47" s="40"/>
      <c r="Y47" s="41"/>
      <c r="Z47" s="48" t="str">
        <f t="shared" si="3"/>
        <v/>
      </c>
      <c r="AA47" s="49"/>
      <c r="AB47" s="50"/>
      <c r="AC47" s="48" t="str">
        <f t="shared" si="4"/>
        <v/>
      </c>
      <c r="AD47" s="49"/>
      <c r="AE47" s="50"/>
      <c r="AF47" s="48" t="str">
        <f t="shared" si="5"/>
        <v/>
      </c>
      <c r="AG47" s="46"/>
      <c r="AH47" s="49"/>
      <c r="AI47" s="41"/>
      <c r="AJ47" s="47"/>
      <c r="AK47" s="45"/>
      <c r="AL47" s="45"/>
      <c r="AM47" s="47"/>
      <c r="AN47" s="41"/>
      <c r="AO47" s="47"/>
      <c r="AP47" s="47"/>
    </row>
    <row r="48" spans="1:42" x14ac:dyDescent="0.25">
      <c r="A48" s="40"/>
      <c r="B48" s="41"/>
      <c r="C48" s="41"/>
      <c r="D48" s="43"/>
      <c r="E48" s="44"/>
      <c r="F48" s="41"/>
      <c r="G48" s="51"/>
      <c r="H48" s="45"/>
      <c r="I48" s="46"/>
      <c r="J48" s="46"/>
      <c r="K48" s="47"/>
      <c r="L48" s="47"/>
      <c r="M48" s="46"/>
      <c r="N48" s="52" t="str">
        <f>IF(RECIBIDAS_GASTOS!F48="","",CONCATENATE(RECIBIDAS_GASTOS!F48,"-",COUNTIF(RECIBIDAS_GASTOS!F:F,RECIBIDAS_GASTOS!F48)))</f>
        <v/>
      </c>
      <c r="O48" s="52" t="str">
        <f>IF(RECIBIDAS_GASTOS!F48="","",CONCATENATE(RECIBIDAS_GASTOS!F48,"-",COUNTIF(RECIBIDAS_GASTOS!F:F,RECIBIDAS_GASTOS!F48)))</f>
        <v/>
      </c>
      <c r="P48" s="41"/>
      <c r="Q48" s="47"/>
      <c r="R48" s="47"/>
      <c r="S48" s="47"/>
      <c r="T48" s="41"/>
      <c r="U48" s="53"/>
      <c r="V48" s="53"/>
      <c r="W48" s="53"/>
      <c r="X48" s="40"/>
      <c r="Y48" s="41"/>
      <c r="Z48" s="48" t="str">
        <f t="shared" si="3"/>
        <v/>
      </c>
      <c r="AA48" s="49"/>
      <c r="AB48" s="50"/>
      <c r="AC48" s="48" t="str">
        <f t="shared" si="4"/>
        <v/>
      </c>
      <c r="AD48" s="49"/>
      <c r="AE48" s="50"/>
      <c r="AF48" s="48" t="str">
        <f t="shared" si="5"/>
        <v/>
      </c>
      <c r="AG48" s="46"/>
      <c r="AH48" s="49"/>
      <c r="AI48" s="41"/>
      <c r="AJ48" s="47"/>
      <c r="AK48" s="45"/>
      <c r="AL48" s="45"/>
      <c r="AM48" s="47"/>
      <c r="AN48" s="41"/>
      <c r="AO48" s="47"/>
      <c r="AP48" s="47"/>
    </row>
    <row r="49" spans="1:42" x14ac:dyDescent="0.25">
      <c r="A49" s="40"/>
      <c r="B49" s="41"/>
      <c r="C49" s="41"/>
      <c r="D49" s="43"/>
      <c r="E49" s="44"/>
      <c r="F49" s="41"/>
      <c r="G49" s="51"/>
      <c r="H49" s="45"/>
      <c r="I49" s="46"/>
      <c r="J49" s="46"/>
      <c r="K49" s="47"/>
      <c r="L49" s="47"/>
      <c r="M49" s="46"/>
      <c r="N49" s="52" t="str">
        <f>IF(RECIBIDAS_GASTOS!F49="","",CONCATENATE(RECIBIDAS_GASTOS!F49,"-",COUNTIF(RECIBIDAS_GASTOS!F:F,RECIBIDAS_GASTOS!F49)))</f>
        <v/>
      </c>
      <c r="O49" s="52" t="str">
        <f>IF(RECIBIDAS_GASTOS!F49="","",CONCATENATE(RECIBIDAS_GASTOS!F49,"-",COUNTIF(RECIBIDAS_GASTOS!F:F,RECIBIDAS_GASTOS!F49)))</f>
        <v/>
      </c>
      <c r="P49" s="41"/>
      <c r="Q49" s="47"/>
      <c r="R49" s="47"/>
      <c r="S49" s="47"/>
      <c r="T49" s="41"/>
      <c r="U49" s="53"/>
      <c r="V49" s="53"/>
      <c r="W49" s="53"/>
      <c r="X49" s="40"/>
      <c r="Y49" s="41"/>
      <c r="Z49" s="48" t="str">
        <f t="shared" si="3"/>
        <v/>
      </c>
      <c r="AA49" s="49"/>
      <c r="AB49" s="50"/>
      <c r="AC49" s="48" t="str">
        <f t="shared" si="4"/>
        <v/>
      </c>
      <c r="AD49" s="49"/>
      <c r="AE49" s="50"/>
      <c r="AF49" s="48" t="str">
        <f t="shared" si="5"/>
        <v/>
      </c>
      <c r="AG49" s="46"/>
      <c r="AH49" s="49"/>
      <c r="AI49" s="41"/>
      <c r="AJ49" s="47"/>
      <c r="AK49" s="45"/>
      <c r="AL49" s="45"/>
      <c r="AM49" s="47"/>
      <c r="AN49" s="41"/>
      <c r="AO49" s="47"/>
      <c r="AP49" s="47"/>
    </row>
    <row r="50" spans="1:42" x14ac:dyDescent="0.25">
      <c r="A50" s="40"/>
      <c r="B50" s="41"/>
      <c r="C50" s="41"/>
      <c r="D50" s="43"/>
      <c r="E50" s="44"/>
      <c r="F50" s="41"/>
      <c r="G50" s="51"/>
      <c r="H50" s="45"/>
      <c r="I50" s="46"/>
      <c r="J50" s="46"/>
      <c r="K50" s="47"/>
      <c r="L50" s="47"/>
      <c r="M50" s="46"/>
      <c r="N50" s="52" t="str">
        <f>IF(RECIBIDAS_GASTOS!F50="","",CONCATENATE(RECIBIDAS_GASTOS!F50,"-",COUNTIF(RECIBIDAS_GASTOS!F:F,RECIBIDAS_GASTOS!F50)))</f>
        <v/>
      </c>
      <c r="O50" s="52" t="str">
        <f>IF(RECIBIDAS_GASTOS!F50="","",CONCATENATE(RECIBIDAS_GASTOS!F50,"-",COUNTIF(RECIBIDAS_GASTOS!F:F,RECIBIDAS_GASTOS!F50)))</f>
        <v/>
      </c>
      <c r="P50" s="41"/>
      <c r="Q50" s="47"/>
      <c r="R50" s="47"/>
      <c r="S50" s="47"/>
      <c r="T50" s="41"/>
      <c r="U50" s="53"/>
      <c r="V50" s="53"/>
      <c r="W50" s="53"/>
      <c r="X50" s="40"/>
      <c r="Y50" s="41"/>
      <c r="Z50" s="48" t="str">
        <f t="shared" si="3"/>
        <v/>
      </c>
      <c r="AA50" s="49"/>
      <c r="AB50" s="50"/>
      <c r="AC50" s="48" t="str">
        <f t="shared" si="4"/>
        <v/>
      </c>
      <c r="AD50" s="49"/>
      <c r="AE50" s="50"/>
      <c r="AF50" s="48" t="str">
        <f t="shared" si="5"/>
        <v/>
      </c>
      <c r="AG50" s="46"/>
      <c r="AH50" s="49"/>
      <c r="AI50" s="41"/>
      <c r="AJ50" s="47"/>
      <c r="AK50" s="45"/>
      <c r="AL50" s="45"/>
      <c r="AM50" s="47"/>
      <c r="AN50" s="41"/>
      <c r="AO50" s="47"/>
      <c r="AP50" s="47"/>
    </row>
    <row r="51" spans="1:42" x14ac:dyDescent="0.25">
      <c r="A51" s="40"/>
      <c r="B51" s="41"/>
      <c r="C51" s="41"/>
      <c r="D51" s="43"/>
      <c r="E51" s="44"/>
      <c r="F51" s="41"/>
      <c r="G51" s="51"/>
      <c r="H51" s="45"/>
      <c r="I51" s="46"/>
      <c r="J51" s="46"/>
      <c r="K51" s="47"/>
      <c r="L51" s="47"/>
      <c r="M51" s="46"/>
      <c r="N51" s="52" t="str">
        <f>IF(RECIBIDAS_GASTOS!F51="","",CONCATENATE(RECIBIDAS_GASTOS!F51,"-",COUNTIF(RECIBIDAS_GASTOS!F:F,RECIBIDAS_GASTOS!F51)))</f>
        <v/>
      </c>
      <c r="O51" s="52" t="str">
        <f>IF(RECIBIDAS_GASTOS!F51="","",CONCATENATE(RECIBIDAS_GASTOS!F51,"-",COUNTIF(RECIBIDAS_GASTOS!F:F,RECIBIDAS_GASTOS!F51)))</f>
        <v/>
      </c>
      <c r="P51" s="41"/>
      <c r="Q51" s="47"/>
      <c r="R51" s="47"/>
      <c r="S51" s="47"/>
      <c r="T51" s="41"/>
      <c r="U51" s="53"/>
      <c r="V51" s="53"/>
      <c r="W51" s="53"/>
      <c r="X51" s="40"/>
      <c r="Y51" s="41"/>
      <c r="Z51" s="48" t="str">
        <f t="shared" si="3"/>
        <v/>
      </c>
      <c r="AA51" s="49"/>
      <c r="AB51" s="50"/>
      <c r="AC51" s="48" t="str">
        <f t="shared" si="4"/>
        <v/>
      </c>
      <c r="AD51" s="49"/>
      <c r="AE51" s="50"/>
      <c r="AF51" s="48" t="str">
        <f t="shared" si="5"/>
        <v/>
      </c>
      <c r="AG51" s="46"/>
      <c r="AH51" s="49"/>
      <c r="AI51" s="41"/>
      <c r="AJ51" s="47"/>
      <c r="AK51" s="45"/>
      <c r="AL51" s="45"/>
      <c r="AM51" s="47"/>
      <c r="AN51" s="41"/>
      <c r="AO51" s="47"/>
      <c r="AP51" s="47"/>
    </row>
    <row r="52" spans="1:42" x14ac:dyDescent="0.25">
      <c r="A52" s="40"/>
      <c r="B52" s="41"/>
      <c r="C52" s="41"/>
      <c r="D52" s="43"/>
      <c r="E52" s="44"/>
      <c r="F52" s="41"/>
      <c r="G52" s="51"/>
      <c r="H52" s="45"/>
      <c r="I52" s="46"/>
      <c r="J52" s="46"/>
      <c r="K52" s="47"/>
      <c r="L52" s="47"/>
      <c r="M52" s="46"/>
      <c r="N52" s="52" t="str">
        <f>IF(RECIBIDAS_GASTOS!F52="","",CONCATENATE(RECIBIDAS_GASTOS!F52,"-",COUNTIF(RECIBIDAS_GASTOS!F:F,RECIBIDAS_GASTOS!F52)))</f>
        <v/>
      </c>
      <c r="O52" s="52" t="str">
        <f>IF(RECIBIDAS_GASTOS!F52="","",CONCATENATE(RECIBIDAS_GASTOS!F52,"-",COUNTIF(RECIBIDAS_GASTOS!F:F,RECIBIDAS_GASTOS!F52)))</f>
        <v/>
      </c>
      <c r="P52" s="41"/>
      <c r="Q52" s="47"/>
      <c r="R52" s="47"/>
      <c r="S52" s="47"/>
      <c r="T52" s="41"/>
      <c r="U52" s="53"/>
      <c r="V52" s="53"/>
      <c r="W52" s="53"/>
      <c r="X52" s="40"/>
      <c r="Y52" s="41"/>
      <c r="Z52" s="48" t="str">
        <f t="shared" si="3"/>
        <v/>
      </c>
      <c r="AA52" s="49"/>
      <c r="AB52" s="50"/>
      <c r="AC52" s="48" t="str">
        <f t="shared" si="4"/>
        <v/>
      </c>
      <c r="AD52" s="49"/>
      <c r="AE52" s="50"/>
      <c r="AF52" s="48" t="str">
        <f t="shared" si="5"/>
        <v/>
      </c>
      <c r="AG52" s="46"/>
      <c r="AH52" s="49"/>
      <c r="AI52" s="41"/>
      <c r="AJ52" s="47"/>
      <c r="AK52" s="45"/>
      <c r="AL52" s="45"/>
      <c r="AM52" s="47"/>
      <c r="AN52" s="41"/>
      <c r="AO52" s="47"/>
      <c r="AP52" s="47"/>
    </row>
    <row r="53" spans="1:42" x14ac:dyDescent="0.25">
      <c r="A53" s="40"/>
      <c r="B53" s="41"/>
      <c r="C53" s="41"/>
      <c r="D53" s="43"/>
      <c r="E53" s="44"/>
      <c r="F53" s="41"/>
      <c r="G53" s="51"/>
      <c r="H53" s="45"/>
      <c r="I53" s="46"/>
      <c r="J53" s="46"/>
      <c r="K53" s="47"/>
      <c r="L53" s="47"/>
      <c r="M53" s="46"/>
      <c r="N53" s="52" t="str">
        <f>IF(RECIBIDAS_GASTOS!F53="","",CONCATENATE(RECIBIDAS_GASTOS!F53,"-",COUNTIF(RECIBIDAS_GASTOS!F:F,RECIBIDAS_GASTOS!F53)))</f>
        <v/>
      </c>
      <c r="O53" s="52" t="str">
        <f>IF(RECIBIDAS_GASTOS!F53="","",CONCATENATE(RECIBIDAS_GASTOS!F53,"-",COUNTIF(RECIBIDAS_GASTOS!F:F,RECIBIDAS_GASTOS!F53)))</f>
        <v/>
      </c>
      <c r="P53" s="41"/>
      <c r="Q53" s="47"/>
      <c r="R53" s="47"/>
      <c r="S53" s="47"/>
      <c r="T53" s="41"/>
      <c r="U53" s="53"/>
      <c r="V53" s="53"/>
      <c r="W53" s="53"/>
      <c r="X53" s="40"/>
      <c r="Y53" s="41"/>
      <c r="Z53" s="48" t="str">
        <f t="shared" si="3"/>
        <v/>
      </c>
      <c r="AA53" s="49"/>
      <c r="AB53" s="50"/>
      <c r="AC53" s="48" t="str">
        <f t="shared" si="4"/>
        <v/>
      </c>
      <c r="AD53" s="49"/>
      <c r="AE53" s="50"/>
      <c r="AF53" s="48" t="str">
        <f t="shared" si="5"/>
        <v/>
      </c>
      <c r="AG53" s="46"/>
      <c r="AH53" s="49"/>
      <c r="AI53" s="41"/>
      <c r="AJ53" s="47"/>
      <c r="AK53" s="45"/>
      <c r="AL53" s="45"/>
      <c r="AM53" s="47"/>
      <c r="AN53" s="41"/>
      <c r="AO53" s="47"/>
      <c r="AP53" s="47"/>
    </row>
    <row r="54" spans="1:42" x14ac:dyDescent="0.25">
      <c r="A54" s="40"/>
      <c r="B54" s="41"/>
      <c r="C54" s="41"/>
      <c r="D54" s="43"/>
      <c r="E54" s="44"/>
      <c r="F54" s="41"/>
      <c r="G54" s="51"/>
      <c r="H54" s="45"/>
      <c r="I54" s="46"/>
      <c r="J54" s="46"/>
      <c r="K54" s="47"/>
      <c r="L54" s="47"/>
      <c r="M54" s="46"/>
      <c r="N54" s="52" t="str">
        <f>IF(RECIBIDAS_GASTOS!F54="","",CONCATENATE(RECIBIDAS_GASTOS!F54,"-",COUNTIF(RECIBIDAS_GASTOS!F:F,RECIBIDAS_GASTOS!F54)))</f>
        <v/>
      </c>
      <c r="O54" s="52" t="str">
        <f>IF(RECIBIDAS_GASTOS!F54="","",CONCATENATE(RECIBIDAS_GASTOS!F54,"-",COUNTIF(RECIBIDAS_GASTOS!F:F,RECIBIDAS_GASTOS!F54)))</f>
        <v/>
      </c>
      <c r="P54" s="41"/>
      <c r="Q54" s="47"/>
      <c r="R54" s="47"/>
      <c r="S54" s="47"/>
      <c r="T54" s="41"/>
      <c r="U54" s="53"/>
      <c r="V54" s="53"/>
      <c r="W54" s="53"/>
      <c r="X54" s="40"/>
      <c r="Y54" s="41"/>
      <c r="Z54" s="48" t="str">
        <f t="shared" si="3"/>
        <v/>
      </c>
      <c r="AA54" s="49"/>
      <c r="AB54" s="50"/>
      <c r="AC54" s="48" t="str">
        <f t="shared" si="4"/>
        <v/>
      </c>
      <c r="AD54" s="49"/>
      <c r="AE54" s="50"/>
      <c r="AF54" s="48" t="str">
        <f t="shared" si="5"/>
        <v/>
      </c>
      <c r="AG54" s="46"/>
      <c r="AH54" s="49"/>
      <c r="AI54" s="41"/>
      <c r="AJ54" s="47"/>
      <c r="AK54" s="45"/>
      <c r="AL54" s="45"/>
      <c r="AM54" s="47"/>
      <c r="AN54" s="41"/>
      <c r="AO54" s="47"/>
      <c r="AP54" s="47"/>
    </row>
    <row r="55" spans="1:42" x14ac:dyDescent="0.25">
      <c r="A55" s="40"/>
      <c r="B55" s="41"/>
      <c r="C55" s="41"/>
      <c r="D55" s="43"/>
      <c r="E55" s="44"/>
      <c r="F55" s="41"/>
      <c r="G55" s="51"/>
      <c r="H55" s="45"/>
      <c r="I55" s="46"/>
      <c r="J55" s="46"/>
      <c r="K55" s="47"/>
      <c r="L55" s="47"/>
      <c r="M55" s="46"/>
      <c r="N55" s="52" t="str">
        <f>IF(RECIBIDAS_GASTOS!F55="","",CONCATENATE(RECIBIDAS_GASTOS!F55,"-",COUNTIF(RECIBIDAS_GASTOS!F:F,RECIBIDAS_GASTOS!F55)))</f>
        <v/>
      </c>
      <c r="O55" s="52" t="str">
        <f>IF(RECIBIDAS_GASTOS!F55="","",CONCATENATE(RECIBIDAS_GASTOS!F55,"-",COUNTIF(RECIBIDAS_GASTOS!F:F,RECIBIDAS_GASTOS!F55)))</f>
        <v/>
      </c>
      <c r="P55" s="41"/>
      <c r="Q55" s="47"/>
      <c r="R55" s="47"/>
      <c r="S55" s="47"/>
      <c r="T55" s="41"/>
      <c r="U55" s="53"/>
      <c r="V55" s="53"/>
      <c r="W55" s="53"/>
      <c r="X55" s="40"/>
      <c r="Y55" s="41"/>
      <c r="Z55" s="48" t="str">
        <f t="shared" si="3"/>
        <v/>
      </c>
      <c r="AA55" s="49"/>
      <c r="AB55" s="50"/>
      <c r="AC55" s="48" t="str">
        <f t="shared" si="4"/>
        <v/>
      </c>
      <c r="AD55" s="49"/>
      <c r="AE55" s="50"/>
      <c r="AF55" s="48" t="str">
        <f t="shared" si="5"/>
        <v/>
      </c>
      <c r="AG55" s="46"/>
      <c r="AH55" s="49"/>
      <c r="AI55" s="41"/>
      <c r="AJ55" s="47"/>
      <c r="AK55" s="45"/>
      <c r="AL55" s="45"/>
      <c r="AM55" s="47"/>
      <c r="AN55" s="41"/>
      <c r="AO55" s="47"/>
      <c r="AP55" s="47"/>
    </row>
    <row r="56" spans="1:42" x14ac:dyDescent="0.25">
      <c r="A56" s="40"/>
      <c r="B56" s="41"/>
      <c r="C56" s="41"/>
      <c r="D56" s="43"/>
      <c r="E56" s="44"/>
      <c r="F56" s="41"/>
      <c r="G56" s="51"/>
      <c r="H56" s="45"/>
      <c r="I56" s="46"/>
      <c r="J56" s="46"/>
      <c r="K56" s="47"/>
      <c r="L56" s="47"/>
      <c r="M56" s="46"/>
      <c r="N56" s="52" t="str">
        <f>IF(RECIBIDAS_GASTOS!F56="","",CONCATENATE(RECIBIDAS_GASTOS!F56,"-",COUNTIF(RECIBIDAS_GASTOS!F:F,RECIBIDAS_GASTOS!F56)))</f>
        <v/>
      </c>
      <c r="O56" s="52" t="str">
        <f>IF(RECIBIDAS_GASTOS!F56="","",CONCATENATE(RECIBIDAS_GASTOS!F56,"-",COUNTIF(RECIBIDAS_GASTOS!F:F,RECIBIDAS_GASTOS!F56)))</f>
        <v/>
      </c>
      <c r="P56" s="41"/>
      <c r="Q56" s="47"/>
      <c r="R56" s="47"/>
      <c r="S56" s="47"/>
      <c r="T56" s="41"/>
      <c r="U56" s="53"/>
      <c r="V56" s="53"/>
      <c r="W56" s="53"/>
      <c r="X56" s="40"/>
      <c r="Y56" s="41"/>
      <c r="Z56" s="48" t="str">
        <f t="shared" si="3"/>
        <v/>
      </c>
      <c r="AA56" s="49"/>
      <c r="AB56" s="50"/>
      <c r="AC56" s="48" t="str">
        <f t="shared" si="4"/>
        <v/>
      </c>
      <c r="AD56" s="49"/>
      <c r="AE56" s="50"/>
      <c r="AF56" s="48" t="str">
        <f t="shared" si="5"/>
        <v/>
      </c>
      <c r="AG56" s="46"/>
      <c r="AH56" s="49"/>
      <c r="AI56" s="41"/>
      <c r="AJ56" s="47"/>
      <c r="AK56" s="45"/>
      <c r="AL56" s="45"/>
      <c r="AM56" s="47"/>
      <c r="AN56" s="41"/>
      <c r="AO56" s="47"/>
      <c r="AP56" s="47"/>
    </row>
    <row r="57" spans="1:42" x14ac:dyDescent="0.25">
      <c r="A57" s="40"/>
      <c r="B57" s="41"/>
      <c r="C57" s="41"/>
      <c r="D57" s="43"/>
      <c r="E57" s="44"/>
      <c r="F57" s="41"/>
      <c r="G57" s="51"/>
      <c r="H57" s="45"/>
      <c r="I57" s="46"/>
      <c r="J57" s="46"/>
      <c r="K57" s="47"/>
      <c r="L57" s="47"/>
      <c r="M57" s="46"/>
      <c r="N57" s="52" t="str">
        <f>IF(RECIBIDAS_GASTOS!F57="","",CONCATENATE(RECIBIDAS_GASTOS!F57,"-",COUNTIF(RECIBIDAS_GASTOS!F:F,RECIBIDAS_GASTOS!F57)))</f>
        <v/>
      </c>
      <c r="O57" s="52" t="str">
        <f>IF(RECIBIDAS_GASTOS!F57="","",CONCATENATE(RECIBIDAS_GASTOS!F57,"-",COUNTIF(RECIBIDAS_GASTOS!F:F,RECIBIDAS_GASTOS!F57)))</f>
        <v/>
      </c>
      <c r="P57" s="41"/>
      <c r="Q57" s="47"/>
      <c r="R57" s="47"/>
      <c r="S57" s="47"/>
      <c r="T57" s="41"/>
      <c r="U57" s="53"/>
      <c r="V57" s="53"/>
      <c r="W57" s="53"/>
      <c r="X57" s="40"/>
      <c r="Y57" s="41"/>
      <c r="Z57" s="48" t="str">
        <f t="shared" si="3"/>
        <v/>
      </c>
      <c r="AA57" s="49"/>
      <c r="AB57" s="50"/>
      <c r="AC57" s="48" t="str">
        <f t="shared" si="4"/>
        <v/>
      </c>
      <c r="AD57" s="49"/>
      <c r="AE57" s="50"/>
      <c r="AF57" s="48" t="str">
        <f t="shared" si="5"/>
        <v/>
      </c>
      <c r="AG57" s="46"/>
      <c r="AH57" s="49"/>
      <c r="AI57" s="41"/>
      <c r="AJ57" s="47"/>
      <c r="AK57" s="45"/>
      <c r="AL57" s="45"/>
      <c r="AM57" s="47"/>
      <c r="AN57" s="41"/>
      <c r="AO57" s="47"/>
      <c r="AP57" s="47"/>
    </row>
    <row r="58" spans="1:42" x14ac:dyDescent="0.25">
      <c r="A58" s="40"/>
      <c r="B58" s="41"/>
      <c r="C58" s="41"/>
      <c r="D58" s="43"/>
      <c r="E58" s="44"/>
      <c r="F58" s="41"/>
      <c r="G58" s="51"/>
      <c r="H58" s="45"/>
      <c r="I58" s="46"/>
      <c r="J58" s="46"/>
      <c r="K58" s="47"/>
      <c r="L58" s="47"/>
      <c r="M58" s="46"/>
      <c r="N58" s="52" t="str">
        <f>IF(RECIBIDAS_GASTOS!F58="","",CONCATENATE(RECIBIDAS_GASTOS!F58,"-",COUNTIF(RECIBIDAS_GASTOS!F:F,RECIBIDAS_GASTOS!F58)))</f>
        <v/>
      </c>
      <c r="O58" s="52" t="str">
        <f>IF(RECIBIDAS_GASTOS!F58="","",CONCATENATE(RECIBIDAS_GASTOS!F58,"-",COUNTIF(RECIBIDAS_GASTOS!F:F,RECIBIDAS_GASTOS!F58)))</f>
        <v/>
      </c>
      <c r="P58" s="41"/>
      <c r="Q58" s="47"/>
      <c r="R58" s="47"/>
      <c r="S58" s="47"/>
      <c r="T58" s="41"/>
      <c r="U58" s="53"/>
      <c r="V58" s="53"/>
      <c r="W58" s="53"/>
      <c r="X58" s="40"/>
      <c r="Y58" s="41"/>
      <c r="Z58" s="48" t="str">
        <f t="shared" si="3"/>
        <v/>
      </c>
      <c r="AA58" s="49"/>
      <c r="AB58" s="50"/>
      <c r="AC58" s="48" t="str">
        <f t="shared" si="4"/>
        <v/>
      </c>
      <c r="AD58" s="49"/>
      <c r="AE58" s="50"/>
      <c r="AF58" s="48" t="str">
        <f t="shared" si="5"/>
        <v/>
      </c>
      <c r="AG58" s="46"/>
      <c r="AH58" s="49"/>
      <c r="AI58" s="41"/>
      <c r="AJ58" s="47"/>
      <c r="AK58" s="45"/>
      <c r="AL58" s="45"/>
      <c r="AM58" s="47"/>
      <c r="AN58" s="41"/>
      <c r="AO58" s="47"/>
      <c r="AP58" s="47"/>
    </row>
    <row r="59" spans="1:42" x14ac:dyDescent="0.25">
      <c r="A59" s="40"/>
      <c r="B59" s="41"/>
      <c r="C59" s="41"/>
      <c r="D59" s="43"/>
      <c r="E59" s="44"/>
      <c r="F59" s="41"/>
      <c r="G59" s="51"/>
      <c r="H59" s="45"/>
      <c r="I59" s="46"/>
      <c r="J59" s="46"/>
      <c r="K59" s="47"/>
      <c r="L59" s="47"/>
      <c r="M59" s="46"/>
      <c r="N59" s="52" t="str">
        <f>IF(RECIBIDAS_GASTOS!F59="","",CONCATENATE(RECIBIDAS_GASTOS!F59,"-",COUNTIF(RECIBIDAS_GASTOS!F:F,RECIBIDAS_GASTOS!F59)))</f>
        <v/>
      </c>
      <c r="O59" s="52" t="str">
        <f>IF(RECIBIDAS_GASTOS!F59="","",CONCATENATE(RECIBIDAS_GASTOS!F59,"-",COUNTIF(RECIBIDAS_GASTOS!F:F,RECIBIDAS_GASTOS!F59)))</f>
        <v/>
      </c>
      <c r="P59" s="41"/>
      <c r="Q59" s="47"/>
      <c r="R59" s="47"/>
      <c r="S59" s="47"/>
      <c r="T59" s="41"/>
      <c r="U59" s="53"/>
      <c r="V59" s="53"/>
      <c r="W59" s="53"/>
      <c r="X59" s="40"/>
      <c r="Y59" s="41"/>
      <c r="Z59" s="48" t="str">
        <f t="shared" si="3"/>
        <v/>
      </c>
      <c r="AA59" s="49"/>
      <c r="AB59" s="50"/>
      <c r="AC59" s="48" t="str">
        <f t="shared" si="4"/>
        <v/>
      </c>
      <c r="AD59" s="49"/>
      <c r="AE59" s="50"/>
      <c r="AF59" s="48" t="str">
        <f t="shared" si="5"/>
        <v/>
      </c>
      <c r="AG59" s="46"/>
      <c r="AH59" s="49"/>
      <c r="AI59" s="41"/>
      <c r="AJ59" s="47"/>
      <c r="AK59" s="45"/>
      <c r="AL59" s="45"/>
      <c r="AM59" s="47"/>
      <c r="AN59" s="41"/>
      <c r="AO59" s="47"/>
      <c r="AP59" s="47"/>
    </row>
    <row r="60" spans="1:42" x14ac:dyDescent="0.25">
      <c r="A60" s="40"/>
      <c r="B60" s="41"/>
      <c r="C60" s="41"/>
      <c r="D60" s="43"/>
      <c r="E60" s="44"/>
      <c r="F60" s="41"/>
      <c r="G60" s="51"/>
      <c r="H60" s="45"/>
      <c r="I60" s="46"/>
      <c r="J60" s="46"/>
      <c r="K60" s="47"/>
      <c r="L60" s="47"/>
      <c r="M60" s="46"/>
      <c r="N60" s="52" t="str">
        <f>IF(RECIBIDAS_GASTOS!F60="","",CONCATENATE(RECIBIDAS_GASTOS!F60,"-",COUNTIF(RECIBIDAS_GASTOS!F:F,RECIBIDAS_GASTOS!F60)))</f>
        <v/>
      </c>
      <c r="O60" s="52" t="str">
        <f>IF(RECIBIDAS_GASTOS!F60="","",CONCATENATE(RECIBIDAS_GASTOS!F60,"-",COUNTIF(RECIBIDAS_GASTOS!F:F,RECIBIDAS_GASTOS!F60)))</f>
        <v/>
      </c>
      <c r="P60" s="41"/>
      <c r="Q60" s="47"/>
      <c r="R60" s="47"/>
      <c r="S60" s="47"/>
      <c r="T60" s="41"/>
      <c r="U60" s="53"/>
      <c r="V60" s="53"/>
      <c r="W60" s="53"/>
      <c r="X60" s="40"/>
      <c r="Y60" s="41"/>
      <c r="Z60" s="48" t="str">
        <f t="shared" si="3"/>
        <v/>
      </c>
      <c r="AA60" s="49"/>
      <c r="AB60" s="50"/>
      <c r="AC60" s="48" t="str">
        <f t="shared" si="4"/>
        <v/>
      </c>
      <c r="AD60" s="49"/>
      <c r="AE60" s="50"/>
      <c r="AF60" s="48" t="str">
        <f t="shared" si="5"/>
        <v/>
      </c>
      <c r="AG60" s="46"/>
      <c r="AH60" s="49"/>
      <c r="AI60" s="41"/>
      <c r="AJ60" s="47"/>
      <c r="AK60" s="45"/>
      <c r="AL60" s="45"/>
      <c r="AM60" s="47"/>
      <c r="AN60" s="41"/>
      <c r="AO60" s="47"/>
      <c r="AP60" s="47"/>
    </row>
    <row r="61" spans="1:42" x14ac:dyDescent="0.25">
      <c r="A61" s="40"/>
      <c r="B61" s="41"/>
      <c r="C61" s="41"/>
      <c r="D61" s="43"/>
      <c r="E61" s="44"/>
      <c r="F61" s="41"/>
      <c r="G61" s="51"/>
      <c r="H61" s="45"/>
      <c r="I61" s="46"/>
      <c r="J61" s="46"/>
      <c r="K61" s="47"/>
      <c r="L61" s="47"/>
      <c r="M61" s="46"/>
      <c r="N61" s="52" t="str">
        <f>IF(RECIBIDAS_GASTOS!F61="","",CONCATENATE(RECIBIDAS_GASTOS!F61,"-",COUNTIF(RECIBIDAS_GASTOS!F:F,RECIBIDAS_GASTOS!F61)))</f>
        <v/>
      </c>
      <c r="O61" s="52" t="str">
        <f>IF(RECIBIDAS_GASTOS!F61="","",CONCATENATE(RECIBIDAS_GASTOS!F61,"-",COUNTIF(RECIBIDAS_GASTOS!F:F,RECIBIDAS_GASTOS!F61)))</f>
        <v/>
      </c>
      <c r="P61" s="41"/>
      <c r="Q61" s="47"/>
      <c r="R61" s="47"/>
      <c r="S61" s="47"/>
      <c r="T61" s="41"/>
      <c r="U61" s="53"/>
      <c r="V61" s="53"/>
      <c r="W61" s="53"/>
      <c r="X61" s="40"/>
      <c r="Y61" s="41"/>
      <c r="Z61" s="48" t="str">
        <f t="shared" si="3"/>
        <v/>
      </c>
      <c r="AA61" s="49"/>
      <c r="AB61" s="50"/>
      <c r="AC61" s="48" t="str">
        <f t="shared" si="4"/>
        <v/>
      </c>
      <c r="AD61" s="49"/>
      <c r="AE61" s="50"/>
      <c r="AF61" s="48" t="str">
        <f t="shared" si="5"/>
        <v/>
      </c>
      <c r="AG61" s="46"/>
      <c r="AH61" s="49"/>
      <c r="AI61" s="41"/>
      <c r="AJ61" s="47"/>
      <c r="AK61" s="45"/>
      <c r="AL61" s="45"/>
      <c r="AM61" s="47"/>
      <c r="AN61" s="41"/>
      <c r="AO61" s="47"/>
      <c r="AP61" s="47"/>
    </row>
    <row r="62" spans="1:42" x14ac:dyDescent="0.25">
      <c r="A62" s="40"/>
      <c r="B62" s="41"/>
      <c r="C62" s="41"/>
      <c r="D62" s="43"/>
      <c r="E62" s="44"/>
      <c r="F62" s="41"/>
      <c r="G62" s="51"/>
      <c r="H62" s="45"/>
      <c r="I62" s="46"/>
      <c r="J62" s="46"/>
      <c r="K62" s="47"/>
      <c r="L62" s="47"/>
      <c r="M62" s="46"/>
      <c r="N62" s="52" t="str">
        <f>IF(RECIBIDAS_GASTOS!F62="","",CONCATENATE(RECIBIDAS_GASTOS!F62,"-",COUNTIF(RECIBIDAS_GASTOS!F:F,RECIBIDAS_GASTOS!F62)))</f>
        <v/>
      </c>
      <c r="O62" s="52" t="str">
        <f>IF(RECIBIDAS_GASTOS!F62="","",CONCATENATE(RECIBIDAS_GASTOS!F62,"-",COUNTIF(RECIBIDAS_GASTOS!F:F,RECIBIDAS_GASTOS!F62)))</f>
        <v/>
      </c>
      <c r="P62" s="41"/>
      <c r="Q62" s="47"/>
      <c r="R62" s="47"/>
      <c r="S62" s="47"/>
      <c r="T62" s="41"/>
      <c r="U62" s="53"/>
      <c r="V62" s="53"/>
      <c r="W62" s="53"/>
      <c r="X62" s="40"/>
      <c r="Y62" s="41"/>
      <c r="Z62" s="48" t="str">
        <f t="shared" si="3"/>
        <v/>
      </c>
      <c r="AA62" s="49"/>
      <c r="AB62" s="50"/>
      <c r="AC62" s="48" t="str">
        <f t="shared" si="4"/>
        <v/>
      </c>
      <c r="AD62" s="49"/>
      <c r="AE62" s="50"/>
      <c r="AF62" s="48" t="str">
        <f t="shared" si="5"/>
        <v/>
      </c>
      <c r="AG62" s="46"/>
      <c r="AH62" s="49"/>
      <c r="AI62" s="41"/>
      <c r="AJ62" s="47"/>
      <c r="AK62" s="45"/>
      <c r="AL62" s="45"/>
      <c r="AM62" s="47"/>
      <c r="AN62" s="41"/>
      <c r="AO62" s="47"/>
      <c r="AP62" s="47"/>
    </row>
    <row r="63" spans="1:42" x14ac:dyDescent="0.25">
      <c r="A63" s="40"/>
      <c r="B63" s="41"/>
      <c r="C63" s="41"/>
      <c r="D63" s="43"/>
      <c r="E63" s="44"/>
      <c r="F63" s="41"/>
      <c r="G63" s="51"/>
      <c r="H63" s="45"/>
      <c r="I63" s="46"/>
      <c r="J63" s="46"/>
      <c r="K63" s="47"/>
      <c r="L63" s="47"/>
      <c r="M63" s="46"/>
      <c r="N63" s="52" t="str">
        <f>IF(RECIBIDAS_GASTOS!F63="","",CONCATENATE(RECIBIDAS_GASTOS!F63,"-",COUNTIF(RECIBIDAS_GASTOS!F:F,RECIBIDAS_GASTOS!F63)))</f>
        <v/>
      </c>
      <c r="O63" s="52" t="str">
        <f>IF(RECIBIDAS_GASTOS!F63="","",CONCATENATE(RECIBIDAS_GASTOS!F63,"-",COUNTIF(RECIBIDAS_GASTOS!F:F,RECIBIDAS_GASTOS!F63)))</f>
        <v/>
      </c>
      <c r="P63" s="41"/>
      <c r="Q63" s="47"/>
      <c r="R63" s="47"/>
      <c r="S63" s="47"/>
      <c r="T63" s="41"/>
      <c r="U63" s="53"/>
      <c r="V63" s="53"/>
      <c r="W63" s="53"/>
      <c r="X63" s="40"/>
      <c r="Y63" s="41"/>
      <c r="Z63" s="48" t="str">
        <f t="shared" si="3"/>
        <v/>
      </c>
      <c r="AA63" s="49"/>
      <c r="AB63" s="50"/>
      <c r="AC63" s="48" t="str">
        <f t="shared" si="4"/>
        <v/>
      </c>
      <c r="AD63" s="49"/>
      <c r="AE63" s="50"/>
      <c r="AF63" s="48" t="str">
        <f t="shared" si="5"/>
        <v/>
      </c>
      <c r="AG63" s="46"/>
      <c r="AH63" s="49"/>
      <c r="AI63" s="41"/>
      <c r="AJ63" s="47"/>
      <c r="AK63" s="45"/>
      <c r="AL63" s="45"/>
      <c r="AM63" s="47"/>
      <c r="AN63" s="41"/>
      <c r="AO63" s="47"/>
      <c r="AP63" s="47"/>
    </row>
    <row r="64" spans="1:42" x14ac:dyDescent="0.25">
      <c r="A64" s="40"/>
      <c r="B64" s="41"/>
      <c r="C64" s="41"/>
      <c r="D64" s="43"/>
      <c r="E64" s="44"/>
      <c r="F64" s="41"/>
      <c r="G64" s="51"/>
      <c r="H64" s="45"/>
      <c r="I64" s="46"/>
      <c r="J64" s="46"/>
      <c r="K64" s="47"/>
      <c r="L64" s="47"/>
      <c r="M64" s="46"/>
      <c r="N64" s="52" t="str">
        <f>IF(RECIBIDAS_GASTOS!F64="","",CONCATENATE(RECIBIDAS_GASTOS!F64,"-",COUNTIF(RECIBIDAS_GASTOS!F:F,RECIBIDAS_GASTOS!F64)))</f>
        <v/>
      </c>
      <c r="O64" s="52" t="str">
        <f>IF(RECIBIDAS_GASTOS!F64="","",CONCATENATE(RECIBIDAS_GASTOS!F64,"-",COUNTIF(RECIBIDAS_GASTOS!F:F,RECIBIDAS_GASTOS!F64)))</f>
        <v/>
      </c>
      <c r="P64" s="41"/>
      <c r="Q64" s="47"/>
      <c r="R64" s="47"/>
      <c r="S64" s="47"/>
      <c r="T64" s="41"/>
      <c r="U64" s="53"/>
      <c r="V64" s="53"/>
      <c r="W64" s="53"/>
      <c r="X64" s="40"/>
      <c r="Y64" s="41"/>
      <c r="Z64" s="48" t="str">
        <f t="shared" si="3"/>
        <v/>
      </c>
      <c r="AA64" s="49"/>
      <c r="AB64" s="50"/>
      <c r="AC64" s="48" t="str">
        <f t="shared" si="4"/>
        <v/>
      </c>
      <c r="AD64" s="49"/>
      <c r="AE64" s="50"/>
      <c r="AF64" s="48" t="str">
        <f t="shared" si="5"/>
        <v/>
      </c>
      <c r="AG64" s="46"/>
      <c r="AH64" s="49"/>
      <c r="AI64" s="41"/>
      <c r="AJ64" s="47"/>
      <c r="AK64" s="45"/>
      <c r="AL64" s="45"/>
      <c r="AM64" s="47"/>
      <c r="AN64" s="41"/>
      <c r="AO64" s="47"/>
      <c r="AP64" s="47"/>
    </row>
    <row r="65" spans="1:42" x14ac:dyDescent="0.25">
      <c r="A65" s="40"/>
      <c r="B65" s="41"/>
      <c r="C65" s="41"/>
      <c r="D65" s="43"/>
      <c r="E65" s="44"/>
      <c r="F65" s="41"/>
      <c r="G65" s="51"/>
      <c r="H65" s="45"/>
      <c r="I65" s="46"/>
      <c r="J65" s="46"/>
      <c r="K65" s="47"/>
      <c r="L65" s="47"/>
      <c r="M65" s="46"/>
      <c r="N65" s="52" t="str">
        <f>IF(RECIBIDAS_GASTOS!F65="","",CONCATENATE(RECIBIDAS_GASTOS!F65,"-",COUNTIF(RECIBIDAS_GASTOS!F:F,RECIBIDAS_GASTOS!F65)))</f>
        <v/>
      </c>
      <c r="O65" s="52" t="str">
        <f>IF(RECIBIDAS_GASTOS!F65="","",CONCATENATE(RECIBIDAS_GASTOS!F65,"-",COUNTIF(RECIBIDAS_GASTOS!F:F,RECIBIDAS_GASTOS!F65)))</f>
        <v/>
      </c>
      <c r="P65" s="41"/>
      <c r="Q65" s="47"/>
      <c r="R65" s="47"/>
      <c r="S65" s="47"/>
      <c r="T65" s="41"/>
      <c r="U65" s="53"/>
      <c r="V65" s="53"/>
      <c r="W65" s="53"/>
      <c r="X65" s="40"/>
      <c r="Y65" s="41"/>
      <c r="Z65" s="48" t="str">
        <f t="shared" si="3"/>
        <v/>
      </c>
      <c r="AA65" s="49"/>
      <c r="AB65" s="50"/>
      <c r="AC65" s="48" t="str">
        <f t="shared" si="4"/>
        <v/>
      </c>
      <c r="AD65" s="49"/>
      <c r="AE65" s="50"/>
      <c r="AF65" s="48" t="str">
        <f t="shared" si="5"/>
        <v/>
      </c>
      <c r="AG65" s="46"/>
      <c r="AH65" s="49"/>
      <c r="AI65" s="41"/>
      <c r="AJ65" s="47"/>
      <c r="AK65" s="45"/>
      <c r="AL65" s="45"/>
      <c r="AM65" s="47"/>
      <c r="AN65" s="41"/>
      <c r="AO65" s="47"/>
      <c r="AP65" s="47"/>
    </row>
    <row r="66" spans="1:42" x14ac:dyDescent="0.25">
      <c r="A66" s="40"/>
      <c r="B66" s="41"/>
      <c r="C66" s="41"/>
      <c r="D66" s="43"/>
      <c r="E66" s="44"/>
      <c r="F66" s="41"/>
      <c r="G66" s="51"/>
      <c r="H66" s="45"/>
      <c r="I66" s="46"/>
      <c r="J66" s="46"/>
      <c r="K66" s="47"/>
      <c r="L66" s="47"/>
      <c r="M66" s="46"/>
      <c r="N66" s="52" t="str">
        <f>IF(RECIBIDAS_GASTOS!F66="","",CONCATENATE(RECIBIDAS_GASTOS!F66,"-",COUNTIF(RECIBIDAS_GASTOS!F:F,RECIBIDAS_GASTOS!F66)))</f>
        <v/>
      </c>
      <c r="O66" s="52" t="str">
        <f>IF(RECIBIDAS_GASTOS!F66="","",CONCATENATE(RECIBIDAS_GASTOS!F66,"-",COUNTIF(RECIBIDAS_GASTOS!F:F,RECIBIDAS_GASTOS!F66)))</f>
        <v/>
      </c>
      <c r="P66" s="41"/>
      <c r="Q66" s="47"/>
      <c r="R66" s="47"/>
      <c r="S66" s="47"/>
      <c r="T66" s="41"/>
      <c r="U66" s="53"/>
      <c r="V66" s="53"/>
      <c r="W66" s="53"/>
      <c r="X66" s="40"/>
      <c r="Y66" s="41"/>
      <c r="Z66" s="48" t="str">
        <f t="shared" si="3"/>
        <v/>
      </c>
      <c r="AA66" s="49"/>
      <c r="AB66" s="50"/>
      <c r="AC66" s="48" t="str">
        <f t="shared" si="4"/>
        <v/>
      </c>
      <c r="AD66" s="49"/>
      <c r="AE66" s="50"/>
      <c r="AF66" s="48" t="str">
        <f t="shared" si="5"/>
        <v/>
      </c>
      <c r="AG66" s="46"/>
      <c r="AH66" s="49"/>
      <c r="AI66" s="41"/>
      <c r="AJ66" s="47"/>
      <c r="AK66" s="45"/>
      <c r="AL66" s="45"/>
      <c r="AM66" s="47"/>
      <c r="AN66" s="41"/>
      <c r="AO66" s="47"/>
      <c r="AP66" s="47"/>
    </row>
    <row r="67" spans="1:42" x14ac:dyDescent="0.25">
      <c r="A67" s="40"/>
      <c r="B67" s="41"/>
      <c r="C67" s="41"/>
      <c r="D67" s="43"/>
      <c r="E67" s="44"/>
      <c r="F67" s="41"/>
      <c r="G67" s="51"/>
      <c r="H67" s="45"/>
      <c r="I67" s="46"/>
      <c r="J67" s="46"/>
      <c r="K67" s="47"/>
      <c r="L67" s="47"/>
      <c r="M67" s="46"/>
      <c r="N67" s="52" t="str">
        <f>IF(RECIBIDAS_GASTOS!F67="","",CONCATENATE(RECIBIDAS_GASTOS!F67,"-",COUNTIF(RECIBIDAS_GASTOS!F:F,RECIBIDAS_GASTOS!F67)))</f>
        <v/>
      </c>
      <c r="O67" s="52" t="str">
        <f>IF(RECIBIDAS_GASTOS!F67="","",CONCATENATE(RECIBIDAS_GASTOS!F67,"-",COUNTIF(RECIBIDAS_GASTOS!F:F,RECIBIDAS_GASTOS!F67)))</f>
        <v/>
      </c>
      <c r="P67" s="41"/>
      <c r="Q67" s="47"/>
      <c r="R67" s="47"/>
      <c r="S67" s="47"/>
      <c r="T67" s="41"/>
      <c r="U67" s="53"/>
      <c r="V67" s="53"/>
      <c r="W67" s="53"/>
      <c r="X67" s="40"/>
      <c r="Y67" s="41"/>
      <c r="Z67" s="48" t="str">
        <f t="shared" si="3"/>
        <v/>
      </c>
      <c r="AA67" s="49"/>
      <c r="AB67" s="50"/>
      <c r="AC67" s="48" t="str">
        <f t="shared" si="4"/>
        <v/>
      </c>
      <c r="AD67" s="49"/>
      <c r="AE67" s="50"/>
      <c r="AF67" s="48" t="str">
        <f t="shared" si="5"/>
        <v/>
      </c>
      <c r="AG67" s="46"/>
      <c r="AH67" s="49"/>
      <c r="AI67" s="41"/>
      <c r="AJ67" s="47"/>
      <c r="AK67" s="45"/>
      <c r="AL67" s="45"/>
      <c r="AM67" s="47"/>
      <c r="AN67" s="41"/>
      <c r="AO67" s="47"/>
      <c r="AP67" s="47"/>
    </row>
    <row r="68" spans="1:42" x14ac:dyDescent="0.25">
      <c r="A68" s="40"/>
      <c r="B68" s="41"/>
      <c r="C68" s="41"/>
      <c r="D68" s="43"/>
      <c r="E68" s="44"/>
      <c r="F68" s="41"/>
      <c r="G68" s="51"/>
      <c r="H68" s="45"/>
      <c r="I68" s="46"/>
      <c r="J68" s="46"/>
      <c r="K68" s="47"/>
      <c r="L68" s="47"/>
      <c r="M68" s="46"/>
      <c r="N68" s="52" t="str">
        <f>IF(RECIBIDAS_GASTOS!F68="","",CONCATENATE(RECIBIDAS_GASTOS!F68,"-",COUNTIF(RECIBIDAS_GASTOS!F:F,RECIBIDAS_GASTOS!F68)))</f>
        <v/>
      </c>
      <c r="O68" s="52" t="str">
        <f>IF(RECIBIDAS_GASTOS!F68="","",CONCATENATE(RECIBIDAS_GASTOS!F68,"-",COUNTIF(RECIBIDAS_GASTOS!F:F,RECIBIDAS_GASTOS!F68)))</f>
        <v/>
      </c>
      <c r="P68" s="41"/>
      <c r="Q68" s="47"/>
      <c r="R68" s="47"/>
      <c r="S68" s="47"/>
      <c r="T68" s="41"/>
      <c r="U68" s="53"/>
      <c r="V68" s="53"/>
      <c r="W68" s="53"/>
      <c r="X68" s="40"/>
      <c r="Y68" s="41"/>
      <c r="Z68" s="48" t="str">
        <f t="shared" si="3"/>
        <v/>
      </c>
      <c r="AA68" s="49"/>
      <c r="AB68" s="50"/>
      <c r="AC68" s="48" t="str">
        <f t="shared" si="4"/>
        <v/>
      </c>
      <c r="AD68" s="49"/>
      <c r="AE68" s="50"/>
      <c r="AF68" s="48" t="str">
        <f t="shared" si="5"/>
        <v/>
      </c>
      <c r="AG68" s="46"/>
      <c r="AH68" s="49"/>
      <c r="AI68" s="41"/>
      <c r="AJ68" s="47"/>
      <c r="AK68" s="45"/>
      <c r="AL68" s="45"/>
      <c r="AM68" s="47"/>
      <c r="AN68" s="41"/>
      <c r="AO68" s="47"/>
      <c r="AP68" s="47"/>
    </row>
    <row r="69" spans="1:42" x14ac:dyDescent="0.25">
      <c r="A69" s="40"/>
      <c r="B69" s="41"/>
      <c r="C69" s="41"/>
      <c r="D69" s="43"/>
      <c r="E69" s="44"/>
      <c r="F69" s="41"/>
      <c r="G69" s="51"/>
      <c r="H69" s="45"/>
      <c r="I69" s="46"/>
      <c r="J69" s="46"/>
      <c r="K69" s="47"/>
      <c r="L69" s="47"/>
      <c r="M69" s="46"/>
      <c r="N69" s="52" t="str">
        <f>IF(RECIBIDAS_GASTOS!F69="","",CONCATENATE(RECIBIDAS_GASTOS!F69,"-",COUNTIF(RECIBIDAS_GASTOS!F:F,RECIBIDAS_GASTOS!F69)))</f>
        <v/>
      </c>
      <c r="O69" s="52" t="str">
        <f>IF(RECIBIDAS_GASTOS!F69="","",CONCATENATE(RECIBIDAS_GASTOS!F69,"-",COUNTIF(RECIBIDAS_GASTOS!F:F,RECIBIDAS_GASTOS!F69)))</f>
        <v/>
      </c>
      <c r="P69" s="41"/>
      <c r="Q69" s="47"/>
      <c r="R69" s="47"/>
      <c r="S69" s="47"/>
      <c r="T69" s="41"/>
      <c r="U69" s="53"/>
      <c r="V69" s="53"/>
      <c r="W69" s="53"/>
      <c r="X69" s="40"/>
      <c r="Y69" s="41"/>
      <c r="Z69" s="48" t="str">
        <f t="shared" si="3"/>
        <v/>
      </c>
      <c r="AA69" s="49"/>
      <c r="AB69" s="50"/>
      <c r="AC69" s="48" t="str">
        <f t="shared" si="4"/>
        <v/>
      </c>
      <c r="AD69" s="49"/>
      <c r="AE69" s="50"/>
      <c r="AF69" s="48" t="str">
        <f t="shared" si="5"/>
        <v/>
      </c>
      <c r="AG69" s="46"/>
      <c r="AH69" s="49"/>
      <c r="AI69" s="41"/>
      <c r="AJ69" s="47"/>
      <c r="AK69" s="45"/>
      <c r="AL69" s="45"/>
      <c r="AM69" s="47"/>
      <c r="AN69" s="41"/>
      <c r="AO69" s="47"/>
      <c r="AP69" s="47"/>
    </row>
    <row r="70" spans="1:42" x14ac:dyDescent="0.25">
      <c r="A70" s="40"/>
      <c r="B70" s="41"/>
      <c r="C70" s="41"/>
      <c r="D70" s="43"/>
      <c r="E70" s="44"/>
      <c r="F70" s="41"/>
      <c r="G70" s="51"/>
      <c r="H70" s="45"/>
      <c r="I70" s="46"/>
      <c r="J70" s="46"/>
      <c r="K70" s="47"/>
      <c r="L70" s="47"/>
      <c r="M70" s="46"/>
      <c r="N70" s="52" t="str">
        <f>IF(RECIBIDAS_GASTOS!F70="","",CONCATENATE(RECIBIDAS_GASTOS!F70,"-",COUNTIF(RECIBIDAS_GASTOS!F:F,RECIBIDAS_GASTOS!F70)))</f>
        <v/>
      </c>
      <c r="O70" s="52" t="str">
        <f>IF(RECIBIDAS_GASTOS!F70="","",CONCATENATE(RECIBIDAS_GASTOS!F70,"-",COUNTIF(RECIBIDAS_GASTOS!F:F,RECIBIDAS_GASTOS!F70)))</f>
        <v/>
      </c>
      <c r="P70" s="41"/>
      <c r="Q70" s="47"/>
      <c r="R70" s="47"/>
      <c r="S70" s="47"/>
      <c r="T70" s="41"/>
      <c r="U70" s="53"/>
      <c r="V70" s="53"/>
      <c r="W70" s="53"/>
      <c r="X70" s="40"/>
      <c r="Y70" s="41"/>
      <c r="Z70" s="48" t="str">
        <f t="shared" si="3"/>
        <v/>
      </c>
      <c r="AA70" s="49"/>
      <c r="AB70" s="50"/>
      <c r="AC70" s="48" t="str">
        <f t="shared" si="4"/>
        <v/>
      </c>
      <c r="AD70" s="49"/>
      <c r="AE70" s="50"/>
      <c r="AF70" s="48" t="str">
        <f t="shared" si="5"/>
        <v/>
      </c>
      <c r="AG70" s="46"/>
      <c r="AH70" s="49"/>
      <c r="AI70" s="41"/>
      <c r="AJ70" s="47"/>
      <c r="AK70" s="45"/>
      <c r="AL70" s="45"/>
      <c r="AM70" s="47"/>
      <c r="AN70" s="41"/>
      <c r="AO70" s="47"/>
      <c r="AP70" s="47"/>
    </row>
    <row r="71" spans="1:42" x14ac:dyDescent="0.25">
      <c r="A71" s="40"/>
      <c r="B71" s="41"/>
      <c r="C71" s="41"/>
      <c r="D71" s="43"/>
      <c r="E71" s="44"/>
      <c r="F71" s="41"/>
      <c r="G71" s="51"/>
      <c r="H71" s="45"/>
      <c r="I71" s="46"/>
      <c r="J71" s="46"/>
      <c r="K71" s="47"/>
      <c r="L71" s="47"/>
      <c r="M71" s="46"/>
      <c r="N71" s="52" t="str">
        <f>IF(RECIBIDAS_GASTOS!F71="","",CONCATENATE(RECIBIDAS_GASTOS!F71,"-",COUNTIF(RECIBIDAS_GASTOS!F:F,RECIBIDAS_GASTOS!F71)))</f>
        <v/>
      </c>
      <c r="O71" s="52" t="str">
        <f>IF(RECIBIDAS_GASTOS!F71="","",CONCATENATE(RECIBIDAS_GASTOS!F71,"-",COUNTIF(RECIBIDAS_GASTOS!F:F,RECIBIDAS_GASTOS!F71)))</f>
        <v/>
      </c>
      <c r="P71" s="41"/>
      <c r="Q71" s="47"/>
      <c r="R71" s="47"/>
      <c r="S71" s="47"/>
      <c r="T71" s="41"/>
      <c r="U71" s="53"/>
      <c r="V71" s="53"/>
      <c r="W71" s="53"/>
      <c r="X71" s="40"/>
      <c r="Y71" s="41"/>
      <c r="Z71" s="48" t="str">
        <f t="shared" si="3"/>
        <v/>
      </c>
      <c r="AA71" s="49"/>
      <c r="AB71" s="50"/>
      <c r="AC71" s="48" t="str">
        <f t="shared" si="4"/>
        <v/>
      </c>
      <c r="AD71" s="49"/>
      <c r="AE71" s="50"/>
      <c r="AF71" s="48" t="str">
        <f t="shared" si="5"/>
        <v/>
      </c>
      <c r="AG71" s="46"/>
      <c r="AH71" s="49"/>
      <c r="AI71" s="41"/>
      <c r="AJ71" s="47"/>
      <c r="AK71" s="45"/>
      <c r="AL71" s="45"/>
      <c r="AM71" s="47"/>
      <c r="AN71" s="41"/>
      <c r="AO71" s="47"/>
      <c r="AP71" s="47"/>
    </row>
    <row r="72" spans="1:42" x14ac:dyDescent="0.25">
      <c r="A72" s="40"/>
      <c r="B72" s="41"/>
      <c r="C72" s="41"/>
      <c r="D72" s="43"/>
      <c r="E72" s="44"/>
      <c r="F72" s="41"/>
      <c r="G72" s="51"/>
      <c r="H72" s="45"/>
      <c r="I72" s="46"/>
      <c r="J72" s="46"/>
      <c r="K72" s="47"/>
      <c r="L72" s="47"/>
      <c r="M72" s="46"/>
      <c r="N72" s="52" t="str">
        <f>IF(RECIBIDAS_GASTOS!F72="","",CONCATENATE(RECIBIDAS_GASTOS!F72,"-",COUNTIF(RECIBIDAS_GASTOS!F:F,RECIBIDAS_GASTOS!F72)))</f>
        <v/>
      </c>
      <c r="O72" s="52" t="str">
        <f>IF(RECIBIDAS_GASTOS!F72="","",CONCATENATE(RECIBIDAS_GASTOS!F72,"-",COUNTIF(RECIBIDAS_GASTOS!F:F,RECIBIDAS_GASTOS!F72)))</f>
        <v/>
      </c>
      <c r="P72" s="41"/>
      <c r="Q72" s="47"/>
      <c r="R72" s="47"/>
      <c r="S72" s="47"/>
      <c r="T72" s="41"/>
      <c r="U72" s="53"/>
      <c r="V72" s="53"/>
      <c r="W72" s="53"/>
      <c r="X72" s="40"/>
      <c r="Y72" s="41"/>
      <c r="Z72" s="48" t="str">
        <f t="shared" si="3"/>
        <v/>
      </c>
      <c r="AA72" s="49"/>
      <c r="AB72" s="50"/>
      <c r="AC72" s="48" t="str">
        <f t="shared" si="4"/>
        <v/>
      </c>
      <c r="AD72" s="49"/>
      <c r="AE72" s="50"/>
      <c r="AF72" s="48" t="str">
        <f t="shared" si="5"/>
        <v/>
      </c>
      <c r="AG72" s="46"/>
      <c r="AH72" s="49"/>
      <c r="AI72" s="41"/>
      <c r="AJ72" s="47"/>
      <c r="AK72" s="45"/>
      <c r="AL72" s="45"/>
      <c r="AM72" s="47"/>
      <c r="AN72" s="41"/>
      <c r="AO72" s="47"/>
      <c r="AP72" s="47"/>
    </row>
    <row r="73" spans="1:42" x14ac:dyDescent="0.25">
      <c r="A73" s="40"/>
      <c r="B73" s="41"/>
      <c r="C73" s="41"/>
      <c r="D73" s="43"/>
      <c r="E73" s="44"/>
      <c r="F73" s="41"/>
      <c r="G73" s="51"/>
      <c r="H73" s="45"/>
      <c r="I73" s="46"/>
      <c r="J73" s="46"/>
      <c r="K73" s="47"/>
      <c r="L73" s="47"/>
      <c r="M73" s="46"/>
      <c r="N73" s="52" t="str">
        <f>IF(RECIBIDAS_GASTOS!F73="","",CONCATENATE(RECIBIDAS_GASTOS!F73,"-",COUNTIF(RECIBIDAS_GASTOS!F:F,RECIBIDAS_GASTOS!F73)))</f>
        <v/>
      </c>
      <c r="O73" s="52" t="str">
        <f>IF(RECIBIDAS_GASTOS!F73="","",CONCATENATE(RECIBIDAS_GASTOS!F73,"-",COUNTIF(RECIBIDAS_GASTOS!F:F,RECIBIDAS_GASTOS!F73)))</f>
        <v/>
      </c>
      <c r="P73" s="41"/>
      <c r="Q73" s="47"/>
      <c r="R73" s="47"/>
      <c r="S73" s="47"/>
      <c r="T73" s="41"/>
      <c r="U73" s="53"/>
      <c r="V73" s="53"/>
      <c r="W73" s="53"/>
      <c r="X73" s="40"/>
      <c r="Y73" s="41"/>
      <c r="Z73" s="48" t="str">
        <f t="shared" si="3"/>
        <v/>
      </c>
      <c r="AA73" s="49"/>
      <c r="AB73" s="50"/>
      <c r="AC73" s="48" t="str">
        <f t="shared" si="4"/>
        <v/>
      </c>
      <c r="AD73" s="49"/>
      <c r="AE73" s="50"/>
      <c r="AF73" s="48" t="str">
        <f t="shared" si="5"/>
        <v/>
      </c>
      <c r="AG73" s="46"/>
      <c r="AH73" s="49"/>
      <c r="AI73" s="41"/>
      <c r="AJ73" s="47"/>
      <c r="AK73" s="45"/>
      <c r="AL73" s="45"/>
      <c r="AM73" s="47"/>
      <c r="AN73" s="41"/>
      <c r="AO73" s="47"/>
      <c r="AP73" s="47"/>
    </row>
    <row r="74" spans="1:42" x14ac:dyDescent="0.25">
      <c r="A74" s="40"/>
      <c r="B74" s="41"/>
      <c r="C74" s="41"/>
      <c r="D74" s="43"/>
      <c r="E74" s="44"/>
      <c r="F74" s="41"/>
      <c r="G74" s="51"/>
      <c r="H74" s="45"/>
      <c r="I74" s="46"/>
      <c r="J74" s="46"/>
      <c r="K74" s="47"/>
      <c r="L74" s="47"/>
      <c r="M74" s="46"/>
      <c r="N74" s="52" t="str">
        <f>IF(RECIBIDAS_GASTOS!F74="","",CONCATENATE(RECIBIDAS_GASTOS!F74,"-",COUNTIF(RECIBIDAS_GASTOS!F:F,RECIBIDAS_GASTOS!F74)))</f>
        <v/>
      </c>
      <c r="O74" s="52" t="str">
        <f>IF(RECIBIDAS_GASTOS!F74="","",CONCATENATE(RECIBIDAS_GASTOS!F74,"-",COUNTIF(RECIBIDAS_GASTOS!F:F,RECIBIDAS_GASTOS!F74)))</f>
        <v/>
      </c>
      <c r="P74" s="41"/>
      <c r="Q74" s="47"/>
      <c r="R74" s="47"/>
      <c r="S74" s="47"/>
      <c r="T74" s="41"/>
      <c r="U74" s="53"/>
      <c r="V74" s="53"/>
      <c r="W74" s="53"/>
      <c r="X74" s="40"/>
      <c r="Y74" s="41"/>
      <c r="Z74" s="48" t="str">
        <f t="shared" si="3"/>
        <v/>
      </c>
      <c r="AA74" s="49"/>
      <c r="AB74" s="50"/>
      <c r="AC74" s="48" t="str">
        <f t="shared" si="4"/>
        <v/>
      </c>
      <c r="AD74" s="49"/>
      <c r="AE74" s="50"/>
      <c r="AF74" s="48" t="str">
        <f t="shared" si="5"/>
        <v/>
      </c>
      <c r="AG74" s="46"/>
      <c r="AH74" s="49"/>
      <c r="AI74" s="41"/>
      <c r="AJ74" s="47"/>
      <c r="AK74" s="45"/>
      <c r="AL74" s="45"/>
      <c r="AM74" s="47"/>
      <c r="AN74" s="41"/>
      <c r="AO74" s="47"/>
      <c r="AP74" s="47"/>
    </row>
    <row r="75" spans="1:42" x14ac:dyDescent="0.25">
      <c r="A75" s="40"/>
      <c r="B75" s="41"/>
      <c r="C75" s="41"/>
      <c r="D75" s="43"/>
      <c r="E75" s="44"/>
      <c r="F75" s="41"/>
      <c r="G75" s="51"/>
      <c r="H75" s="45"/>
      <c r="I75" s="46"/>
      <c r="J75" s="46"/>
      <c r="K75" s="47"/>
      <c r="L75" s="47"/>
      <c r="M75" s="46"/>
      <c r="N75" s="52" t="str">
        <f>IF(RECIBIDAS_GASTOS!F75="","",CONCATENATE(RECIBIDAS_GASTOS!F75,"-",COUNTIF(RECIBIDAS_GASTOS!F:F,RECIBIDAS_GASTOS!F75)))</f>
        <v/>
      </c>
      <c r="O75" s="52" t="str">
        <f>IF(RECIBIDAS_GASTOS!F75="","",CONCATENATE(RECIBIDAS_GASTOS!F75,"-",COUNTIF(RECIBIDAS_GASTOS!F:F,RECIBIDAS_GASTOS!F75)))</f>
        <v/>
      </c>
      <c r="P75" s="41"/>
      <c r="Q75" s="47"/>
      <c r="R75" s="47"/>
      <c r="S75" s="47"/>
      <c r="T75" s="41"/>
      <c r="U75" s="53"/>
      <c r="V75" s="53"/>
      <c r="W75" s="53"/>
      <c r="X75" s="40"/>
      <c r="Y75" s="41"/>
      <c r="Z75" s="48" t="str">
        <f t="shared" si="3"/>
        <v/>
      </c>
      <c r="AA75" s="49"/>
      <c r="AB75" s="50"/>
      <c r="AC75" s="48" t="str">
        <f t="shared" si="4"/>
        <v/>
      </c>
      <c r="AD75" s="49"/>
      <c r="AE75" s="50"/>
      <c r="AF75" s="48" t="str">
        <f t="shared" si="5"/>
        <v/>
      </c>
      <c r="AG75" s="46"/>
      <c r="AH75" s="49"/>
      <c r="AI75" s="41"/>
      <c r="AJ75" s="47"/>
      <c r="AK75" s="45"/>
      <c r="AL75" s="45"/>
      <c r="AM75" s="47"/>
      <c r="AN75" s="41"/>
      <c r="AO75" s="47"/>
      <c r="AP75" s="47"/>
    </row>
    <row r="76" spans="1:42" x14ac:dyDescent="0.25">
      <c r="A76" s="40"/>
      <c r="B76" s="41"/>
      <c r="C76" s="41"/>
      <c r="D76" s="43"/>
      <c r="E76" s="44"/>
      <c r="F76" s="41"/>
      <c r="G76" s="51"/>
      <c r="H76" s="45"/>
      <c r="I76" s="46"/>
      <c r="J76" s="46"/>
      <c r="K76" s="47"/>
      <c r="L76" s="47"/>
      <c r="M76" s="46"/>
      <c r="N76" s="52" t="str">
        <f>IF(RECIBIDAS_GASTOS!F76="","",CONCATENATE(RECIBIDAS_GASTOS!F76,"-",COUNTIF(RECIBIDAS_GASTOS!F:F,RECIBIDAS_GASTOS!F76)))</f>
        <v/>
      </c>
      <c r="O76" s="52" t="str">
        <f>IF(RECIBIDAS_GASTOS!F76="","",CONCATENATE(RECIBIDAS_GASTOS!F76,"-",COUNTIF(RECIBIDAS_GASTOS!F:F,RECIBIDAS_GASTOS!F76)))</f>
        <v/>
      </c>
      <c r="P76" s="41"/>
      <c r="Q76" s="47"/>
      <c r="R76" s="47"/>
      <c r="S76" s="47"/>
      <c r="T76" s="41"/>
      <c r="U76" s="53"/>
      <c r="V76" s="53"/>
      <c r="W76" s="53"/>
      <c r="X76" s="40"/>
      <c r="Y76" s="41"/>
      <c r="Z76" s="48" t="str">
        <f t="shared" si="3"/>
        <v/>
      </c>
      <c r="AA76" s="49"/>
      <c r="AB76" s="50"/>
      <c r="AC76" s="48" t="str">
        <f t="shared" si="4"/>
        <v/>
      </c>
      <c r="AD76" s="49"/>
      <c r="AE76" s="50"/>
      <c r="AF76" s="48" t="str">
        <f t="shared" si="5"/>
        <v/>
      </c>
      <c r="AG76" s="46"/>
      <c r="AH76" s="49"/>
      <c r="AI76" s="41"/>
      <c r="AJ76" s="47"/>
      <c r="AK76" s="45"/>
      <c r="AL76" s="45"/>
      <c r="AM76" s="47"/>
      <c r="AN76" s="41"/>
      <c r="AO76" s="47"/>
      <c r="AP76" s="47"/>
    </row>
    <row r="77" spans="1:42" x14ac:dyDescent="0.25">
      <c r="A77" s="40"/>
      <c r="B77" s="41"/>
      <c r="C77" s="41"/>
      <c r="D77" s="43"/>
      <c r="E77" s="44"/>
      <c r="F77" s="41"/>
      <c r="G77" s="51"/>
      <c r="H77" s="45"/>
      <c r="I77" s="46"/>
      <c r="J77" s="46"/>
      <c r="K77" s="47"/>
      <c r="L77" s="47"/>
      <c r="M77" s="46"/>
      <c r="N77" s="52" t="str">
        <f>IF(RECIBIDAS_GASTOS!F77="","",CONCATENATE(RECIBIDAS_GASTOS!F77,"-",COUNTIF(RECIBIDAS_GASTOS!F:F,RECIBIDAS_GASTOS!F77)))</f>
        <v/>
      </c>
      <c r="O77" s="52" t="str">
        <f>IF(RECIBIDAS_GASTOS!F77="","",CONCATENATE(RECIBIDAS_GASTOS!F77,"-",COUNTIF(RECIBIDAS_GASTOS!F:F,RECIBIDAS_GASTOS!F77)))</f>
        <v/>
      </c>
      <c r="P77" s="41"/>
      <c r="Q77" s="47"/>
      <c r="R77" s="47"/>
      <c r="S77" s="47"/>
      <c r="T77" s="41"/>
      <c r="U77" s="53"/>
      <c r="V77" s="53"/>
      <c r="W77" s="53"/>
      <c r="X77" s="40"/>
      <c r="Y77" s="41"/>
      <c r="Z77" s="48" t="str">
        <f t="shared" si="3"/>
        <v/>
      </c>
      <c r="AA77" s="49"/>
      <c r="AB77" s="50"/>
      <c r="AC77" s="48" t="str">
        <f t="shared" si="4"/>
        <v/>
      </c>
      <c r="AD77" s="49"/>
      <c r="AE77" s="50"/>
      <c r="AF77" s="48" t="str">
        <f t="shared" si="5"/>
        <v/>
      </c>
      <c r="AG77" s="46"/>
      <c r="AH77" s="49"/>
      <c r="AI77" s="41"/>
      <c r="AJ77" s="47"/>
      <c r="AK77" s="45"/>
      <c r="AL77" s="45"/>
      <c r="AM77" s="47"/>
      <c r="AN77" s="41"/>
      <c r="AO77" s="47"/>
      <c r="AP77" s="47"/>
    </row>
    <row r="78" spans="1:42" x14ac:dyDescent="0.25">
      <c r="A78" s="40"/>
      <c r="B78" s="41"/>
      <c r="C78" s="41"/>
      <c r="D78" s="43"/>
      <c r="E78" s="44"/>
      <c r="F78" s="41"/>
      <c r="G78" s="51"/>
      <c r="H78" s="45"/>
      <c r="I78" s="46"/>
      <c r="J78" s="46"/>
      <c r="K78" s="47"/>
      <c r="L78" s="47"/>
      <c r="M78" s="46"/>
      <c r="N78" s="52" t="str">
        <f>IF(RECIBIDAS_GASTOS!F78="","",CONCATENATE(RECIBIDAS_GASTOS!F78,"-",COUNTIF(RECIBIDAS_GASTOS!F:F,RECIBIDAS_GASTOS!F78)))</f>
        <v/>
      </c>
      <c r="O78" s="52" t="str">
        <f>IF(RECIBIDAS_GASTOS!F78="","",CONCATENATE(RECIBIDAS_GASTOS!F78,"-",COUNTIF(RECIBIDAS_GASTOS!F:F,RECIBIDAS_GASTOS!F78)))</f>
        <v/>
      </c>
      <c r="P78" s="41"/>
      <c r="Q78" s="47"/>
      <c r="R78" s="47"/>
      <c r="S78" s="47"/>
      <c r="T78" s="41"/>
      <c r="U78" s="53"/>
      <c r="V78" s="53"/>
      <c r="W78" s="53"/>
      <c r="X78" s="40"/>
      <c r="Y78" s="41"/>
      <c r="Z78" s="48" t="str">
        <f t="shared" si="3"/>
        <v/>
      </c>
      <c r="AA78" s="49"/>
      <c r="AB78" s="50"/>
      <c r="AC78" s="48" t="str">
        <f t="shared" si="4"/>
        <v/>
      </c>
      <c r="AD78" s="49"/>
      <c r="AE78" s="50"/>
      <c r="AF78" s="48" t="str">
        <f t="shared" si="5"/>
        <v/>
      </c>
      <c r="AG78" s="46"/>
      <c r="AH78" s="49"/>
      <c r="AI78" s="41"/>
      <c r="AJ78" s="47"/>
      <c r="AK78" s="45"/>
      <c r="AL78" s="45"/>
      <c r="AM78" s="47"/>
      <c r="AN78" s="41"/>
      <c r="AO78" s="47"/>
      <c r="AP78" s="47"/>
    </row>
    <row r="79" spans="1:42" x14ac:dyDescent="0.25">
      <c r="A79" s="40"/>
      <c r="B79" s="41"/>
      <c r="C79" s="41"/>
      <c r="D79" s="43"/>
      <c r="E79" s="44"/>
      <c r="F79" s="41"/>
      <c r="G79" s="51"/>
      <c r="H79" s="45"/>
      <c r="I79" s="46"/>
      <c r="J79" s="46"/>
      <c r="K79" s="47"/>
      <c r="L79" s="47"/>
      <c r="M79" s="46"/>
      <c r="N79" s="52" t="str">
        <f>IF(RECIBIDAS_GASTOS!F79="","",CONCATENATE(RECIBIDAS_GASTOS!F79,"-",COUNTIF(RECIBIDAS_GASTOS!F:F,RECIBIDAS_GASTOS!F79)))</f>
        <v/>
      </c>
      <c r="O79" s="52" t="str">
        <f>IF(RECIBIDAS_GASTOS!F79="","",CONCATENATE(RECIBIDAS_GASTOS!F79,"-",COUNTIF(RECIBIDAS_GASTOS!F:F,RECIBIDAS_GASTOS!F79)))</f>
        <v/>
      </c>
      <c r="P79" s="41"/>
      <c r="Q79" s="47"/>
      <c r="R79" s="47"/>
      <c r="S79" s="47"/>
      <c r="T79" s="41"/>
      <c r="U79" s="53"/>
      <c r="V79" s="53"/>
      <c r="W79" s="53"/>
      <c r="X79" s="40"/>
      <c r="Y79" s="41"/>
      <c r="Z79" s="48" t="str">
        <f t="shared" si="3"/>
        <v/>
      </c>
      <c r="AA79" s="49"/>
      <c r="AB79" s="50"/>
      <c r="AC79" s="48" t="str">
        <f t="shared" si="4"/>
        <v/>
      </c>
      <c r="AD79" s="49"/>
      <c r="AE79" s="50"/>
      <c r="AF79" s="48" t="str">
        <f t="shared" si="5"/>
        <v/>
      </c>
      <c r="AG79" s="46"/>
      <c r="AH79" s="49"/>
      <c r="AI79" s="41"/>
      <c r="AJ79" s="47"/>
      <c r="AK79" s="45"/>
      <c r="AL79" s="45"/>
      <c r="AM79" s="47"/>
      <c r="AN79" s="41"/>
      <c r="AO79" s="47"/>
      <c r="AP79" s="47"/>
    </row>
    <row r="80" spans="1:42" x14ac:dyDescent="0.25">
      <c r="A80" s="40"/>
      <c r="B80" s="41"/>
      <c r="C80" s="41"/>
      <c r="D80" s="43"/>
      <c r="E80" s="44"/>
      <c r="F80" s="41"/>
      <c r="G80" s="51"/>
      <c r="H80" s="45"/>
      <c r="I80" s="46"/>
      <c r="J80" s="46"/>
      <c r="K80" s="47"/>
      <c r="L80" s="47"/>
      <c r="M80" s="46"/>
      <c r="N80" s="52" t="str">
        <f>IF(RECIBIDAS_GASTOS!F80="","",CONCATENATE(RECIBIDAS_GASTOS!F80,"-",COUNTIF(RECIBIDAS_GASTOS!F:F,RECIBIDAS_GASTOS!F80)))</f>
        <v/>
      </c>
      <c r="O80" s="52" t="str">
        <f>IF(RECIBIDAS_GASTOS!F80="","",CONCATENATE(RECIBIDAS_GASTOS!F80,"-",COUNTIF(RECIBIDAS_GASTOS!F:F,RECIBIDAS_GASTOS!F80)))</f>
        <v/>
      </c>
      <c r="P80" s="41"/>
      <c r="Q80" s="47"/>
      <c r="R80" s="47"/>
      <c r="S80" s="47"/>
      <c r="T80" s="41"/>
      <c r="U80" s="53"/>
      <c r="V80" s="53"/>
      <c r="W80" s="53"/>
      <c r="X80" s="40"/>
      <c r="Y80" s="41"/>
      <c r="Z80" s="48" t="str">
        <f t="shared" si="3"/>
        <v/>
      </c>
      <c r="AA80" s="49"/>
      <c r="AB80" s="50"/>
      <c r="AC80" s="48" t="str">
        <f t="shared" si="4"/>
        <v/>
      </c>
      <c r="AD80" s="49"/>
      <c r="AE80" s="50"/>
      <c r="AF80" s="48" t="str">
        <f t="shared" si="5"/>
        <v/>
      </c>
      <c r="AG80" s="46"/>
      <c r="AH80" s="49"/>
      <c r="AI80" s="41"/>
      <c r="AJ80" s="47"/>
      <c r="AK80" s="45"/>
      <c r="AL80" s="45"/>
      <c r="AM80" s="47"/>
      <c r="AN80" s="41"/>
      <c r="AO80" s="47"/>
      <c r="AP80" s="47"/>
    </row>
    <row r="81" spans="1:42" x14ac:dyDescent="0.25">
      <c r="A81" s="40"/>
      <c r="B81" s="41"/>
      <c r="C81" s="41"/>
      <c r="D81" s="43"/>
      <c r="E81" s="44"/>
      <c r="F81" s="41"/>
      <c r="G81" s="51"/>
      <c r="H81" s="45"/>
      <c r="I81" s="46"/>
      <c r="J81" s="46"/>
      <c r="K81" s="47"/>
      <c r="L81" s="47"/>
      <c r="M81" s="46"/>
      <c r="N81" s="52" t="str">
        <f>IF(RECIBIDAS_GASTOS!F81="","",CONCATENATE(RECIBIDAS_GASTOS!F81,"-",COUNTIF(RECIBIDAS_GASTOS!F:F,RECIBIDAS_GASTOS!F81)))</f>
        <v/>
      </c>
      <c r="O81" s="52" t="str">
        <f>IF(RECIBIDAS_GASTOS!F81="","",CONCATENATE(RECIBIDAS_GASTOS!F81,"-",COUNTIF(RECIBIDAS_GASTOS!F:F,RECIBIDAS_GASTOS!F81)))</f>
        <v/>
      </c>
      <c r="P81" s="41"/>
      <c r="Q81" s="47"/>
      <c r="R81" s="47"/>
      <c r="S81" s="47"/>
      <c r="T81" s="41"/>
      <c r="U81" s="53"/>
      <c r="V81" s="53"/>
      <c r="W81" s="53"/>
      <c r="X81" s="40"/>
      <c r="Y81" s="41"/>
      <c r="Z81" s="48" t="str">
        <f t="shared" si="3"/>
        <v/>
      </c>
      <c r="AA81" s="49"/>
      <c r="AB81" s="50"/>
      <c r="AC81" s="48" t="str">
        <f t="shared" si="4"/>
        <v/>
      </c>
      <c r="AD81" s="49"/>
      <c r="AE81" s="50"/>
      <c r="AF81" s="48" t="str">
        <f t="shared" si="5"/>
        <v/>
      </c>
      <c r="AG81" s="46"/>
      <c r="AH81" s="49"/>
      <c r="AI81" s="41"/>
      <c r="AJ81" s="47"/>
      <c r="AK81" s="45"/>
      <c r="AL81" s="45"/>
      <c r="AM81" s="47"/>
      <c r="AN81" s="41"/>
      <c r="AO81" s="47"/>
      <c r="AP81" s="47"/>
    </row>
    <row r="82" spans="1:42" x14ac:dyDescent="0.25">
      <c r="A82" s="40"/>
      <c r="B82" s="41"/>
      <c r="C82" s="41"/>
      <c r="D82" s="43"/>
      <c r="E82" s="44"/>
      <c r="F82" s="41"/>
      <c r="G82" s="51"/>
      <c r="H82" s="45"/>
      <c r="I82" s="46"/>
      <c r="J82" s="46"/>
      <c r="K82" s="47"/>
      <c r="L82" s="47"/>
      <c r="M82" s="46"/>
      <c r="N82" s="52" t="str">
        <f>IF(RECIBIDAS_GASTOS!F82="","",CONCATENATE(RECIBIDAS_GASTOS!F82,"-",COUNTIF(RECIBIDAS_GASTOS!F:F,RECIBIDAS_GASTOS!F82)))</f>
        <v/>
      </c>
      <c r="O82" s="52" t="str">
        <f>IF(RECIBIDAS_GASTOS!F82="","",CONCATENATE(RECIBIDAS_GASTOS!F82,"-",COUNTIF(RECIBIDAS_GASTOS!F:F,RECIBIDAS_GASTOS!F82)))</f>
        <v/>
      </c>
      <c r="P82" s="41"/>
      <c r="Q82" s="47"/>
      <c r="R82" s="47"/>
      <c r="S82" s="47"/>
      <c r="T82" s="41"/>
      <c r="U82" s="53"/>
      <c r="V82" s="53"/>
      <c r="W82" s="53"/>
      <c r="X82" s="40"/>
      <c r="Y82" s="41"/>
      <c r="Z82" s="48" t="str">
        <f t="shared" si="3"/>
        <v/>
      </c>
      <c r="AA82" s="49"/>
      <c r="AB82" s="50"/>
      <c r="AC82" s="48" t="str">
        <f t="shared" si="4"/>
        <v/>
      </c>
      <c r="AD82" s="49"/>
      <c r="AE82" s="50"/>
      <c r="AF82" s="48" t="str">
        <f t="shared" si="5"/>
        <v/>
      </c>
      <c r="AG82" s="46"/>
      <c r="AH82" s="49"/>
      <c r="AI82" s="41"/>
      <c r="AJ82" s="47"/>
      <c r="AK82" s="45"/>
      <c r="AL82" s="45"/>
      <c r="AM82" s="47"/>
      <c r="AN82" s="41"/>
      <c r="AO82" s="47"/>
      <c r="AP82" s="47"/>
    </row>
    <row r="83" spans="1:42" x14ac:dyDescent="0.25">
      <c r="A83" s="40"/>
      <c r="B83" s="41"/>
      <c r="C83" s="41"/>
      <c r="D83" s="43"/>
      <c r="E83" s="44"/>
      <c r="F83" s="41"/>
      <c r="G83" s="51"/>
      <c r="H83" s="45"/>
      <c r="I83" s="46"/>
      <c r="J83" s="46"/>
      <c r="K83" s="47"/>
      <c r="L83" s="47"/>
      <c r="M83" s="46"/>
      <c r="N83" s="52" t="str">
        <f>IF(RECIBIDAS_GASTOS!F83="","",CONCATENATE(RECIBIDAS_GASTOS!F83,"-",COUNTIF(RECIBIDAS_GASTOS!F:F,RECIBIDAS_GASTOS!F83)))</f>
        <v/>
      </c>
      <c r="O83" s="52" t="str">
        <f>IF(RECIBIDAS_GASTOS!F83="","",CONCATENATE(RECIBIDAS_GASTOS!F83,"-",COUNTIF(RECIBIDAS_GASTOS!F:F,RECIBIDAS_GASTOS!F83)))</f>
        <v/>
      </c>
      <c r="P83" s="41"/>
      <c r="Q83" s="47"/>
      <c r="R83" s="47"/>
      <c r="S83" s="47"/>
      <c r="T83" s="41"/>
      <c r="U83" s="53"/>
      <c r="V83" s="53"/>
      <c r="W83" s="53"/>
      <c r="X83" s="40"/>
      <c r="Y83" s="41"/>
      <c r="Z83" s="48" t="str">
        <f t="shared" si="3"/>
        <v/>
      </c>
      <c r="AA83" s="49"/>
      <c r="AB83" s="50"/>
      <c r="AC83" s="48" t="str">
        <f t="shared" si="4"/>
        <v/>
      </c>
      <c r="AD83" s="49"/>
      <c r="AE83" s="50"/>
      <c r="AF83" s="48" t="str">
        <f t="shared" si="5"/>
        <v/>
      </c>
      <c r="AG83" s="46"/>
      <c r="AH83" s="49"/>
      <c r="AI83" s="41"/>
      <c r="AJ83" s="47"/>
      <c r="AK83" s="45"/>
      <c r="AL83" s="45"/>
      <c r="AM83" s="47"/>
      <c r="AN83" s="41"/>
      <c r="AO83" s="47"/>
      <c r="AP83" s="47"/>
    </row>
    <row r="84" spans="1:42" x14ac:dyDescent="0.25">
      <c r="A84" s="40"/>
      <c r="B84" s="41"/>
      <c r="C84" s="41"/>
      <c r="D84" s="43"/>
      <c r="E84" s="44"/>
      <c r="F84" s="41"/>
      <c r="G84" s="51"/>
      <c r="H84" s="45"/>
      <c r="I84" s="46"/>
      <c r="J84" s="46"/>
      <c r="K84" s="47"/>
      <c r="L84" s="47"/>
      <c r="M84" s="46"/>
      <c r="N84" s="52" t="str">
        <f>IF(RECIBIDAS_GASTOS!F84="","",CONCATENATE(RECIBIDAS_GASTOS!F84,"-",COUNTIF(RECIBIDAS_GASTOS!F:F,RECIBIDAS_GASTOS!F84)))</f>
        <v/>
      </c>
      <c r="O84" s="52" t="str">
        <f>IF(RECIBIDAS_GASTOS!F84="","",CONCATENATE(RECIBIDAS_GASTOS!F84,"-",COUNTIF(RECIBIDAS_GASTOS!F:F,RECIBIDAS_GASTOS!F84)))</f>
        <v/>
      </c>
      <c r="P84" s="41"/>
      <c r="Q84" s="47"/>
      <c r="R84" s="47"/>
      <c r="S84" s="47"/>
      <c r="T84" s="41"/>
      <c r="U84" s="53"/>
      <c r="V84" s="53"/>
      <c r="W84" s="53"/>
      <c r="X84" s="40"/>
      <c r="Y84" s="41"/>
      <c r="Z84" s="48" t="str">
        <f t="shared" si="3"/>
        <v/>
      </c>
      <c r="AA84" s="49"/>
      <c r="AB84" s="50"/>
      <c r="AC84" s="48" t="str">
        <f t="shared" si="4"/>
        <v/>
      </c>
      <c r="AD84" s="49"/>
      <c r="AE84" s="50"/>
      <c r="AF84" s="48" t="str">
        <f t="shared" si="5"/>
        <v/>
      </c>
      <c r="AG84" s="46"/>
      <c r="AH84" s="49"/>
      <c r="AI84" s="41"/>
      <c r="AJ84" s="47"/>
      <c r="AK84" s="45"/>
      <c r="AL84" s="45"/>
      <c r="AM84" s="47"/>
      <c r="AN84" s="41"/>
      <c r="AO84" s="47"/>
      <c r="AP84" s="47"/>
    </row>
    <row r="85" spans="1:42" x14ac:dyDescent="0.25">
      <c r="A85" s="40"/>
      <c r="B85" s="41"/>
      <c r="C85" s="41"/>
      <c r="D85" s="43"/>
      <c r="E85" s="44"/>
      <c r="F85" s="41"/>
      <c r="G85" s="51"/>
      <c r="H85" s="45"/>
      <c r="I85" s="46"/>
      <c r="J85" s="46"/>
      <c r="K85" s="47"/>
      <c r="L85" s="47"/>
      <c r="M85" s="46"/>
      <c r="N85" s="52" t="str">
        <f>IF(RECIBIDAS_GASTOS!F85="","",CONCATENATE(RECIBIDAS_GASTOS!F85,"-",COUNTIF(RECIBIDAS_GASTOS!F:F,RECIBIDAS_GASTOS!F85)))</f>
        <v/>
      </c>
      <c r="O85" s="52" t="str">
        <f>IF(RECIBIDAS_GASTOS!F85="","",CONCATENATE(RECIBIDAS_GASTOS!F85,"-",COUNTIF(RECIBIDAS_GASTOS!F:F,RECIBIDAS_GASTOS!F85)))</f>
        <v/>
      </c>
      <c r="P85" s="41"/>
      <c r="Q85" s="47"/>
      <c r="R85" s="47"/>
      <c r="S85" s="47"/>
      <c r="T85" s="41"/>
      <c r="U85" s="53"/>
      <c r="V85" s="53"/>
      <c r="W85" s="53"/>
      <c r="X85" s="40"/>
      <c r="Y85" s="41"/>
      <c r="Z85" s="48" t="str">
        <f t="shared" si="3"/>
        <v/>
      </c>
      <c r="AA85" s="49"/>
      <c r="AB85" s="50"/>
      <c r="AC85" s="48" t="str">
        <f t="shared" si="4"/>
        <v/>
      </c>
      <c r="AD85" s="49"/>
      <c r="AE85" s="50"/>
      <c r="AF85" s="48" t="str">
        <f t="shared" si="5"/>
        <v/>
      </c>
      <c r="AG85" s="46"/>
      <c r="AH85" s="49"/>
      <c r="AI85" s="41"/>
      <c r="AJ85" s="47"/>
      <c r="AK85" s="45"/>
      <c r="AL85" s="45"/>
      <c r="AM85" s="47"/>
      <c r="AN85" s="41"/>
      <c r="AO85" s="47"/>
      <c r="AP85" s="47"/>
    </row>
    <row r="86" spans="1:42" x14ac:dyDescent="0.25">
      <c r="A86" s="40"/>
      <c r="B86" s="41"/>
      <c r="C86" s="41"/>
      <c r="D86" s="43"/>
      <c r="E86" s="44"/>
      <c r="F86" s="41"/>
      <c r="G86" s="51"/>
      <c r="H86" s="45"/>
      <c r="I86" s="46"/>
      <c r="J86" s="46"/>
      <c r="K86" s="47"/>
      <c r="L86" s="47"/>
      <c r="M86" s="46"/>
      <c r="N86" s="52" t="str">
        <f>IF(RECIBIDAS_GASTOS!F86="","",CONCATENATE(RECIBIDAS_GASTOS!F86,"-",COUNTIF(RECIBIDAS_GASTOS!F:F,RECIBIDAS_GASTOS!F86)))</f>
        <v/>
      </c>
      <c r="O86" s="52" t="str">
        <f>IF(RECIBIDAS_GASTOS!F86="","",CONCATENATE(RECIBIDAS_GASTOS!F86,"-",COUNTIF(RECIBIDAS_GASTOS!F:F,RECIBIDAS_GASTOS!F86)))</f>
        <v/>
      </c>
      <c r="P86" s="41"/>
      <c r="Q86" s="47"/>
      <c r="R86" s="47"/>
      <c r="S86" s="47"/>
      <c r="T86" s="41"/>
      <c r="U86" s="53"/>
      <c r="V86" s="53"/>
      <c r="W86" s="53"/>
      <c r="X86" s="40"/>
      <c r="Y86" s="41"/>
      <c r="Z86" s="48" t="str">
        <f t="shared" si="3"/>
        <v/>
      </c>
      <c r="AA86" s="49"/>
      <c r="AB86" s="50"/>
      <c r="AC86" s="48" t="str">
        <f t="shared" si="4"/>
        <v/>
      </c>
      <c r="AD86" s="49"/>
      <c r="AE86" s="50"/>
      <c r="AF86" s="48" t="str">
        <f t="shared" si="5"/>
        <v/>
      </c>
      <c r="AG86" s="46"/>
      <c r="AH86" s="49"/>
      <c r="AI86" s="41"/>
      <c r="AJ86" s="47"/>
      <c r="AK86" s="45"/>
      <c r="AL86" s="45"/>
      <c r="AM86" s="47"/>
      <c r="AN86" s="41"/>
      <c r="AO86" s="47"/>
      <c r="AP86" s="47"/>
    </row>
    <row r="87" spans="1:42" x14ac:dyDescent="0.25">
      <c r="A87" s="40"/>
      <c r="B87" s="41"/>
      <c r="C87" s="41"/>
      <c r="D87" s="43"/>
      <c r="E87" s="44"/>
      <c r="F87" s="41"/>
      <c r="G87" s="51"/>
      <c r="H87" s="45"/>
      <c r="I87" s="46"/>
      <c r="J87" s="46"/>
      <c r="K87" s="47"/>
      <c r="L87" s="47"/>
      <c r="M87" s="46"/>
      <c r="N87" s="52" t="str">
        <f>IF(RECIBIDAS_GASTOS!F87="","",CONCATENATE(RECIBIDAS_GASTOS!F87,"-",COUNTIF(RECIBIDAS_GASTOS!F:F,RECIBIDAS_GASTOS!F87)))</f>
        <v/>
      </c>
      <c r="O87" s="52" t="str">
        <f>IF(RECIBIDAS_GASTOS!F87="","",CONCATENATE(RECIBIDAS_GASTOS!F87,"-",COUNTIF(RECIBIDAS_GASTOS!F:F,RECIBIDAS_GASTOS!F87)))</f>
        <v/>
      </c>
      <c r="P87" s="41"/>
      <c r="Q87" s="47"/>
      <c r="R87" s="47"/>
      <c r="S87" s="47"/>
      <c r="T87" s="41"/>
      <c r="U87" s="53"/>
      <c r="V87" s="53"/>
      <c r="W87" s="53"/>
      <c r="X87" s="40"/>
      <c r="Y87" s="41"/>
      <c r="Z87" s="48" t="str">
        <f t="shared" si="3"/>
        <v/>
      </c>
      <c r="AA87" s="49"/>
      <c r="AB87" s="50"/>
      <c r="AC87" s="48" t="str">
        <f t="shared" si="4"/>
        <v/>
      </c>
      <c r="AD87" s="49"/>
      <c r="AE87" s="50"/>
      <c r="AF87" s="48" t="str">
        <f t="shared" si="5"/>
        <v/>
      </c>
      <c r="AG87" s="46"/>
      <c r="AH87" s="49"/>
      <c r="AI87" s="41"/>
      <c r="AJ87" s="47"/>
      <c r="AK87" s="45"/>
      <c r="AL87" s="45"/>
      <c r="AM87" s="47"/>
      <c r="AN87" s="41"/>
      <c r="AO87" s="47"/>
      <c r="AP87" s="47"/>
    </row>
    <row r="88" spans="1:42" x14ac:dyDescent="0.25">
      <c r="A88" s="40"/>
      <c r="B88" s="41"/>
      <c r="C88" s="41"/>
      <c r="D88" s="43"/>
      <c r="E88" s="44"/>
      <c r="F88" s="41"/>
      <c r="G88" s="51"/>
      <c r="H88" s="45"/>
      <c r="I88" s="46"/>
      <c r="J88" s="46"/>
      <c r="K88" s="47"/>
      <c r="L88" s="47"/>
      <c r="M88" s="46"/>
      <c r="N88" s="52" t="str">
        <f>IF(RECIBIDAS_GASTOS!F88="","",CONCATENATE(RECIBIDAS_GASTOS!F88,"-",COUNTIF(RECIBIDAS_GASTOS!F:F,RECIBIDAS_GASTOS!F88)))</f>
        <v/>
      </c>
      <c r="O88" s="52" t="str">
        <f>IF(RECIBIDAS_GASTOS!F88="","",CONCATENATE(RECIBIDAS_GASTOS!F88,"-",COUNTIF(RECIBIDAS_GASTOS!F:F,RECIBIDAS_GASTOS!F88)))</f>
        <v/>
      </c>
      <c r="P88" s="41"/>
      <c r="Q88" s="47"/>
      <c r="R88" s="47"/>
      <c r="S88" s="47"/>
      <c r="T88" s="41"/>
      <c r="U88" s="53"/>
      <c r="V88" s="53"/>
      <c r="W88" s="53"/>
      <c r="X88" s="40"/>
      <c r="Y88" s="41"/>
      <c r="Z88" s="48" t="str">
        <f t="shared" si="3"/>
        <v/>
      </c>
      <c r="AA88" s="49"/>
      <c r="AB88" s="50"/>
      <c r="AC88" s="48" t="str">
        <f t="shared" si="4"/>
        <v/>
      </c>
      <c r="AD88" s="49"/>
      <c r="AE88" s="50"/>
      <c r="AF88" s="48" t="str">
        <f t="shared" si="5"/>
        <v/>
      </c>
      <c r="AG88" s="46"/>
      <c r="AH88" s="49"/>
      <c r="AI88" s="41"/>
      <c r="AJ88" s="47"/>
      <c r="AK88" s="45"/>
      <c r="AL88" s="45"/>
      <c r="AM88" s="47"/>
      <c r="AN88" s="41"/>
      <c r="AO88" s="47"/>
      <c r="AP88" s="47"/>
    </row>
    <row r="89" spans="1:42" x14ac:dyDescent="0.25">
      <c r="A89" s="40"/>
      <c r="B89" s="41"/>
      <c r="C89" s="41"/>
      <c r="D89" s="43"/>
      <c r="E89" s="44"/>
      <c r="F89" s="41"/>
      <c r="G89" s="51"/>
      <c r="H89" s="45"/>
      <c r="I89" s="46"/>
      <c r="J89" s="46"/>
      <c r="K89" s="47"/>
      <c r="L89" s="47"/>
      <c r="M89" s="46"/>
      <c r="N89" s="52" t="str">
        <f>IF(RECIBIDAS_GASTOS!F89="","",CONCATENATE(RECIBIDAS_GASTOS!F89,"-",COUNTIF(RECIBIDAS_GASTOS!F:F,RECIBIDAS_GASTOS!F89)))</f>
        <v/>
      </c>
      <c r="O89" s="52" t="str">
        <f>IF(RECIBIDAS_GASTOS!F89="","",CONCATENATE(RECIBIDAS_GASTOS!F89,"-",COUNTIF(RECIBIDAS_GASTOS!F:F,RECIBIDAS_GASTOS!F89)))</f>
        <v/>
      </c>
      <c r="P89" s="41"/>
      <c r="Q89" s="47"/>
      <c r="R89" s="47"/>
      <c r="S89" s="47"/>
      <c r="T89" s="41"/>
      <c r="U89" s="53"/>
      <c r="V89" s="53"/>
      <c r="W89" s="53"/>
      <c r="X89" s="40"/>
      <c r="Y89" s="41"/>
      <c r="Z89" s="48" t="str">
        <f t="shared" si="3"/>
        <v/>
      </c>
      <c r="AA89" s="49"/>
      <c r="AB89" s="50"/>
      <c r="AC89" s="48" t="str">
        <f t="shared" si="4"/>
        <v/>
      </c>
      <c r="AD89" s="49"/>
      <c r="AE89" s="50"/>
      <c r="AF89" s="48" t="str">
        <f t="shared" si="5"/>
        <v/>
      </c>
      <c r="AG89" s="46"/>
      <c r="AH89" s="49"/>
      <c r="AI89" s="41"/>
      <c r="AJ89" s="47"/>
      <c r="AK89" s="45"/>
      <c r="AL89" s="45"/>
      <c r="AM89" s="47"/>
      <c r="AN89" s="41"/>
      <c r="AO89" s="47"/>
      <c r="AP89" s="47"/>
    </row>
    <row r="90" spans="1:42" x14ac:dyDescent="0.25">
      <c r="A90" s="40"/>
      <c r="B90" s="41"/>
      <c r="C90" s="41"/>
      <c r="D90" s="43"/>
      <c r="E90" s="44"/>
      <c r="F90" s="41"/>
      <c r="G90" s="51"/>
      <c r="H90" s="45"/>
      <c r="I90" s="46"/>
      <c r="J90" s="46"/>
      <c r="K90" s="47"/>
      <c r="L90" s="47"/>
      <c r="M90" s="46"/>
      <c r="N90" s="52" t="str">
        <f>IF(RECIBIDAS_GASTOS!F90="","",CONCATENATE(RECIBIDAS_GASTOS!F90,"-",COUNTIF(RECIBIDAS_GASTOS!F:F,RECIBIDAS_GASTOS!F90)))</f>
        <v/>
      </c>
      <c r="O90" s="52" t="str">
        <f>IF(RECIBIDAS_GASTOS!F90="","",CONCATENATE(RECIBIDAS_GASTOS!F90,"-",COUNTIF(RECIBIDAS_GASTOS!F:F,RECIBIDAS_GASTOS!F90)))</f>
        <v/>
      </c>
      <c r="P90" s="41"/>
      <c r="Q90" s="47"/>
      <c r="R90" s="47"/>
      <c r="S90" s="47"/>
      <c r="T90" s="41"/>
      <c r="U90" s="53"/>
      <c r="V90" s="53"/>
      <c r="W90" s="53"/>
      <c r="X90" s="40"/>
      <c r="Y90" s="41"/>
      <c r="Z90" s="48" t="str">
        <f t="shared" si="3"/>
        <v/>
      </c>
      <c r="AA90" s="49"/>
      <c r="AB90" s="50"/>
      <c r="AC90" s="48" t="str">
        <f t="shared" si="4"/>
        <v/>
      </c>
      <c r="AD90" s="49"/>
      <c r="AE90" s="50"/>
      <c r="AF90" s="48" t="str">
        <f t="shared" si="5"/>
        <v/>
      </c>
      <c r="AG90" s="46"/>
      <c r="AH90" s="49"/>
      <c r="AI90" s="41"/>
      <c r="AJ90" s="47"/>
      <c r="AK90" s="45"/>
      <c r="AL90" s="45"/>
      <c r="AM90" s="47"/>
      <c r="AN90" s="41"/>
      <c r="AO90" s="47"/>
      <c r="AP90" s="47"/>
    </row>
    <row r="91" spans="1:42" x14ac:dyDescent="0.25">
      <c r="A91" s="40"/>
      <c r="B91" s="41"/>
      <c r="C91" s="41"/>
      <c r="D91" s="43"/>
      <c r="E91" s="44"/>
      <c r="F91" s="41"/>
      <c r="G91" s="51"/>
      <c r="H91" s="45"/>
      <c r="I91" s="46"/>
      <c r="J91" s="46"/>
      <c r="K91" s="47"/>
      <c r="L91" s="47"/>
      <c r="M91" s="46"/>
      <c r="N91" s="52" t="str">
        <f>IF(RECIBIDAS_GASTOS!F91="","",CONCATENATE(RECIBIDAS_GASTOS!F91,"-",COUNTIF(RECIBIDAS_GASTOS!F:F,RECIBIDAS_GASTOS!F91)))</f>
        <v/>
      </c>
      <c r="O91" s="52" t="str">
        <f>IF(RECIBIDAS_GASTOS!F91="","",CONCATENATE(RECIBIDAS_GASTOS!F91,"-",COUNTIF(RECIBIDAS_GASTOS!F:F,RECIBIDAS_GASTOS!F91)))</f>
        <v/>
      </c>
      <c r="P91" s="41"/>
      <c r="Q91" s="47"/>
      <c r="R91" s="47"/>
      <c r="S91" s="47"/>
      <c r="T91" s="41"/>
      <c r="U91" s="53"/>
      <c r="V91" s="53"/>
      <c r="W91" s="53"/>
      <c r="X91" s="40"/>
      <c r="Y91" s="41"/>
      <c r="Z91" s="48" t="str">
        <f t="shared" si="3"/>
        <v/>
      </c>
      <c r="AA91" s="49"/>
      <c r="AB91" s="50"/>
      <c r="AC91" s="48" t="str">
        <f t="shared" si="4"/>
        <v/>
      </c>
      <c r="AD91" s="49"/>
      <c r="AE91" s="50"/>
      <c r="AF91" s="48" t="str">
        <f t="shared" si="5"/>
        <v/>
      </c>
      <c r="AG91" s="46"/>
      <c r="AH91" s="49"/>
      <c r="AI91" s="41"/>
      <c r="AJ91" s="47"/>
      <c r="AK91" s="45"/>
      <c r="AL91" s="45"/>
      <c r="AM91" s="47"/>
      <c r="AN91" s="41"/>
      <c r="AO91" s="47"/>
      <c r="AP91" s="47"/>
    </row>
    <row r="92" spans="1:42" x14ac:dyDescent="0.25">
      <c r="A92" s="40"/>
      <c r="B92" s="41"/>
      <c r="C92" s="41"/>
      <c r="D92" s="43"/>
      <c r="E92" s="44"/>
      <c r="F92" s="41"/>
      <c r="G92" s="51"/>
      <c r="H92" s="45"/>
      <c r="I92" s="46"/>
      <c r="J92" s="46"/>
      <c r="K92" s="47"/>
      <c r="L92" s="47"/>
      <c r="M92" s="46"/>
      <c r="N92" s="52" t="str">
        <f>IF(RECIBIDAS_GASTOS!F92="","",CONCATENATE(RECIBIDAS_GASTOS!F92,"-",COUNTIF(RECIBIDAS_GASTOS!F:F,RECIBIDAS_GASTOS!F92)))</f>
        <v/>
      </c>
      <c r="O92" s="52" t="str">
        <f>IF(RECIBIDAS_GASTOS!F92="","",CONCATENATE(RECIBIDAS_GASTOS!F92,"-",COUNTIF(RECIBIDAS_GASTOS!F:F,RECIBIDAS_GASTOS!F92)))</f>
        <v/>
      </c>
      <c r="P92" s="41"/>
      <c r="Q92" s="47"/>
      <c r="R92" s="47"/>
      <c r="S92" s="47"/>
      <c r="T92" s="41"/>
      <c r="U92" s="53"/>
      <c r="V92" s="53"/>
      <c r="W92" s="53"/>
      <c r="X92" s="40"/>
      <c r="Y92" s="41"/>
      <c r="Z92" s="48" t="str">
        <f t="shared" si="3"/>
        <v/>
      </c>
      <c r="AA92" s="49"/>
      <c r="AB92" s="50"/>
      <c r="AC92" s="48" t="str">
        <f t="shared" si="4"/>
        <v/>
      </c>
      <c r="AD92" s="49"/>
      <c r="AE92" s="50"/>
      <c r="AF92" s="48" t="str">
        <f t="shared" si="5"/>
        <v/>
      </c>
      <c r="AG92" s="46"/>
      <c r="AH92" s="49"/>
      <c r="AI92" s="41"/>
      <c r="AJ92" s="47"/>
      <c r="AK92" s="45"/>
      <c r="AL92" s="45"/>
      <c r="AM92" s="47"/>
      <c r="AN92" s="41"/>
      <c r="AO92" s="47"/>
      <c r="AP92" s="47"/>
    </row>
    <row r="93" spans="1:42" x14ac:dyDescent="0.25">
      <c r="A93" s="40"/>
      <c r="B93" s="41"/>
      <c r="C93" s="41"/>
      <c r="D93" s="43"/>
      <c r="E93" s="44"/>
      <c r="F93" s="41"/>
      <c r="G93" s="51"/>
      <c r="H93" s="45"/>
      <c r="I93" s="46"/>
      <c r="J93" s="46"/>
      <c r="K93" s="47"/>
      <c r="L93" s="47"/>
      <c r="M93" s="46"/>
      <c r="N93" s="52" t="str">
        <f>IF(RECIBIDAS_GASTOS!F93="","",CONCATENATE(RECIBIDAS_GASTOS!F93,"-",COUNTIF(RECIBIDAS_GASTOS!F:F,RECIBIDAS_GASTOS!F93)))</f>
        <v/>
      </c>
      <c r="O93" s="52" t="str">
        <f>IF(RECIBIDAS_GASTOS!F93="","",CONCATENATE(RECIBIDAS_GASTOS!F93,"-",COUNTIF(RECIBIDAS_GASTOS!F:F,RECIBIDAS_GASTOS!F93)))</f>
        <v/>
      </c>
      <c r="P93" s="41"/>
      <c r="Q93" s="47"/>
      <c r="R93" s="47"/>
      <c r="S93" s="47"/>
      <c r="T93" s="41"/>
      <c r="U93" s="53"/>
      <c r="V93" s="53"/>
      <c r="W93" s="53"/>
      <c r="X93" s="40"/>
      <c r="Y93" s="41"/>
      <c r="Z93" s="48" t="str">
        <f t="shared" si="3"/>
        <v/>
      </c>
      <c r="AA93" s="49"/>
      <c r="AB93" s="50"/>
      <c r="AC93" s="48" t="str">
        <f t="shared" si="4"/>
        <v/>
      </c>
      <c r="AD93" s="49"/>
      <c r="AE93" s="50"/>
      <c r="AF93" s="48" t="str">
        <f t="shared" si="5"/>
        <v/>
      </c>
      <c r="AG93" s="46"/>
      <c r="AH93" s="49"/>
      <c r="AI93" s="41"/>
      <c r="AJ93" s="47"/>
      <c r="AK93" s="45"/>
      <c r="AL93" s="45"/>
      <c r="AM93" s="47"/>
      <c r="AN93" s="41"/>
      <c r="AO93" s="47"/>
      <c r="AP93" s="47"/>
    </row>
    <row r="94" spans="1:42" x14ac:dyDescent="0.25">
      <c r="A94" s="40"/>
      <c r="B94" s="41"/>
      <c r="C94" s="41"/>
      <c r="D94" s="43"/>
      <c r="E94" s="44"/>
      <c r="F94" s="41"/>
      <c r="G94" s="51"/>
      <c r="H94" s="45"/>
      <c r="I94" s="46"/>
      <c r="J94" s="46"/>
      <c r="K94" s="47"/>
      <c r="L94" s="47"/>
      <c r="M94" s="46"/>
      <c r="N94" s="52" t="str">
        <f>IF(RECIBIDAS_GASTOS!F94="","",CONCATENATE(RECIBIDAS_GASTOS!F94,"-",COUNTIF(RECIBIDAS_GASTOS!F:F,RECIBIDAS_GASTOS!F94)))</f>
        <v/>
      </c>
      <c r="O94" s="52" t="str">
        <f>IF(RECIBIDAS_GASTOS!F94="","",CONCATENATE(RECIBIDAS_GASTOS!F94,"-",COUNTIF(RECIBIDAS_GASTOS!F:F,RECIBIDAS_GASTOS!F94)))</f>
        <v/>
      </c>
      <c r="P94" s="41"/>
      <c r="Q94" s="47"/>
      <c r="R94" s="47"/>
      <c r="S94" s="47"/>
      <c r="T94" s="41"/>
      <c r="U94" s="53"/>
      <c r="V94" s="53"/>
      <c r="W94" s="53"/>
      <c r="X94" s="40"/>
      <c r="Y94" s="41"/>
      <c r="Z94" s="48" t="str">
        <f t="shared" si="3"/>
        <v/>
      </c>
      <c r="AA94" s="49"/>
      <c r="AB94" s="50"/>
      <c r="AC94" s="48" t="str">
        <f t="shared" si="4"/>
        <v/>
      </c>
      <c r="AD94" s="49"/>
      <c r="AE94" s="50"/>
      <c r="AF94" s="48" t="str">
        <f t="shared" si="5"/>
        <v/>
      </c>
      <c r="AG94" s="46"/>
      <c r="AH94" s="49"/>
      <c r="AI94" s="41"/>
      <c r="AJ94" s="47"/>
      <c r="AK94" s="45"/>
      <c r="AL94" s="45"/>
      <c r="AM94" s="47"/>
      <c r="AN94" s="41"/>
      <c r="AO94" s="47"/>
      <c r="AP94" s="47"/>
    </row>
    <row r="95" spans="1:42" x14ac:dyDescent="0.25">
      <c r="A95" s="40"/>
      <c r="B95" s="41"/>
      <c r="C95" s="41"/>
      <c r="D95" s="43"/>
      <c r="E95" s="44"/>
      <c r="F95" s="41"/>
      <c r="G95" s="51"/>
      <c r="H95" s="45"/>
      <c r="I95" s="46"/>
      <c r="J95" s="46"/>
      <c r="K95" s="47"/>
      <c r="L95" s="47"/>
      <c r="M95" s="46"/>
      <c r="N95" s="52" t="str">
        <f>IF(RECIBIDAS_GASTOS!F95="","",CONCATENATE(RECIBIDAS_GASTOS!F95,"-",COUNTIF(RECIBIDAS_GASTOS!F:F,RECIBIDAS_GASTOS!F95)))</f>
        <v/>
      </c>
      <c r="O95" s="52" t="str">
        <f>IF(RECIBIDAS_GASTOS!F95="","",CONCATENATE(RECIBIDAS_GASTOS!F95,"-",COUNTIF(RECIBIDAS_GASTOS!F:F,RECIBIDAS_GASTOS!F95)))</f>
        <v/>
      </c>
      <c r="P95" s="41"/>
      <c r="Q95" s="47"/>
      <c r="R95" s="47"/>
      <c r="S95" s="47"/>
      <c r="T95" s="41"/>
      <c r="U95" s="53"/>
      <c r="V95" s="53"/>
      <c r="W95" s="53"/>
      <c r="X95" s="40"/>
      <c r="Y95" s="41"/>
      <c r="Z95" s="48" t="str">
        <f t="shared" si="3"/>
        <v/>
      </c>
      <c r="AA95" s="49"/>
      <c r="AB95" s="50"/>
      <c r="AC95" s="48" t="str">
        <f t="shared" si="4"/>
        <v/>
      </c>
      <c r="AD95" s="49"/>
      <c r="AE95" s="50"/>
      <c r="AF95" s="48" t="str">
        <f t="shared" si="5"/>
        <v/>
      </c>
      <c r="AG95" s="46"/>
      <c r="AH95" s="49"/>
      <c r="AI95" s="41"/>
      <c r="AJ95" s="47"/>
      <c r="AK95" s="45"/>
      <c r="AL95" s="45"/>
      <c r="AM95" s="47"/>
      <c r="AN95" s="41"/>
      <c r="AO95" s="47"/>
      <c r="AP95" s="47"/>
    </row>
    <row r="96" spans="1:42" x14ac:dyDescent="0.25">
      <c r="A96" s="40"/>
      <c r="B96" s="41"/>
      <c r="C96" s="41"/>
      <c r="D96" s="43"/>
      <c r="E96" s="44"/>
      <c r="F96" s="41"/>
      <c r="G96" s="51"/>
      <c r="H96" s="45"/>
      <c r="I96" s="46"/>
      <c r="J96" s="46"/>
      <c r="K96" s="47"/>
      <c r="L96" s="47"/>
      <c r="M96" s="46"/>
      <c r="N96" s="52" t="str">
        <f>IF(RECIBIDAS_GASTOS!F96="","",CONCATENATE(RECIBIDAS_GASTOS!F96,"-",COUNTIF(RECIBIDAS_GASTOS!F:F,RECIBIDAS_GASTOS!F96)))</f>
        <v/>
      </c>
      <c r="O96" s="52" t="str">
        <f>IF(RECIBIDAS_GASTOS!F96="","",CONCATENATE(RECIBIDAS_GASTOS!F96,"-",COUNTIF(RECIBIDAS_GASTOS!F:F,RECIBIDAS_GASTOS!F96)))</f>
        <v/>
      </c>
      <c r="P96" s="41"/>
      <c r="Q96" s="47"/>
      <c r="R96" s="47"/>
      <c r="S96" s="47"/>
      <c r="T96" s="41"/>
      <c r="U96" s="53"/>
      <c r="V96" s="53"/>
      <c r="W96" s="53"/>
      <c r="X96" s="40"/>
      <c r="Y96" s="41"/>
      <c r="Z96" s="48" t="str">
        <f t="shared" si="3"/>
        <v/>
      </c>
      <c r="AA96" s="49"/>
      <c r="AB96" s="50"/>
      <c r="AC96" s="48" t="str">
        <f t="shared" si="4"/>
        <v/>
      </c>
      <c r="AD96" s="49"/>
      <c r="AE96" s="50"/>
      <c r="AF96" s="48" t="str">
        <f t="shared" si="5"/>
        <v/>
      </c>
      <c r="AG96" s="46"/>
      <c r="AH96" s="49"/>
      <c r="AI96" s="41"/>
      <c r="AJ96" s="47"/>
      <c r="AK96" s="45"/>
      <c r="AL96" s="45"/>
      <c r="AM96" s="47"/>
      <c r="AN96" s="41"/>
      <c r="AO96" s="47"/>
      <c r="AP96" s="47"/>
    </row>
    <row r="97" spans="1:42" x14ac:dyDescent="0.25">
      <c r="A97" s="40"/>
      <c r="B97" s="41"/>
      <c r="C97" s="41"/>
      <c r="D97" s="43"/>
      <c r="E97" s="44"/>
      <c r="F97" s="41"/>
      <c r="G97" s="51"/>
      <c r="H97" s="45"/>
      <c r="I97" s="46"/>
      <c r="J97" s="46"/>
      <c r="K97" s="47"/>
      <c r="L97" s="47"/>
      <c r="M97" s="46"/>
      <c r="N97" s="52" t="str">
        <f>IF(RECIBIDAS_GASTOS!F97="","",CONCATENATE(RECIBIDAS_GASTOS!F97,"-",COUNTIF(RECIBIDAS_GASTOS!F:F,RECIBIDAS_GASTOS!F97)))</f>
        <v/>
      </c>
      <c r="O97" s="52" t="str">
        <f>IF(RECIBIDAS_GASTOS!F97="","",CONCATENATE(RECIBIDAS_GASTOS!F97,"-",COUNTIF(RECIBIDAS_GASTOS!F:F,RECIBIDAS_GASTOS!F97)))</f>
        <v/>
      </c>
      <c r="P97" s="41"/>
      <c r="Q97" s="47"/>
      <c r="R97" s="47"/>
      <c r="S97" s="47"/>
      <c r="T97" s="41"/>
      <c r="U97" s="53"/>
      <c r="V97" s="53"/>
      <c r="W97" s="53"/>
      <c r="X97" s="40"/>
      <c r="Y97" s="41"/>
      <c r="Z97" s="48" t="str">
        <f t="shared" si="3"/>
        <v/>
      </c>
      <c r="AA97" s="49"/>
      <c r="AB97" s="50"/>
      <c r="AC97" s="48" t="str">
        <f t="shared" si="4"/>
        <v/>
      </c>
      <c r="AD97" s="49"/>
      <c r="AE97" s="50"/>
      <c r="AF97" s="48" t="str">
        <f t="shared" si="5"/>
        <v/>
      </c>
      <c r="AG97" s="46"/>
      <c r="AH97" s="49"/>
      <c r="AI97" s="41"/>
      <c r="AJ97" s="47"/>
      <c r="AK97" s="45"/>
      <c r="AL97" s="45"/>
      <c r="AM97" s="47"/>
      <c r="AN97" s="41"/>
      <c r="AO97" s="47"/>
      <c r="AP97" s="47"/>
    </row>
    <row r="98" spans="1:42" x14ac:dyDescent="0.25">
      <c r="A98" s="40"/>
      <c r="B98" s="41"/>
      <c r="C98" s="41"/>
      <c r="D98" s="43"/>
      <c r="E98" s="44"/>
      <c r="F98" s="41"/>
      <c r="G98" s="51"/>
      <c r="H98" s="45"/>
      <c r="I98" s="46"/>
      <c r="J98" s="46"/>
      <c r="K98" s="47"/>
      <c r="L98" s="47"/>
      <c r="M98" s="46"/>
      <c r="N98" s="52" t="str">
        <f>IF(RECIBIDAS_GASTOS!F98="","",CONCATENATE(RECIBIDAS_GASTOS!F98,"-",COUNTIF(RECIBIDAS_GASTOS!F:F,RECIBIDAS_GASTOS!F98)))</f>
        <v/>
      </c>
      <c r="O98" s="52" t="str">
        <f>IF(RECIBIDAS_GASTOS!F98="","",CONCATENATE(RECIBIDAS_GASTOS!F98,"-",COUNTIF(RECIBIDAS_GASTOS!F:F,RECIBIDAS_GASTOS!F98)))</f>
        <v/>
      </c>
      <c r="P98" s="41"/>
      <c r="Q98" s="47"/>
      <c r="R98" s="47"/>
      <c r="S98" s="47"/>
      <c r="T98" s="41"/>
      <c r="U98" s="53"/>
      <c r="V98" s="53"/>
      <c r="W98" s="53"/>
      <c r="X98" s="40"/>
      <c r="Y98" s="41"/>
      <c r="Z98" s="48" t="str">
        <f t="shared" si="3"/>
        <v/>
      </c>
      <c r="AA98" s="49"/>
      <c r="AB98" s="50"/>
      <c r="AC98" s="48" t="str">
        <f t="shared" si="4"/>
        <v/>
      </c>
      <c r="AD98" s="49"/>
      <c r="AE98" s="50"/>
      <c r="AF98" s="48" t="str">
        <f t="shared" si="5"/>
        <v/>
      </c>
      <c r="AG98" s="46"/>
      <c r="AH98" s="49"/>
      <c r="AI98" s="41"/>
      <c r="AJ98" s="47"/>
      <c r="AK98" s="45"/>
      <c r="AL98" s="45"/>
      <c r="AM98" s="47"/>
      <c r="AN98" s="41"/>
      <c r="AO98" s="47"/>
      <c r="AP98" s="47"/>
    </row>
    <row r="99" spans="1:42" x14ac:dyDescent="0.25">
      <c r="A99" s="40"/>
      <c r="B99" s="41"/>
      <c r="C99" s="41"/>
      <c r="D99" s="43"/>
      <c r="E99" s="44"/>
      <c r="F99" s="41"/>
      <c r="G99" s="51"/>
      <c r="H99" s="45"/>
      <c r="I99" s="46"/>
      <c r="J99" s="46"/>
      <c r="K99" s="47"/>
      <c r="L99" s="47"/>
      <c r="M99" s="46"/>
      <c r="N99" s="52" t="str">
        <f>IF(RECIBIDAS_GASTOS!F99="","",CONCATENATE(RECIBIDAS_GASTOS!F99,"-",COUNTIF(RECIBIDAS_GASTOS!F:F,RECIBIDAS_GASTOS!F99)))</f>
        <v/>
      </c>
      <c r="O99" s="52" t="str">
        <f>IF(RECIBIDAS_GASTOS!F99="","",CONCATENATE(RECIBIDAS_GASTOS!F99,"-",COUNTIF(RECIBIDAS_GASTOS!F:F,RECIBIDAS_GASTOS!F99)))</f>
        <v/>
      </c>
      <c r="P99" s="41"/>
      <c r="Q99" s="47"/>
      <c r="R99" s="47"/>
      <c r="S99" s="47"/>
      <c r="T99" s="41"/>
      <c r="U99" s="53"/>
      <c r="V99" s="53"/>
      <c r="W99" s="53"/>
      <c r="X99" s="40"/>
      <c r="Y99" s="41"/>
      <c r="Z99" s="48" t="str">
        <f t="shared" si="3"/>
        <v/>
      </c>
      <c r="AA99" s="49"/>
      <c r="AB99" s="50"/>
      <c r="AC99" s="48" t="str">
        <f t="shared" si="4"/>
        <v/>
      </c>
      <c r="AD99" s="49"/>
      <c r="AE99" s="50"/>
      <c r="AF99" s="48" t="str">
        <f t="shared" si="5"/>
        <v/>
      </c>
      <c r="AG99" s="46"/>
      <c r="AH99" s="49"/>
      <c r="AI99" s="41"/>
      <c r="AJ99" s="47"/>
      <c r="AK99" s="45"/>
      <c r="AL99" s="45"/>
      <c r="AM99" s="47"/>
      <c r="AN99" s="41"/>
      <c r="AO99" s="47"/>
      <c r="AP99" s="47"/>
    </row>
    <row r="100" spans="1:42" x14ac:dyDescent="0.25">
      <c r="A100" s="40"/>
      <c r="B100" s="41"/>
      <c r="C100" s="41"/>
      <c r="D100" s="43"/>
      <c r="E100" s="44"/>
      <c r="F100" s="41"/>
      <c r="G100" s="51"/>
      <c r="H100" s="45"/>
      <c r="I100" s="46"/>
      <c r="J100" s="46"/>
      <c r="K100" s="47"/>
      <c r="L100" s="47"/>
      <c r="M100" s="46"/>
      <c r="N100" s="52" t="str">
        <f>IF(RECIBIDAS_GASTOS!F100="","",CONCATENATE(RECIBIDAS_GASTOS!F100,"-",COUNTIF(RECIBIDAS_GASTOS!F:F,RECIBIDAS_GASTOS!F100)))</f>
        <v/>
      </c>
      <c r="O100" s="52" t="str">
        <f>IF(RECIBIDAS_GASTOS!F100="","",CONCATENATE(RECIBIDAS_GASTOS!F100,"-",COUNTIF(RECIBIDAS_GASTOS!F:F,RECIBIDAS_GASTOS!F100)))</f>
        <v/>
      </c>
      <c r="P100" s="41"/>
      <c r="Q100" s="47"/>
      <c r="R100" s="47"/>
      <c r="S100" s="47"/>
      <c r="T100" s="41"/>
      <c r="U100" s="53"/>
      <c r="V100" s="53"/>
      <c r="W100" s="53"/>
      <c r="X100" s="40"/>
      <c r="Y100" s="41"/>
      <c r="Z100" s="48" t="str">
        <f t="shared" ref="Z100:Z103" si="6">IF(AA100="","",IF(AND(F100="",T100=""),"",IF(OR(LEFT(T100,2)="03",LEFT(T100,2)="05",LEFT(T100,2)="09"),AA100,SUM(AA100,AC100,AF100))))</f>
        <v/>
      </c>
      <c r="AA100" s="49"/>
      <c r="AB100" s="50"/>
      <c r="AC100" s="48" t="str">
        <f t="shared" ref="AC100:AC103" si="7">IF(OR(AA100="",AB100=""),"",AA100*AB100/100)</f>
        <v/>
      </c>
      <c r="AD100" s="49"/>
      <c r="AE100" s="50"/>
      <c r="AF100" s="48" t="str">
        <f t="shared" ref="AF100:AF103" si="8">IF(OR(AA100="",AE100=""),"",AA100*AE100/100)</f>
        <v/>
      </c>
      <c r="AG100" s="46"/>
      <c r="AH100" s="49"/>
      <c r="AI100" s="41"/>
      <c r="AJ100" s="47"/>
      <c r="AK100" s="45"/>
      <c r="AL100" s="45"/>
      <c r="AM100" s="47"/>
      <c r="AN100" s="41"/>
      <c r="AO100" s="47"/>
      <c r="AP100" s="47"/>
    </row>
    <row r="101" spans="1:42" x14ac:dyDescent="0.25">
      <c r="A101" s="40"/>
      <c r="B101" s="41"/>
      <c r="C101" s="41"/>
      <c r="D101" s="43"/>
      <c r="E101" s="44"/>
      <c r="F101" s="41"/>
      <c r="G101" s="51"/>
      <c r="H101" s="45"/>
      <c r="I101" s="46"/>
      <c r="J101" s="46"/>
      <c r="K101" s="47"/>
      <c r="L101" s="47"/>
      <c r="M101" s="46"/>
      <c r="N101" s="52" t="str">
        <f>IF(RECIBIDAS_GASTOS!F101="","",CONCATENATE(RECIBIDAS_GASTOS!F101,"-",COUNTIF(RECIBIDAS_GASTOS!F:F,RECIBIDAS_GASTOS!F101)))</f>
        <v/>
      </c>
      <c r="O101" s="52" t="str">
        <f>IF(RECIBIDAS_GASTOS!F101="","",CONCATENATE(RECIBIDAS_GASTOS!F101,"-",COUNTIF(RECIBIDAS_GASTOS!F:F,RECIBIDAS_GASTOS!F101)))</f>
        <v/>
      </c>
      <c r="P101" s="41"/>
      <c r="Q101" s="47"/>
      <c r="R101" s="47"/>
      <c r="S101" s="47"/>
      <c r="T101" s="41"/>
      <c r="U101" s="53"/>
      <c r="V101" s="53"/>
      <c r="W101" s="53"/>
      <c r="X101" s="40"/>
      <c r="Y101" s="41"/>
      <c r="Z101" s="48" t="str">
        <f t="shared" si="6"/>
        <v/>
      </c>
      <c r="AA101" s="49"/>
      <c r="AB101" s="50"/>
      <c r="AC101" s="48" t="str">
        <f t="shared" si="7"/>
        <v/>
      </c>
      <c r="AD101" s="49"/>
      <c r="AE101" s="50"/>
      <c r="AF101" s="48" t="str">
        <f t="shared" si="8"/>
        <v/>
      </c>
      <c r="AG101" s="46"/>
      <c r="AH101" s="49"/>
      <c r="AI101" s="41"/>
      <c r="AJ101" s="47"/>
      <c r="AK101" s="45"/>
      <c r="AL101" s="45"/>
      <c r="AM101" s="47"/>
      <c r="AN101" s="41"/>
      <c r="AO101" s="47"/>
      <c r="AP101" s="47"/>
    </row>
    <row r="102" spans="1:42" x14ac:dyDescent="0.25">
      <c r="A102" s="40"/>
      <c r="B102" s="41"/>
      <c r="C102" s="41"/>
      <c r="D102" s="43"/>
      <c r="E102" s="44"/>
      <c r="F102" s="41"/>
      <c r="G102" s="51"/>
      <c r="H102" s="45"/>
      <c r="I102" s="46"/>
      <c r="J102" s="46"/>
      <c r="K102" s="47"/>
      <c r="L102" s="47"/>
      <c r="M102" s="46"/>
      <c r="N102" s="52" t="str">
        <f>IF(RECIBIDAS_GASTOS!F102="","",CONCATENATE(RECIBIDAS_GASTOS!F102,"-",COUNTIF(RECIBIDAS_GASTOS!F:F,RECIBIDAS_GASTOS!F102)))</f>
        <v/>
      </c>
      <c r="O102" s="52" t="str">
        <f>IF(RECIBIDAS_GASTOS!F102="","",CONCATENATE(RECIBIDAS_GASTOS!F102,"-",COUNTIF(RECIBIDAS_GASTOS!F:F,RECIBIDAS_GASTOS!F102)))</f>
        <v/>
      </c>
      <c r="P102" s="41"/>
      <c r="Q102" s="47"/>
      <c r="R102" s="47"/>
      <c r="S102" s="47"/>
      <c r="T102" s="41"/>
      <c r="U102" s="53"/>
      <c r="V102" s="53"/>
      <c r="W102" s="53"/>
      <c r="X102" s="40"/>
      <c r="Y102" s="41"/>
      <c r="Z102" s="48" t="str">
        <f t="shared" si="6"/>
        <v/>
      </c>
      <c r="AA102" s="49"/>
      <c r="AB102" s="50"/>
      <c r="AC102" s="48" t="str">
        <f t="shared" si="7"/>
        <v/>
      </c>
      <c r="AD102" s="49"/>
      <c r="AE102" s="50"/>
      <c r="AF102" s="48" t="str">
        <f t="shared" si="8"/>
        <v/>
      </c>
      <c r="AG102" s="46"/>
      <c r="AH102" s="49"/>
      <c r="AI102" s="41"/>
      <c r="AJ102" s="47"/>
      <c r="AK102" s="45"/>
      <c r="AL102" s="45"/>
      <c r="AM102" s="47"/>
      <c r="AN102" s="41"/>
      <c r="AO102" s="47"/>
      <c r="AP102" s="47"/>
    </row>
    <row r="103" spans="1:42" x14ac:dyDescent="0.25">
      <c r="A103" s="40"/>
      <c r="B103" s="41"/>
      <c r="C103" s="41"/>
      <c r="D103" s="43"/>
      <c r="E103" s="44"/>
      <c r="F103" s="41"/>
      <c r="G103" s="51"/>
      <c r="H103" s="45"/>
      <c r="I103" s="46"/>
      <c r="J103" s="46"/>
      <c r="K103" s="47"/>
      <c r="L103" s="47"/>
      <c r="M103" s="46"/>
      <c r="N103" s="52" t="str">
        <f>IF(RECIBIDAS_GASTOS!F103="","",CONCATENATE(RECIBIDAS_GASTOS!F103,"-",COUNTIF(RECIBIDAS_GASTOS!F:F,RECIBIDAS_GASTOS!F103)))</f>
        <v/>
      </c>
      <c r="O103" s="52" t="str">
        <f>IF(RECIBIDAS_GASTOS!F103="","",CONCATENATE(RECIBIDAS_GASTOS!F103,"-",COUNTIF(RECIBIDAS_GASTOS!F:F,RECIBIDAS_GASTOS!F103)))</f>
        <v/>
      </c>
      <c r="P103" s="41"/>
      <c r="Q103" s="47"/>
      <c r="R103" s="47"/>
      <c r="S103" s="47"/>
      <c r="T103" s="41"/>
      <c r="U103" s="53"/>
      <c r="V103" s="53"/>
      <c r="W103" s="53"/>
      <c r="X103" s="40"/>
      <c r="Y103" s="41"/>
      <c r="Z103" s="48" t="str">
        <f t="shared" si="6"/>
        <v/>
      </c>
      <c r="AA103" s="49"/>
      <c r="AB103" s="50"/>
      <c r="AC103" s="48" t="str">
        <f t="shared" si="7"/>
        <v/>
      </c>
      <c r="AD103" s="49"/>
      <c r="AE103" s="50"/>
      <c r="AF103" s="48" t="str">
        <f t="shared" si="8"/>
        <v/>
      </c>
      <c r="AG103" s="46"/>
      <c r="AH103" s="49"/>
      <c r="AI103" s="41"/>
      <c r="AJ103" s="47"/>
      <c r="AK103" s="45"/>
      <c r="AL103" s="45"/>
      <c r="AM103" s="47"/>
      <c r="AN103" s="41"/>
      <c r="AO103" s="47"/>
      <c r="AP103" s="47"/>
    </row>
  </sheetData>
  <sheetProtection algorithmName="SHA-512" hashValue="rCRqaMcMbBL4wTLLmgxSDJdePa/3lYWcvLtB1CFMwXsYJFi7naipy4p2FUq4g/qsWOsIcwaZgP9x0VUJ/R1W3w==" saltValue="sgQkYj/mZW95W7YTeoWX3Q==" spinCount="100000" sheet="1" formatCells="0" formatColumns="0" formatRows="0" sort="0" autoFilter="0"/>
  <dataConsolidate/>
  <mergeCells count="49">
    <mergeCell ref="U1:U3"/>
    <mergeCell ref="X2:X3"/>
    <mergeCell ref="W1:W3"/>
    <mergeCell ref="V1:V3"/>
    <mergeCell ref="M1:M3"/>
    <mergeCell ref="T1:T3"/>
    <mergeCell ref="P1:R1"/>
    <mergeCell ref="R2:R3"/>
    <mergeCell ref="Q2:Q3"/>
    <mergeCell ref="O1:O3"/>
    <mergeCell ref="N1:N3"/>
    <mergeCell ref="S1:S3"/>
    <mergeCell ref="B2:B3"/>
    <mergeCell ref="C2:C3"/>
    <mergeCell ref="D2:D3"/>
    <mergeCell ref="F1:F3"/>
    <mergeCell ref="P2:P3"/>
    <mergeCell ref="A1:B1"/>
    <mergeCell ref="C1:E1"/>
    <mergeCell ref="A2:A3"/>
    <mergeCell ref="E2:E3"/>
    <mergeCell ref="G1:G3"/>
    <mergeCell ref="H1:H3"/>
    <mergeCell ref="L2:L3"/>
    <mergeCell ref="K2:K3"/>
    <mergeCell ref="J1:J3"/>
    <mergeCell ref="I1:I3"/>
    <mergeCell ref="K1:L1"/>
    <mergeCell ref="AP1:AP3"/>
    <mergeCell ref="AO2:AO3"/>
    <mergeCell ref="AM1:AM3"/>
    <mergeCell ref="AL1:AL3"/>
    <mergeCell ref="AK1:AK3"/>
    <mergeCell ref="AJ2:AJ3"/>
    <mergeCell ref="Y2:Y3"/>
    <mergeCell ref="AI2:AI3"/>
    <mergeCell ref="AN2:AN3"/>
    <mergeCell ref="AG1:AJ1"/>
    <mergeCell ref="AN1:AO1"/>
    <mergeCell ref="AH2:AH3"/>
    <mergeCell ref="AG2:AG3"/>
    <mergeCell ref="AF1:AF3"/>
    <mergeCell ref="AE1:AE3"/>
    <mergeCell ref="AA1:AA3"/>
    <mergeCell ref="Z1:Z3"/>
    <mergeCell ref="AD1:AD3"/>
    <mergeCell ref="AC1:AC3"/>
    <mergeCell ref="AB1:AB3"/>
    <mergeCell ref="X1:Y1"/>
  </mergeCells>
  <dataValidations count="25">
    <dataValidation type="date" allowBlank="1" showInputMessage="1" showErrorMessage="1" errorTitle="Fecha de expedición incorrecta" error="Esta fecha no puede ser superior a la fecha en la que se presenta el libro de registro en la sede electrónica de la Agencia Tributaria" promptTitle="DD/MM/YYYY" prompt="Esta fecha no puede ser superior a la fecha en la que se presenta el libro de registro en la sede electrónica de la Agencia Tributaria" sqref="I4:I103" xr:uid="{00000000-0002-0000-0200-000000000000}">
      <formula1>TODAY()-5000</formula1>
      <formula2>TODAY()</formula2>
    </dataValidation>
    <dataValidation type="textLength" allowBlank="1" showInputMessage="1" showErrorMessage="1" prompt="Máximo de 40 caracteres" sqref="K4:K103 AP4:AP103 S4:S103" xr:uid="{00000000-0002-0000-0200-000001000000}">
      <formula1>0</formula1>
      <formula2>40</formula2>
    </dataValidation>
    <dataValidation type="textLength" allowBlank="1" showInputMessage="1" showErrorMessage="1" prompt="Máximo 20 caracteres" sqref="L4:L103 AO4:AO103" xr:uid="{00000000-0002-0000-0200-000002000000}">
      <formula1>0</formula1>
      <formula2>20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="DD/MM/YYYY" sqref="AG4:AG103" xr:uid="{00000000-0002-0000-0200-000003000000}">
      <formula1>TODAY()-5000</formula1>
      <formula2>TODAY()</formula2>
    </dataValidation>
    <dataValidation type="textLength" allowBlank="1" showInputMessage="1" showErrorMessage="1" prompt="Máximo de 2 caracteres" sqref="Q4:Q103" xr:uid="{00000000-0002-0000-0200-000004000000}">
      <formula1>0</formula1>
      <formula2>2</formula2>
    </dataValidation>
    <dataValidation type="textLength" errorStyle="warning" allowBlank="1" showInputMessage="1" showErrorMessage="1" error="Introduzca el texto que corresponda a la identificación con el medio utilizado, con un máximo de 34 caracteres" prompt="Máximo de 34 caracteres" sqref="AJ4:AJ103" xr:uid="{00000000-0002-0000-0200-000005000000}">
      <formula1>0</formula1>
      <formula2>34</formula2>
    </dataValidation>
    <dataValidation type="custom" allowBlank="1" showInputMessage="1" showErrorMessage="1" error="El ejercicio debe ser un año entre 2000 y el año actual" sqref="A4:A103 X4:X103" xr:uid="{00000000-0002-0000-0200-000006000000}">
      <formula1>AND(LEN(A4)=4,ISNUMBER(VALUE(A4)),VALUE(A4)&gt;=2000,VALUE(A4)&lt;=YEAR(TODAY()))</formula1>
    </dataValidation>
    <dataValidation type="decimal" allowBlank="1" showInputMessage="1" showErrorMessage="1" prompt="Decimal (12, 2)" sqref="AA4:AA103 AD4:AD103 AH4:AH103" xr:uid="{00000000-0002-0000-0200-000007000000}">
      <formula1>-9999999999</formula1>
      <formula2>9999999999</formula2>
    </dataValidation>
    <dataValidation type="list" allowBlank="1" showErrorMessage="1" prompt="_x000a__x000a_" sqref="C4:C103" xr:uid="{00000000-0002-0000-0200-000008000000}">
      <formula1>ACTIVIDAD</formula1>
    </dataValidation>
    <dataValidation type="list" errorStyle="warning" allowBlank="1" showInputMessage="1" showErrorMessage="1" errorTitle="Tipo de factura incorrecto" error="Tipo de factura incorrecto" promptTitle="Tipo de factura" sqref="F4:F103" xr:uid="{00000000-0002-0000-0200-000009000000}">
      <formula1>TIPO_FACTURA_GASTO</formula1>
    </dataValidation>
    <dataValidation type="list" errorStyle="warning" allowBlank="1" showInputMessage="1" showErrorMessage="1" errorTitle="Clave de operación incorrecta" error="Clave de operación incorrecta" promptTitle="Clave de operación" sqref="T4:T103" xr:uid="{00000000-0002-0000-0200-00000A000000}">
      <formula1>CLAVE_OPERACION_GASTO</formula1>
    </dataValidation>
    <dataValidation type="list" errorStyle="warning" allowBlank="1" showInputMessage="1" showErrorMessage="1" errorTitle="Tipo de NIF incorrecto" error="Tipo de NIF incorrecto" promptTitle="Tipo de NIF" sqref="P4:P103" xr:uid="{00000000-0002-0000-0200-00000B000000}">
      <formula1>TIPO_NIF</formula1>
    </dataValidation>
    <dataValidation type="list" allowBlank="1" showInputMessage="1" showErrorMessage="1" error="Trimestre incorrecto" sqref="Y4:Y103 B4:B103" xr:uid="{00000000-0002-0000-0200-00000C000000}">
      <formula1>TRIMESTRE</formula1>
    </dataValidation>
    <dataValidation type="list" errorStyle="warning" allowBlank="1" showInputMessage="1" showErrorMessage="1" errorTitle="Medio utilizado incorrecto" error="Medio utilizado incorrecto" promptTitle="Medio utilizado" sqref="AI4:AI103" xr:uid="{00000000-0002-0000-0200-00000D000000}">
      <formula1>MEDIO_UTILIZADO</formula1>
    </dataValidation>
    <dataValidation type="list" errorStyle="warning" allowBlank="1" showInputMessage="1" showErrorMessage="1" errorTitle="Situación incorrecta" error="Situación incorrecta" promptTitle="Situación" sqref="AN4:AN103" xr:uid="{00000000-0002-0000-0200-00000E000000}">
      <formula1>SITUACION</formula1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Title="DD/MM/YYYY" prompt="Obligatorio, debe ser mayor o igual que la fecha de expedición y, en su caso, que la fecha de operación" sqref="M4:M103" xr:uid="{00000000-0002-0000-0200-00000F000000}">
      <formula1>TODAY()-5000</formula1>
      <formula2>TODAY()</formula2>
    </dataValidation>
    <dataValidation type="textLength" errorStyle="information" allowBlank="1" showInputMessage="1" prompt="Máximo 20 caracteres" sqref="N4:O103" xr:uid="{00000000-0002-0000-0200-000010000000}">
      <formula1>0</formula1>
      <formula2>20</formula2>
    </dataValidation>
    <dataValidation type="list" errorStyle="warning" allowBlank="1" showInputMessage="1" showErrorMessage="1" error="Indique S (sí) o N (no)" prompt="Máximo 1 caracter" sqref="U4:V103" xr:uid="{00000000-0002-0000-0200-000011000000}">
      <formula1>"S,N"</formula1>
    </dataValidation>
    <dataValidation type="list" errorStyle="warning" allowBlank="1" showInputMessage="1" showErrorMessage="1" error="Indique S (sí) o N (no)" promptTitle="Máximo 1 carácter" prompt="&quot;N&quot; indica que se deduce en el &quot;Ejercicio&quot; y &quot;Periodo&quot; de la columna Autoliquidación." sqref="W4:W103" xr:uid="{00000000-0002-0000-0200-000012000000}">
      <formula1>"S,N"</formula1>
    </dataValidation>
    <dataValidation type="decimal" errorStyle="information" allowBlank="1" showInputMessage="1" prompt="Decimal (12, 2)" sqref="AC4:AC103 AF4:AF103 Z4:Z103" xr:uid="{00000000-0002-0000-0200-000013000000}">
      <formula1>-9999999999</formula1>
      <formula2>9999999999</formula2>
    </dataValidation>
    <dataValidation type="list" allowBlank="1" showInputMessage="1" showErrorMessage="1" prompt="Decimal (4,2)" sqref="AB4:AB103" xr:uid="{00000000-0002-0000-0200-000014000000}">
      <formula1>TIPO_IVA</formula1>
    </dataValidation>
    <dataValidation type="list" allowBlank="1" showInputMessage="1" showErrorMessage="1" prompt="Decimal (4,2)" sqref="AE4:AE103" xr:uid="{00000000-0002-0000-0200-000015000000}">
      <formula1>TIPO_RECARGO_EQUIVALENCIA</formula1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M4:AM103" xr:uid="{00000000-0002-0000-0200-000016000000}">
      <formula1>0</formula1>
      <formula2>15</formula2>
    </dataValidation>
    <dataValidation type="textLength" errorStyle="warning" allowBlank="1" showInputMessage="1" showErrorMessage="1" errorTitle="Epigrafe incorrecto" error="Longitud máxima permitida: 5" prompt="Máximo 5 posiciones alfanuméricas." sqref="E4:E103" xr:uid="{00000000-0002-0000-0200-000017000000}">
      <formula1>1</formula1>
      <formula2>5</formula2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R4:R103" xr:uid="{00000000-0002-0000-0200-000018000000}">
      <formula1>IF(P4="01-NIF/NIE",AND(LEN(TRIM(R4))=9,RIGHT(UPPER(R4),1)=MID("TRWAGMYFPDXBNJZSQVHLCKE",MOD(VALUE(SUBSTITUTE(SUBSTITUTE(SUBSTITUTE(LEFT(UPPER(R4),1),"X","0"),"Y","1"),"Z","2") &amp; MID(UPPER(R4),2,7)),23)+1,1)),LEN(R4)&lt;=20)</formula1>
    </dataValidation>
  </dataValidations>
  <pageMargins left="0.70866141732283472" right="0.70866141732283472" top="0.74803149606299213" bottom="0.74803149606299213" header="0.31496062992125984" footer="0.31496062992125984"/>
  <pageSetup paperSize="8" scale="2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A6D9041-72AE-49F1-B24E-6F4F93728E86}">
            <xm:f>OR(EXPEDIDAS_INGRESOS!$C1="C",EXPEDIDAS_INGRESOS!$C1="D")</xm:f>
            <x14:dxf>
              <fill>
                <patternFill>
                  <bgColor theme="0" tint="-0.24994659260841701"/>
                </patternFill>
              </fill>
            </x14:dxf>
          </x14:cfRule>
          <xm:sqref>D1:D103 G1:G103</xm:sqref>
        </x14:conditionalFormatting>
        <x14:conditionalFormatting xmlns:xm="http://schemas.microsoft.com/office/excel/2006/main">
          <x14:cfRule type="expression" priority="409" id="{2A6D9041-72AE-49F1-B24E-6F4F93728E86}">
            <xm:f>OR(EXPEDIDAS_INGRESOS!$C998780="C",EXPEDIDAS_INGRESOS!$C998780="D")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D104:D1048576 G104:G1048576</xm:sqref>
        </x14:conditionalFormatting>
        <x14:conditionalFormatting xmlns:xm="http://schemas.microsoft.com/office/excel/2006/main">
          <x14:cfRule type="expression" priority="18" id="{2BF9D954-3538-46F1-B38F-C4DF3AC3638F}">
            <xm:f>RECIBIDAS_GASTOS!$F4="SF"</xm:f>
            <x14:dxf>
              <fill>
                <patternFill>
                  <bgColor theme="0" tint="-0.24994659260841701"/>
                </patternFill>
              </fill>
            </x14:dxf>
          </x14:cfRule>
          <xm:sqref>P4:P103</xm:sqref>
        </x14:conditionalFormatting>
        <x14:conditionalFormatting xmlns:xm="http://schemas.microsoft.com/office/excel/2006/main">
          <x14:cfRule type="expression" priority="19" id="{59624787-255C-46BD-B98F-C94A8B7991B6}">
            <xm:f>OR(RECIBIDAS_GASTOS!$F1="SF",AND(RECIBIDAS_GASTOS!$P1="02",RECIBIDAS_GASTOS!$P1&lt;&gt;""))</xm:f>
            <x14:dxf>
              <fill>
                <patternFill>
                  <bgColor theme="0" tint="-0.24994659260841701"/>
                </patternFill>
              </fill>
            </x14:dxf>
          </x14:cfRule>
          <xm:sqref>Q1:Q103</xm:sqref>
        </x14:conditionalFormatting>
        <x14:conditionalFormatting xmlns:xm="http://schemas.microsoft.com/office/excel/2006/main">
          <x14:cfRule type="expression" priority="445" id="{59624787-255C-46BD-B98F-C94A8B7991B6}">
            <xm:f>OR(RECIBIDAS_GASTOS!$F998780="SF",AND(RECIBIDAS_GASTOS!$P998780="02",RECIBIDAS_GASTOS!$P998780&lt;&gt;""))</xm:f>
            <x14:dxf>
              <fill>
                <patternFill>
                  <bgColor theme="0" tint="-0.24994659260841701"/>
                </patternFill>
              </fill>
            </x14:dxf>
          </x14:cfRule>
          <xm:sqref>Q104:Q1048576</xm:sqref>
        </x14:conditionalFormatting>
        <x14:conditionalFormatting xmlns:xm="http://schemas.microsoft.com/office/excel/2006/main">
          <x14:cfRule type="expression" priority="17" id="{2716CBF9-5666-44DE-B539-D4B653A1CCC3}">
            <xm:f>EXPEDIDAS_INGRESOS!$F1="F2"</xm:f>
            <x14:dxf>
              <fill>
                <patternFill>
                  <bgColor theme="0" tint="-0.24994659260841701"/>
                </patternFill>
              </fill>
            </x14:dxf>
          </x14:cfRule>
          <xm:sqref>R1:R103</xm:sqref>
        </x14:conditionalFormatting>
        <x14:conditionalFormatting xmlns:xm="http://schemas.microsoft.com/office/excel/2006/main">
          <x14:cfRule type="expression" priority="413" id="{2716CBF9-5666-44DE-B539-D4B653A1CCC3}">
            <xm:f>EXPEDIDAS_INGRESOS!$F998780="F2"</xm:f>
            <x14:dxf>
              <fill>
                <patternFill>
                  <bgColor theme="0" tint="-0.24994659260841701"/>
                </patternFill>
              </fill>
            </x14:dxf>
          </x14:cfRule>
          <xm:sqref>R104:R1048576</xm:sqref>
        </x14:conditionalFormatting>
        <x14:conditionalFormatting xmlns:xm="http://schemas.microsoft.com/office/excel/2006/main">
          <x14:cfRule type="expression" priority="16" id="{3E537FBE-0C79-4E54-A1B2-96C1D946C8D8}">
            <xm:f>OR(RECIBIDAS_GASTOS!$T1="02",RECIBIDAS_GASTOS!$T1="08")</xm:f>
            <x14:dxf>
              <fill>
                <patternFill>
                  <bgColor theme="0" tint="-0.24994659260841701"/>
                </patternFill>
              </fill>
            </x14:dxf>
          </x14:cfRule>
          <xm:sqref>U1:U103</xm:sqref>
        </x14:conditionalFormatting>
        <x14:conditionalFormatting xmlns:xm="http://schemas.microsoft.com/office/excel/2006/main">
          <x14:cfRule type="expression" priority="447" id="{3E537FBE-0C79-4E54-A1B2-96C1D946C8D8}">
            <xm:f>OR(RECIBIDAS_GASTOS!$T998780="02",RECIBIDAS_GASTOS!$T998780="08")</xm:f>
            <x14:dxf>
              <fill>
                <patternFill>
                  <bgColor theme="0" tint="-0.24994659260841701"/>
                </patternFill>
              </fill>
            </x14:dxf>
          </x14:cfRule>
          <xm:sqref>U104:U1048576</xm:sqref>
        </x14:conditionalFormatting>
        <x14:conditionalFormatting xmlns:xm="http://schemas.microsoft.com/office/excel/2006/main">
          <x14:cfRule type="expression" priority="15" id="{1E4F7D55-B6A4-479D-A4D2-EA0C45776421}">
            <xm:f>OR(RECIBIDAS_GASTOS!$T1="07",RECIBIDAS_GASTOS!$T1="08",RECIBIDAS_GASTOS!$T1="09",RECIBIDAS_GASTOS!$F1="F5",RECIBIDAS_GASTOS!$F1="LC")</xm:f>
            <x14:dxf>
              <fill>
                <patternFill>
                  <bgColor theme="0" tint="-0.24994659260841701"/>
                </patternFill>
              </fill>
            </x14:dxf>
          </x14:cfRule>
          <xm:sqref>V1:V103</xm:sqref>
        </x14:conditionalFormatting>
        <x14:conditionalFormatting xmlns:xm="http://schemas.microsoft.com/office/excel/2006/main">
          <x14:cfRule type="expression" priority="449" id="{1E4F7D55-B6A4-479D-A4D2-EA0C45776421}">
            <xm:f>OR(RECIBIDAS_GASTOS!$T998780="07",RECIBIDAS_GASTOS!$T998780="08",RECIBIDAS_GASTOS!$T998780="09",RECIBIDAS_GASTOS!$F998780="F5",RECIBIDAS_GASTOS!$F998780="LC")</xm:f>
            <x14:dxf>
              <fill>
                <patternFill>
                  <bgColor theme="0" tint="-0.24994659260841701"/>
                </patternFill>
              </fill>
            </x14:dxf>
          </x14:cfRule>
          <xm:sqref>V104:V1048576</xm:sqref>
        </x14:conditionalFormatting>
        <x14:conditionalFormatting xmlns:xm="http://schemas.microsoft.com/office/excel/2006/main">
          <x14:cfRule type="expression" priority="14" id="{E446DA81-16CC-43A2-8456-E17CEAAA89E9}">
            <xm:f>AND(RECIBIDAS_GASTOS!$X1&lt;&gt;"",RECIBIDAS_GASTOS!$Y1&lt;&gt;"")</xm:f>
            <x14:dxf>
              <fill>
                <patternFill>
                  <bgColor theme="0" tint="-0.24994659260841701"/>
                </patternFill>
              </fill>
            </x14:dxf>
          </x14:cfRule>
          <xm:sqref>W1:W103</xm:sqref>
        </x14:conditionalFormatting>
        <x14:conditionalFormatting xmlns:xm="http://schemas.microsoft.com/office/excel/2006/main">
          <x14:cfRule type="expression" priority="451" id="{E446DA81-16CC-43A2-8456-E17CEAAA89E9}">
            <xm:f>AND(RECIBIDAS_GASTOS!$X998780&lt;&gt;"",RECIBIDAS_GASTOS!$Y998780&lt;&gt;"")</xm:f>
            <x14:dxf>
              <fill>
                <patternFill>
                  <bgColor theme="0" tint="-0.24994659260841701"/>
                </patternFill>
              </fill>
            </x14:dxf>
          </x14:cfRule>
          <xm:sqref>W104:W1048576</xm:sqref>
        </x14:conditionalFormatting>
        <x14:conditionalFormatting xmlns:xm="http://schemas.microsoft.com/office/excel/2006/main">
          <x14:cfRule type="expression" priority="12" id="{40735D24-EDC9-444F-BCC5-A15531567C48}">
            <xm:f>EXPEDIDAS_INGRESOS!$S1="S2"</xm:f>
            <x14:dxf>
              <fill>
                <patternFill>
                  <bgColor theme="0" tint="-0.24994659260841701"/>
                </patternFill>
              </fill>
            </x14:dxf>
          </x14:cfRule>
          <xm:sqref>AB1:AB103</xm:sqref>
        </x14:conditionalFormatting>
        <x14:conditionalFormatting xmlns:xm="http://schemas.microsoft.com/office/excel/2006/main">
          <x14:cfRule type="expression" priority="415" id="{40735D24-EDC9-444F-BCC5-A15531567C48}">
            <xm:f>EXPEDIDAS_INGRESOS!$S998780="S2"</xm:f>
            <x14:dxf>
              <fill>
                <patternFill>
                  <bgColor theme="0" tint="-0.24994659260841701"/>
                </patternFill>
              </fill>
            </x14:dxf>
          </x14:cfRule>
          <xm:sqref>AB104:AB1048576</xm:sqref>
        </x14:conditionalFormatting>
        <x14:conditionalFormatting xmlns:xm="http://schemas.microsoft.com/office/excel/2006/main">
          <x14:cfRule type="expression" priority="13" id="{BAD40A82-AD95-4522-BA1F-90FAECB497E7}">
            <xm:f>OR(RECIBIDAS_GASTOS!$T1="03",RECIBIDAS_GASTOS!$T1="05")</xm:f>
            <x14:dxf>
              <fill>
                <patternFill>
                  <bgColor theme="0" tint="-0.24994659260841701"/>
                </patternFill>
              </fill>
            </x14:dxf>
          </x14:cfRule>
          <xm:sqref>AD1:AD103</xm:sqref>
        </x14:conditionalFormatting>
        <x14:conditionalFormatting xmlns:xm="http://schemas.microsoft.com/office/excel/2006/main">
          <x14:cfRule type="expression" priority="453" id="{BAD40A82-AD95-4522-BA1F-90FAECB497E7}">
            <xm:f>OR(RECIBIDAS_GASTOS!$T998780="03",RECIBIDAS_GASTOS!$T998780="05")</xm:f>
            <x14:dxf>
              <fill>
                <patternFill>
                  <bgColor theme="0" tint="-0.24994659260841701"/>
                </patternFill>
              </fill>
            </x14:dxf>
          </x14:cfRule>
          <xm:sqref>AD104:AD1048576</xm:sqref>
        </x14:conditionalFormatting>
        <x14:conditionalFormatting xmlns:xm="http://schemas.microsoft.com/office/excel/2006/main">
          <x14:cfRule type="expression" priority="11" id="{C8BB2CD6-C59F-453C-B2E7-702560EB4258}">
            <xm:f>RECIBIDAS_GASTOS!$AN1*1&gt;3</xm:f>
            <x14:dxf>
              <fill>
                <patternFill>
                  <bgColor theme="0" tint="-0.24994659260841701"/>
                </patternFill>
              </fill>
            </x14:dxf>
          </x14:cfRule>
          <xm:sqref>AO1:AO103</xm:sqref>
        </x14:conditionalFormatting>
        <x14:conditionalFormatting xmlns:xm="http://schemas.microsoft.com/office/excel/2006/main">
          <x14:cfRule type="expression" priority="455" id="{C8BB2CD6-C59F-453C-B2E7-702560EB4258}">
            <xm:f>RECIBIDAS_GASTOS!$AN998780*1&gt;3</xm:f>
            <x14:dxf>
              <fill>
                <patternFill>
                  <bgColor theme="0" tint="-0.24994659260841701"/>
                </patternFill>
              </fill>
            </x14:dxf>
          </x14:cfRule>
          <xm:sqref>AO104:AO1048576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Fecha de expedición incorrecta" error="La fecha de expedición es mayor a la fecha de operación o mayor a la fecha de hoy" promptTitle="DD/MM/YYYY" prompt="Obligatorio si es distinta a la fecha de expedición. _x000a_Esta fecha no puede ser superior a la fecha en la que se presenta el libro de registro en la sede electrónica de la Agencia Tributaria" xr:uid="{00000000-0002-0000-0200-000019000000}">
          <x14:formula1>
            <xm:f>IF(OR(EXPEDIDAS_INGRESOS!S4="14",EXPEDIDAS_INGRESOS!S4="15"),J4&lt;I4,J4&lt;=TODAY())</xm:f>
          </x14:formula1>
          <xm:sqref>J4:J103</xm:sqref>
        </x14:dataValidation>
        <x14:dataValidation type="list" errorStyle="information" allowBlank="1" showInputMessage="1" showErrorMessage="1" errorTitle="Tipo de actividad incorrecto" error="Tipo de actividad incorrecto" xr:uid="{00000000-0002-0000-0200-00001A000000}">
          <x14:formula1>
            <xm:f>INDIRECT(RECIBIDAS_GASTOS!$C4)</xm:f>
          </x14:formula1>
          <xm:sqref>D4:D103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AP103"/>
  <sheetViews>
    <sheetView showGridLines="0" zoomScaleNormal="100" workbookViewId="0">
      <selection activeCell="C11" sqref="C11"/>
    </sheetView>
  </sheetViews>
  <sheetFormatPr baseColWidth="10" defaultRowHeight="15" x14ac:dyDescent="0.25"/>
  <cols>
    <col min="1" max="1" width="8" style="18" bestFit="1" customWidth="1"/>
    <col min="2" max="2" width="7.28515625" style="18" bestFit="1" customWidth="1"/>
    <col min="3" max="3" width="50.85546875" style="18" customWidth="1"/>
    <col min="4" max="4" width="46.85546875" style="18" customWidth="1"/>
    <col min="5" max="5" width="16.28515625" style="18" customWidth="1"/>
    <col min="6" max="6" width="40.7109375" style="18" bestFit="1" customWidth="1"/>
    <col min="7" max="7" width="11.140625" style="18" bestFit="1" customWidth="1"/>
    <col min="8" max="8" width="43.85546875" style="18" customWidth="1"/>
    <col min="9" max="9" width="11" style="18" bestFit="1" customWidth="1"/>
    <col min="10" max="10" width="15.140625" style="18" bestFit="1" customWidth="1"/>
    <col min="11" max="11" width="10.7109375" style="18" bestFit="1" customWidth="1"/>
    <col min="12" max="12" width="26.28515625" style="18" customWidth="1"/>
    <col min="13" max="13" width="12.28515625" style="18" bestFit="1" customWidth="1"/>
    <col min="14" max="14" width="16.85546875" style="18" bestFit="1" customWidth="1"/>
    <col min="15" max="15" width="14.85546875" style="18" bestFit="1" customWidth="1"/>
    <col min="16" max="16" width="15.85546875" style="18" bestFit="1" customWidth="1"/>
    <col min="17" max="17" width="9.140625" style="18" bestFit="1" customWidth="1"/>
    <col min="18" max="18" width="11.140625" style="18" bestFit="1" customWidth="1"/>
    <col min="19" max="19" width="13.42578125" style="18" bestFit="1" customWidth="1"/>
    <col min="20" max="20" width="11.7109375" style="18" bestFit="1" customWidth="1"/>
    <col min="21" max="21" width="10.5703125" style="18" bestFit="1" customWidth="1"/>
    <col min="22" max="22" width="21.28515625" style="18" bestFit="1" customWidth="1"/>
    <col min="23" max="23" width="58.85546875" style="18" customWidth="1"/>
    <col min="24" max="24" width="10.5703125" style="18" bestFit="1" customWidth="1"/>
    <col min="25" max="25" width="11.85546875" style="18" bestFit="1" customWidth="1"/>
    <col min="26" max="26" width="41.85546875" style="18" bestFit="1" customWidth="1"/>
    <col min="27" max="27" width="13.42578125" style="18" bestFit="1" customWidth="1"/>
    <col min="28" max="28" width="10" style="18" bestFit="1" customWidth="1"/>
    <col min="29" max="29" width="15.7109375" style="18" bestFit="1" customWidth="1"/>
    <col min="30" max="30" width="14.140625" style="18" bestFit="1" customWidth="1"/>
    <col min="31" max="31" width="15.7109375" style="18" bestFit="1" customWidth="1"/>
    <col min="32" max="32" width="14.140625" style="18" bestFit="1" customWidth="1"/>
    <col min="33" max="33" width="17" style="18" bestFit="1" customWidth="1"/>
    <col min="34" max="34" width="11" style="18" bestFit="1" customWidth="1"/>
    <col min="35" max="35" width="36.7109375" style="18" bestFit="1" customWidth="1"/>
    <col min="36" max="36" width="5.28515625" style="18" bestFit="1" customWidth="1"/>
    <col min="37" max="37" width="7.42578125" style="18" bestFit="1" customWidth="1"/>
    <col min="38" max="38" width="11.7109375" style="18" bestFit="1" customWidth="1"/>
    <col min="39" max="39" width="25.42578125" style="18" bestFit="1" customWidth="1"/>
    <col min="40" max="40" width="65.28515625" style="18" customWidth="1"/>
    <col min="41" max="41" width="17.85546875" style="18" bestFit="1" customWidth="1"/>
    <col min="42" max="42" width="16.7109375" style="18" bestFit="1" customWidth="1"/>
  </cols>
  <sheetData>
    <row r="1" spans="1:42" s="29" customFormat="1" ht="12" x14ac:dyDescent="0.25">
      <c r="A1" s="73" t="s">
        <v>56</v>
      </c>
      <c r="B1" s="88"/>
      <c r="C1" s="73" t="s">
        <v>57</v>
      </c>
      <c r="D1" s="73"/>
      <c r="E1" s="89"/>
      <c r="F1" s="79" t="s">
        <v>70</v>
      </c>
      <c r="G1" s="73" t="s">
        <v>71</v>
      </c>
      <c r="H1" s="73"/>
      <c r="I1" s="79" t="s">
        <v>37</v>
      </c>
      <c r="J1" s="79" t="s">
        <v>72</v>
      </c>
      <c r="K1" s="79" t="s">
        <v>73</v>
      </c>
      <c r="L1" s="79" t="s">
        <v>74</v>
      </c>
      <c r="M1" s="79" t="s">
        <v>75</v>
      </c>
      <c r="N1" s="85" t="s">
        <v>76</v>
      </c>
      <c r="O1" s="85"/>
      <c r="P1" s="85"/>
      <c r="Q1" s="85"/>
      <c r="R1" s="79" t="s">
        <v>19</v>
      </c>
      <c r="S1" s="73" t="s">
        <v>22</v>
      </c>
      <c r="T1" s="73"/>
      <c r="U1" s="79" t="s">
        <v>77</v>
      </c>
      <c r="V1" s="79" t="s">
        <v>78</v>
      </c>
      <c r="W1" s="73" t="s">
        <v>79</v>
      </c>
      <c r="X1" s="73"/>
      <c r="Y1" s="73"/>
      <c r="Z1" s="79" t="s">
        <v>23</v>
      </c>
      <c r="AA1" s="110" t="s">
        <v>42</v>
      </c>
      <c r="AB1" s="110"/>
      <c r="AC1" s="110"/>
      <c r="AD1" s="110"/>
      <c r="AE1" s="73" t="s">
        <v>80</v>
      </c>
      <c r="AF1" s="73"/>
      <c r="AG1" s="111"/>
      <c r="AH1" s="73" t="s">
        <v>38</v>
      </c>
      <c r="AI1" s="73"/>
      <c r="AJ1" s="73" t="s">
        <v>82</v>
      </c>
      <c r="AK1" s="73"/>
      <c r="AL1" s="88"/>
      <c r="AM1" s="79" t="s">
        <v>69</v>
      </c>
      <c r="AN1" s="73" t="s">
        <v>93</v>
      </c>
      <c r="AO1" s="73"/>
      <c r="AP1" s="77" t="s">
        <v>209</v>
      </c>
    </row>
    <row r="2" spans="1:42" s="29" customFormat="1" ht="12" x14ac:dyDescent="0.25">
      <c r="A2" s="77" t="s">
        <v>31</v>
      </c>
      <c r="B2" s="75" t="s">
        <v>32</v>
      </c>
      <c r="C2" s="74" t="s">
        <v>55</v>
      </c>
      <c r="D2" s="75" t="s">
        <v>18</v>
      </c>
      <c r="E2" s="74" t="s">
        <v>52</v>
      </c>
      <c r="F2" s="80"/>
      <c r="G2" s="77" t="s">
        <v>44</v>
      </c>
      <c r="H2" s="77" t="s">
        <v>45</v>
      </c>
      <c r="I2" s="80"/>
      <c r="J2" s="80"/>
      <c r="K2" s="80"/>
      <c r="L2" s="80"/>
      <c r="M2" s="80"/>
      <c r="N2" s="77" t="s">
        <v>35</v>
      </c>
      <c r="O2" s="77" t="s">
        <v>48</v>
      </c>
      <c r="P2" s="77" t="s">
        <v>36</v>
      </c>
      <c r="Q2" s="106" t="s">
        <v>49</v>
      </c>
      <c r="R2" s="80"/>
      <c r="S2" s="77" t="s">
        <v>28</v>
      </c>
      <c r="T2" s="77" t="s">
        <v>30</v>
      </c>
      <c r="U2" s="80"/>
      <c r="V2" s="80"/>
      <c r="W2" s="75" t="s">
        <v>18</v>
      </c>
      <c r="X2" s="77" t="s">
        <v>8</v>
      </c>
      <c r="Y2" s="77" t="s">
        <v>11</v>
      </c>
      <c r="Z2" s="80"/>
      <c r="AA2" s="108" t="s">
        <v>40</v>
      </c>
      <c r="AB2" s="108" t="s">
        <v>41</v>
      </c>
      <c r="AC2" s="108" t="s">
        <v>43</v>
      </c>
      <c r="AD2" s="108" t="s">
        <v>27</v>
      </c>
      <c r="AE2" s="77" t="s">
        <v>43</v>
      </c>
      <c r="AF2" s="77" t="s">
        <v>27</v>
      </c>
      <c r="AG2" s="77" t="s">
        <v>47</v>
      </c>
      <c r="AH2" s="77" t="s">
        <v>13</v>
      </c>
      <c r="AI2" s="77" t="s">
        <v>81</v>
      </c>
      <c r="AJ2" s="77" t="s">
        <v>20</v>
      </c>
      <c r="AK2" s="77" t="s">
        <v>21</v>
      </c>
      <c r="AL2" s="77" t="s">
        <v>30</v>
      </c>
      <c r="AM2" s="80"/>
      <c r="AN2" s="79" t="s">
        <v>91</v>
      </c>
      <c r="AO2" s="77" t="s">
        <v>92</v>
      </c>
      <c r="AP2" s="87"/>
    </row>
    <row r="3" spans="1:42" s="30" customFormat="1" ht="12" x14ac:dyDescent="0.25">
      <c r="A3" s="78"/>
      <c r="B3" s="75"/>
      <c r="C3" s="74"/>
      <c r="D3" s="75"/>
      <c r="E3" s="74"/>
      <c r="F3" s="81"/>
      <c r="G3" s="78"/>
      <c r="H3" s="78"/>
      <c r="I3" s="81"/>
      <c r="J3" s="81"/>
      <c r="K3" s="81"/>
      <c r="L3" s="81"/>
      <c r="M3" s="81"/>
      <c r="N3" s="78"/>
      <c r="O3" s="78"/>
      <c r="P3" s="78"/>
      <c r="Q3" s="107"/>
      <c r="R3" s="81"/>
      <c r="S3" s="78"/>
      <c r="T3" s="78"/>
      <c r="U3" s="81"/>
      <c r="V3" s="81"/>
      <c r="W3" s="75"/>
      <c r="X3" s="78"/>
      <c r="Y3" s="78"/>
      <c r="Z3" s="81"/>
      <c r="AA3" s="109"/>
      <c r="AB3" s="109"/>
      <c r="AC3" s="109"/>
      <c r="AD3" s="109"/>
      <c r="AE3" s="78"/>
      <c r="AF3" s="78"/>
      <c r="AG3" s="78"/>
      <c r="AH3" s="78"/>
      <c r="AI3" s="78"/>
      <c r="AJ3" s="78"/>
      <c r="AK3" s="78"/>
      <c r="AL3" s="78"/>
      <c r="AM3" s="81"/>
      <c r="AN3" s="81"/>
      <c r="AO3" s="78"/>
      <c r="AP3" s="78"/>
    </row>
    <row r="4" spans="1:42" s="27" customFormat="1" ht="13.5" x14ac:dyDescent="0.25">
      <c r="A4" s="40"/>
      <c r="B4" s="41"/>
      <c r="C4" s="42"/>
      <c r="D4" s="43"/>
      <c r="E4" s="44"/>
      <c r="F4" s="43"/>
      <c r="G4" s="47"/>
      <c r="H4" s="47"/>
      <c r="I4" s="46"/>
      <c r="J4" s="49"/>
      <c r="K4" s="49"/>
      <c r="L4" s="43"/>
      <c r="M4" s="49"/>
      <c r="N4" s="49"/>
      <c r="O4" s="49"/>
      <c r="P4" s="49"/>
      <c r="Q4" s="49"/>
      <c r="R4" s="46"/>
      <c r="S4" s="47"/>
      <c r="T4" s="47"/>
      <c r="U4" s="47"/>
      <c r="V4" s="47"/>
      <c r="W4" s="41"/>
      <c r="X4" s="47"/>
      <c r="Y4" s="47"/>
      <c r="Z4" s="47"/>
      <c r="AA4" s="49"/>
      <c r="AB4" s="49"/>
      <c r="AC4" s="49"/>
      <c r="AD4" s="49"/>
      <c r="AE4" s="49"/>
      <c r="AF4" s="49"/>
      <c r="AG4" s="49"/>
      <c r="AH4" s="46"/>
      <c r="AI4" s="41"/>
      <c r="AJ4" s="47"/>
      <c r="AK4" s="47"/>
      <c r="AL4" s="47"/>
      <c r="AM4" s="47"/>
      <c r="AN4" s="41"/>
      <c r="AO4" s="47"/>
      <c r="AP4" s="47"/>
    </row>
    <row r="5" spans="1:42" s="18" customFormat="1" x14ac:dyDescent="0.25">
      <c r="A5" s="40"/>
      <c r="B5" s="41"/>
      <c r="C5" s="42"/>
      <c r="D5" s="43"/>
      <c r="E5" s="44"/>
      <c r="F5" s="43"/>
      <c r="G5" s="47"/>
      <c r="H5" s="47"/>
      <c r="I5" s="46"/>
      <c r="J5" s="49"/>
      <c r="K5" s="49"/>
      <c r="L5" s="43"/>
      <c r="M5" s="49"/>
      <c r="N5" s="49"/>
      <c r="O5" s="49"/>
      <c r="P5" s="49"/>
      <c r="Q5" s="49"/>
      <c r="R5" s="46"/>
      <c r="S5" s="47"/>
      <c r="T5" s="47"/>
      <c r="U5" s="47"/>
      <c r="V5" s="47"/>
      <c r="W5" s="41"/>
      <c r="X5" s="47"/>
      <c r="Y5" s="47"/>
      <c r="Z5" s="47"/>
      <c r="AA5" s="49"/>
      <c r="AB5" s="49"/>
      <c r="AC5" s="49"/>
      <c r="AD5" s="49"/>
      <c r="AE5" s="49"/>
      <c r="AF5" s="49"/>
      <c r="AG5" s="49"/>
      <c r="AH5" s="46"/>
      <c r="AI5" s="41"/>
      <c r="AJ5" s="47"/>
      <c r="AK5" s="47"/>
      <c r="AL5" s="47"/>
      <c r="AM5" s="47"/>
      <c r="AN5" s="41"/>
      <c r="AO5" s="47"/>
      <c r="AP5" s="47"/>
    </row>
    <row r="6" spans="1:42" s="18" customFormat="1" x14ac:dyDescent="0.25">
      <c r="A6" s="40"/>
      <c r="B6" s="41"/>
      <c r="C6" s="42"/>
      <c r="D6" s="43"/>
      <c r="E6" s="44"/>
      <c r="F6" s="43"/>
      <c r="G6" s="47"/>
      <c r="H6" s="47"/>
      <c r="I6" s="46"/>
      <c r="J6" s="49"/>
      <c r="K6" s="49"/>
      <c r="L6" s="43"/>
      <c r="M6" s="49"/>
      <c r="N6" s="49"/>
      <c r="O6" s="49"/>
      <c r="P6" s="49"/>
      <c r="Q6" s="49"/>
      <c r="R6" s="46"/>
      <c r="S6" s="47"/>
      <c r="T6" s="47"/>
      <c r="U6" s="47"/>
      <c r="V6" s="47"/>
      <c r="W6" s="41"/>
      <c r="X6" s="47"/>
      <c r="Y6" s="47"/>
      <c r="Z6" s="47"/>
      <c r="AA6" s="49"/>
      <c r="AB6" s="49"/>
      <c r="AC6" s="49"/>
      <c r="AD6" s="49"/>
      <c r="AE6" s="49"/>
      <c r="AF6" s="49"/>
      <c r="AG6" s="49"/>
      <c r="AH6" s="46"/>
      <c r="AI6" s="41"/>
      <c r="AJ6" s="47"/>
      <c r="AK6" s="47"/>
      <c r="AL6" s="47"/>
      <c r="AM6" s="47"/>
      <c r="AN6" s="41"/>
      <c r="AO6" s="47"/>
      <c r="AP6" s="47"/>
    </row>
    <row r="7" spans="1:42" s="18" customFormat="1" x14ac:dyDescent="0.25">
      <c r="A7" s="40"/>
      <c r="B7" s="41"/>
      <c r="C7" s="42"/>
      <c r="D7" s="43"/>
      <c r="E7" s="44"/>
      <c r="F7" s="43"/>
      <c r="G7" s="47"/>
      <c r="H7" s="47"/>
      <c r="I7" s="46"/>
      <c r="J7" s="49"/>
      <c r="K7" s="49"/>
      <c r="L7" s="43"/>
      <c r="M7" s="49"/>
      <c r="N7" s="49"/>
      <c r="O7" s="49"/>
      <c r="P7" s="49"/>
      <c r="Q7" s="49"/>
      <c r="R7" s="46"/>
      <c r="S7" s="47"/>
      <c r="T7" s="47"/>
      <c r="U7" s="47"/>
      <c r="V7" s="47"/>
      <c r="W7" s="41"/>
      <c r="X7" s="47"/>
      <c r="Y7" s="47"/>
      <c r="Z7" s="47"/>
      <c r="AA7" s="49"/>
      <c r="AB7" s="49"/>
      <c r="AC7" s="49"/>
      <c r="AD7" s="49"/>
      <c r="AE7" s="49"/>
      <c r="AF7" s="49"/>
      <c r="AG7" s="49"/>
      <c r="AH7" s="46"/>
      <c r="AI7" s="41"/>
      <c r="AJ7" s="47"/>
      <c r="AK7" s="47"/>
      <c r="AL7" s="47"/>
      <c r="AM7" s="47"/>
      <c r="AN7" s="41"/>
      <c r="AO7" s="47"/>
      <c r="AP7" s="47"/>
    </row>
    <row r="8" spans="1:42" s="18" customFormat="1" x14ac:dyDescent="0.25">
      <c r="A8" s="40"/>
      <c r="B8" s="41"/>
      <c r="C8" s="42"/>
      <c r="D8" s="43"/>
      <c r="E8" s="44"/>
      <c r="F8" s="43"/>
      <c r="G8" s="47"/>
      <c r="H8" s="47"/>
      <c r="I8" s="46"/>
      <c r="J8" s="49"/>
      <c r="K8" s="49"/>
      <c r="L8" s="43"/>
      <c r="M8" s="49"/>
      <c r="N8" s="49"/>
      <c r="O8" s="49"/>
      <c r="P8" s="49"/>
      <c r="Q8" s="49"/>
      <c r="R8" s="46"/>
      <c r="S8" s="47"/>
      <c r="T8" s="47"/>
      <c r="U8" s="47"/>
      <c r="V8" s="47"/>
      <c r="W8" s="41"/>
      <c r="X8" s="47"/>
      <c r="Y8" s="47"/>
      <c r="Z8" s="47"/>
      <c r="AA8" s="49"/>
      <c r="AB8" s="49"/>
      <c r="AC8" s="49"/>
      <c r="AD8" s="49"/>
      <c r="AE8" s="49"/>
      <c r="AF8" s="49"/>
      <c r="AG8" s="49"/>
      <c r="AH8" s="46"/>
      <c r="AI8" s="41"/>
      <c r="AJ8" s="47"/>
      <c r="AK8" s="47"/>
      <c r="AL8" s="47"/>
      <c r="AM8" s="47"/>
      <c r="AN8" s="41"/>
      <c r="AO8" s="47"/>
      <c r="AP8" s="47"/>
    </row>
    <row r="9" spans="1:42" s="18" customFormat="1" x14ac:dyDescent="0.25">
      <c r="A9" s="40"/>
      <c r="B9" s="41"/>
      <c r="C9" s="42"/>
      <c r="D9" s="43"/>
      <c r="E9" s="44"/>
      <c r="F9" s="43"/>
      <c r="G9" s="47"/>
      <c r="H9" s="47"/>
      <c r="I9" s="46"/>
      <c r="J9" s="49"/>
      <c r="K9" s="49"/>
      <c r="L9" s="43"/>
      <c r="M9" s="49"/>
      <c r="N9" s="49"/>
      <c r="O9" s="49"/>
      <c r="P9" s="49"/>
      <c r="Q9" s="49"/>
      <c r="R9" s="46"/>
      <c r="S9" s="47"/>
      <c r="T9" s="47"/>
      <c r="U9" s="47"/>
      <c r="V9" s="47"/>
      <c r="W9" s="41"/>
      <c r="X9" s="47"/>
      <c r="Y9" s="47"/>
      <c r="Z9" s="47"/>
      <c r="AA9" s="49"/>
      <c r="AB9" s="49"/>
      <c r="AC9" s="49"/>
      <c r="AD9" s="49"/>
      <c r="AE9" s="49"/>
      <c r="AF9" s="49"/>
      <c r="AG9" s="49"/>
      <c r="AH9" s="46"/>
      <c r="AI9" s="41"/>
      <c r="AJ9" s="47"/>
      <c r="AK9" s="47"/>
      <c r="AL9" s="47"/>
      <c r="AM9" s="47"/>
      <c r="AN9" s="41"/>
      <c r="AO9" s="47"/>
      <c r="AP9" s="47"/>
    </row>
    <row r="10" spans="1:42" s="18" customFormat="1" x14ac:dyDescent="0.25">
      <c r="A10" s="40"/>
      <c r="B10" s="41"/>
      <c r="C10" s="42"/>
      <c r="D10" s="43"/>
      <c r="E10" s="44"/>
      <c r="F10" s="43"/>
      <c r="G10" s="47"/>
      <c r="H10" s="47"/>
      <c r="I10" s="46"/>
      <c r="J10" s="49"/>
      <c r="K10" s="49"/>
      <c r="L10" s="43"/>
      <c r="M10" s="49"/>
      <c r="N10" s="49"/>
      <c r="O10" s="49"/>
      <c r="P10" s="49"/>
      <c r="Q10" s="49"/>
      <c r="R10" s="46"/>
      <c r="S10" s="47"/>
      <c r="T10" s="47"/>
      <c r="U10" s="47"/>
      <c r="V10" s="47"/>
      <c r="W10" s="41"/>
      <c r="X10" s="47"/>
      <c r="Y10" s="47"/>
      <c r="Z10" s="47"/>
      <c r="AA10" s="49"/>
      <c r="AB10" s="49"/>
      <c r="AC10" s="49"/>
      <c r="AD10" s="49"/>
      <c r="AE10" s="49"/>
      <c r="AF10" s="49"/>
      <c r="AG10" s="49"/>
      <c r="AH10" s="46"/>
      <c r="AI10" s="41"/>
      <c r="AJ10" s="47"/>
      <c r="AK10" s="47"/>
      <c r="AL10" s="47"/>
      <c r="AM10" s="47"/>
      <c r="AN10" s="41"/>
      <c r="AO10" s="47"/>
      <c r="AP10" s="47"/>
    </row>
    <row r="11" spans="1:42" s="18" customFormat="1" x14ac:dyDescent="0.25">
      <c r="A11" s="40"/>
      <c r="B11" s="41"/>
      <c r="C11" s="42"/>
      <c r="D11" s="43"/>
      <c r="E11" s="44"/>
      <c r="F11" s="43"/>
      <c r="G11" s="47"/>
      <c r="H11" s="47"/>
      <c r="I11" s="46"/>
      <c r="J11" s="49"/>
      <c r="K11" s="49"/>
      <c r="L11" s="43"/>
      <c r="M11" s="49"/>
      <c r="N11" s="49"/>
      <c r="O11" s="49"/>
      <c r="P11" s="49"/>
      <c r="Q11" s="49"/>
      <c r="R11" s="46"/>
      <c r="S11" s="47"/>
      <c r="T11" s="47"/>
      <c r="U11" s="47"/>
      <c r="V11" s="47"/>
      <c r="W11" s="41"/>
      <c r="X11" s="47"/>
      <c r="Y11" s="47"/>
      <c r="Z11" s="47"/>
      <c r="AA11" s="49"/>
      <c r="AB11" s="49"/>
      <c r="AC11" s="49"/>
      <c r="AD11" s="49"/>
      <c r="AE11" s="49"/>
      <c r="AF11" s="49"/>
      <c r="AG11" s="49"/>
      <c r="AH11" s="46"/>
      <c r="AI11" s="41"/>
      <c r="AJ11" s="47"/>
      <c r="AK11" s="47"/>
      <c r="AL11" s="47"/>
      <c r="AM11" s="47"/>
      <c r="AN11" s="41"/>
      <c r="AO11" s="47"/>
      <c r="AP11" s="47"/>
    </row>
    <row r="12" spans="1:42" s="18" customFormat="1" x14ac:dyDescent="0.25">
      <c r="A12" s="40"/>
      <c r="B12" s="41"/>
      <c r="C12" s="42"/>
      <c r="D12" s="43"/>
      <c r="E12" s="44"/>
      <c r="F12" s="43"/>
      <c r="G12" s="47"/>
      <c r="H12" s="47"/>
      <c r="I12" s="46"/>
      <c r="J12" s="49"/>
      <c r="K12" s="49"/>
      <c r="L12" s="43"/>
      <c r="M12" s="49"/>
      <c r="N12" s="49"/>
      <c r="O12" s="49"/>
      <c r="P12" s="49"/>
      <c r="Q12" s="49"/>
      <c r="R12" s="46"/>
      <c r="S12" s="47"/>
      <c r="T12" s="47"/>
      <c r="U12" s="47"/>
      <c r="V12" s="47"/>
      <c r="W12" s="41"/>
      <c r="X12" s="47"/>
      <c r="Y12" s="47"/>
      <c r="Z12" s="47"/>
      <c r="AA12" s="49"/>
      <c r="AB12" s="49"/>
      <c r="AC12" s="49"/>
      <c r="AD12" s="49"/>
      <c r="AE12" s="49"/>
      <c r="AF12" s="49"/>
      <c r="AG12" s="49"/>
      <c r="AH12" s="46"/>
      <c r="AI12" s="41"/>
      <c r="AJ12" s="47"/>
      <c r="AK12" s="47"/>
      <c r="AL12" s="47"/>
      <c r="AM12" s="47"/>
      <c r="AN12" s="41"/>
      <c r="AO12" s="47"/>
      <c r="AP12" s="47"/>
    </row>
    <row r="13" spans="1:42" s="18" customFormat="1" x14ac:dyDescent="0.25">
      <c r="A13" s="40"/>
      <c r="B13" s="41"/>
      <c r="C13" s="42"/>
      <c r="D13" s="43"/>
      <c r="E13" s="44"/>
      <c r="F13" s="43"/>
      <c r="G13" s="47"/>
      <c r="H13" s="47"/>
      <c r="I13" s="46"/>
      <c r="J13" s="49"/>
      <c r="K13" s="49"/>
      <c r="L13" s="43"/>
      <c r="M13" s="49"/>
      <c r="N13" s="49"/>
      <c r="O13" s="49"/>
      <c r="P13" s="49"/>
      <c r="Q13" s="49"/>
      <c r="R13" s="46"/>
      <c r="S13" s="47"/>
      <c r="T13" s="47"/>
      <c r="U13" s="47"/>
      <c r="V13" s="47"/>
      <c r="W13" s="41"/>
      <c r="X13" s="47"/>
      <c r="Y13" s="47"/>
      <c r="Z13" s="47"/>
      <c r="AA13" s="49"/>
      <c r="AB13" s="49"/>
      <c r="AC13" s="49"/>
      <c r="AD13" s="49"/>
      <c r="AE13" s="49"/>
      <c r="AF13" s="49"/>
      <c r="AG13" s="49"/>
      <c r="AH13" s="46"/>
      <c r="AI13" s="41"/>
      <c r="AJ13" s="47"/>
      <c r="AK13" s="47"/>
      <c r="AL13" s="47"/>
      <c r="AM13" s="47"/>
      <c r="AN13" s="41"/>
      <c r="AO13" s="47"/>
      <c r="AP13" s="47"/>
    </row>
    <row r="14" spans="1:42" s="18" customFormat="1" x14ac:dyDescent="0.25">
      <c r="A14" s="40"/>
      <c r="B14" s="41"/>
      <c r="C14" s="42"/>
      <c r="D14" s="43"/>
      <c r="E14" s="44"/>
      <c r="F14" s="43"/>
      <c r="G14" s="47"/>
      <c r="H14" s="47"/>
      <c r="I14" s="46"/>
      <c r="J14" s="49"/>
      <c r="K14" s="49"/>
      <c r="L14" s="43"/>
      <c r="M14" s="49"/>
      <c r="N14" s="49"/>
      <c r="O14" s="49"/>
      <c r="P14" s="49"/>
      <c r="Q14" s="49"/>
      <c r="R14" s="46"/>
      <c r="S14" s="47"/>
      <c r="T14" s="47"/>
      <c r="U14" s="47"/>
      <c r="V14" s="47"/>
      <c r="W14" s="41"/>
      <c r="X14" s="47"/>
      <c r="Y14" s="47"/>
      <c r="Z14" s="47"/>
      <c r="AA14" s="49"/>
      <c r="AB14" s="49"/>
      <c r="AC14" s="49"/>
      <c r="AD14" s="49"/>
      <c r="AE14" s="49"/>
      <c r="AF14" s="49"/>
      <c r="AG14" s="49"/>
      <c r="AH14" s="46"/>
      <c r="AI14" s="41"/>
      <c r="AJ14" s="47"/>
      <c r="AK14" s="47"/>
      <c r="AL14" s="47"/>
      <c r="AM14" s="47"/>
      <c r="AN14" s="41"/>
      <c r="AO14" s="47"/>
      <c r="AP14" s="47"/>
    </row>
    <row r="15" spans="1:42" s="18" customFormat="1" x14ac:dyDescent="0.25">
      <c r="A15" s="40"/>
      <c r="B15" s="41"/>
      <c r="C15" s="42"/>
      <c r="D15" s="43"/>
      <c r="E15" s="44"/>
      <c r="F15" s="43"/>
      <c r="G15" s="47"/>
      <c r="H15" s="47"/>
      <c r="I15" s="46"/>
      <c r="J15" s="49"/>
      <c r="K15" s="49"/>
      <c r="L15" s="43"/>
      <c r="M15" s="49"/>
      <c r="N15" s="49"/>
      <c r="O15" s="49"/>
      <c r="P15" s="49"/>
      <c r="Q15" s="49"/>
      <c r="R15" s="46"/>
      <c r="S15" s="47"/>
      <c r="T15" s="47"/>
      <c r="U15" s="47"/>
      <c r="V15" s="47"/>
      <c r="W15" s="41"/>
      <c r="X15" s="47"/>
      <c r="Y15" s="47"/>
      <c r="Z15" s="47"/>
      <c r="AA15" s="49"/>
      <c r="AB15" s="49"/>
      <c r="AC15" s="49"/>
      <c r="AD15" s="49"/>
      <c r="AE15" s="49"/>
      <c r="AF15" s="49"/>
      <c r="AG15" s="49"/>
      <c r="AH15" s="46"/>
      <c r="AI15" s="41"/>
      <c r="AJ15" s="47"/>
      <c r="AK15" s="47"/>
      <c r="AL15" s="47"/>
      <c r="AM15" s="47"/>
      <c r="AN15" s="41"/>
      <c r="AO15" s="47"/>
      <c r="AP15" s="47"/>
    </row>
    <row r="16" spans="1:42" s="18" customFormat="1" x14ac:dyDescent="0.25">
      <c r="A16" s="40"/>
      <c r="B16" s="41"/>
      <c r="C16" s="42"/>
      <c r="D16" s="43"/>
      <c r="E16" s="44"/>
      <c r="F16" s="43"/>
      <c r="G16" s="47"/>
      <c r="H16" s="47"/>
      <c r="I16" s="46"/>
      <c r="J16" s="49"/>
      <c r="K16" s="49"/>
      <c r="L16" s="43"/>
      <c r="M16" s="49"/>
      <c r="N16" s="49"/>
      <c r="O16" s="49"/>
      <c r="P16" s="49"/>
      <c r="Q16" s="49"/>
      <c r="R16" s="46"/>
      <c r="S16" s="47"/>
      <c r="T16" s="47"/>
      <c r="U16" s="47"/>
      <c r="V16" s="47"/>
      <c r="W16" s="41"/>
      <c r="X16" s="47"/>
      <c r="Y16" s="47"/>
      <c r="Z16" s="47"/>
      <c r="AA16" s="49"/>
      <c r="AB16" s="49"/>
      <c r="AC16" s="49"/>
      <c r="AD16" s="49"/>
      <c r="AE16" s="49"/>
      <c r="AF16" s="49"/>
      <c r="AG16" s="49"/>
      <c r="AH16" s="46"/>
      <c r="AI16" s="41"/>
      <c r="AJ16" s="47"/>
      <c r="AK16" s="47"/>
      <c r="AL16" s="47"/>
      <c r="AM16" s="47"/>
      <c r="AN16" s="41"/>
      <c r="AO16" s="47"/>
      <c r="AP16" s="47"/>
    </row>
    <row r="17" spans="1:42" s="18" customFormat="1" x14ac:dyDescent="0.25">
      <c r="A17" s="40"/>
      <c r="B17" s="41"/>
      <c r="C17" s="42"/>
      <c r="D17" s="43"/>
      <c r="E17" s="44"/>
      <c r="F17" s="43"/>
      <c r="G17" s="47"/>
      <c r="H17" s="47"/>
      <c r="I17" s="46"/>
      <c r="J17" s="49"/>
      <c r="K17" s="49"/>
      <c r="L17" s="43"/>
      <c r="M17" s="49"/>
      <c r="N17" s="49"/>
      <c r="O17" s="49"/>
      <c r="P17" s="49"/>
      <c r="Q17" s="49"/>
      <c r="R17" s="46"/>
      <c r="S17" s="47"/>
      <c r="T17" s="47"/>
      <c r="U17" s="47"/>
      <c r="V17" s="47"/>
      <c r="W17" s="41"/>
      <c r="X17" s="47"/>
      <c r="Y17" s="47"/>
      <c r="Z17" s="47"/>
      <c r="AA17" s="49"/>
      <c r="AB17" s="49"/>
      <c r="AC17" s="49"/>
      <c r="AD17" s="49"/>
      <c r="AE17" s="49"/>
      <c r="AF17" s="49"/>
      <c r="AG17" s="49"/>
      <c r="AH17" s="46"/>
      <c r="AI17" s="41"/>
      <c r="AJ17" s="47"/>
      <c r="AK17" s="47"/>
      <c r="AL17" s="47"/>
      <c r="AM17" s="47"/>
      <c r="AN17" s="41"/>
      <c r="AO17" s="47"/>
      <c r="AP17" s="47"/>
    </row>
    <row r="18" spans="1:42" s="18" customFormat="1" x14ac:dyDescent="0.25">
      <c r="A18" s="40"/>
      <c r="B18" s="41"/>
      <c r="C18" s="42"/>
      <c r="D18" s="43"/>
      <c r="E18" s="44"/>
      <c r="F18" s="43"/>
      <c r="G18" s="47"/>
      <c r="H18" s="47"/>
      <c r="I18" s="46"/>
      <c r="J18" s="49"/>
      <c r="K18" s="49"/>
      <c r="L18" s="43"/>
      <c r="M18" s="49"/>
      <c r="N18" s="49"/>
      <c r="O18" s="49"/>
      <c r="P18" s="49"/>
      <c r="Q18" s="49"/>
      <c r="R18" s="46"/>
      <c r="S18" s="47"/>
      <c r="T18" s="47"/>
      <c r="U18" s="47"/>
      <c r="V18" s="47"/>
      <c r="W18" s="41"/>
      <c r="X18" s="47"/>
      <c r="Y18" s="47"/>
      <c r="Z18" s="47"/>
      <c r="AA18" s="49"/>
      <c r="AB18" s="49"/>
      <c r="AC18" s="49"/>
      <c r="AD18" s="49"/>
      <c r="AE18" s="49"/>
      <c r="AF18" s="49"/>
      <c r="AG18" s="49"/>
      <c r="AH18" s="46"/>
      <c r="AI18" s="41"/>
      <c r="AJ18" s="47"/>
      <c r="AK18" s="47"/>
      <c r="AL18" s="47"/>
      <c r="AM18" s="47"/>
      <c r="AN18" s="41"/>
      <c r="AO18" s="47"/>
      <c r="AP18" s="47"/>
    </row>
    <row r="19" spans="1:42" s="18" customFormat="1" x14ac:dyDescent="0.25">
      <c r="A19" s="40"/>
      <c r="B19" s="41"/>
      <c r="C19" s="42"/>
      <c r="D19" s="43"/>
      <c r="E19" s="44"/>
      <c r="F19" s="43"/>
      <c r="G19" s="47"/>
      <c r="H19" s="47"/>
      <c r="I19" s="46"/>
      <c r="J19" s="49"/>
      <c r="K19" s="49"/>
      <c r="L19" s="43"/>
      <c r="M19" s="49"/>
      <c r="N19" s="49"/>
      <c r="O19" s="49"/>
      <c r="P19" s="49"/>
      <c r="Q19" s="49"/>
      <c r="R19" s="46"/>
      <c r="S19" s="47"/>
      <c r="T19" s="47"/>
      <c r="U19" s="47"/>
      <c r="V19" s="47"/>
      <c r="W19" s="41"/>
      <c r="X19" s="47"/>
      <c r="Y19" s="47"/>
      <c r="Z19" s="47"/>
      <c r="AA19" s="49"/>
      <c r="AB19" s="49"/>
      <c r="AC19" s="49"/>
      <c r="AD19" s="49"/>
      <c r="AE19" s="49"/>
      <c r="AF19" s="49"/>
      <c r="AG19" s="49"/>
      <c r="AH19" s="46"/>
      <c r="AI19" s="41"/>
      <c r="AJ19" s="47"/>
      <c r="AK19" s="47"/>
      <c r="AL19" s="47"/>
      <c r="AM19" s="47"/>
      <c r="AN19" s="41"/>
      <c r="AO19" s="47"/>
      <c r="AP19" s="47"/>
    </row>
    <row r="20" spans="1:42" s="18" customFormat="1" x14ac:dyDescent="0.25">
      <c r="A20" s="40"/>
      <c r="B20" s="41"/>
      <c r="C20" s="42"/>
      <c r="D20" s="43"/>
      <c r="E20" s="44"/>
      <c r="F20" s="43"/>
      <c r="G20" s="47"/>
      <c r="H20" s="47"/>
      <c r="I20" s="46"/>
      <c r="J20" s="49"/>
      <c r="K20" s="49"/>
      <c r="L20" s="43"/>
      <c r="M20" s="49"/>
      <c r="N20" s="49"/>
      <c r="O20" s="49"/>
      <c r="P20" s="49"/>
      <c r="Q20" s="49"/>
      <c r="R20" s="46"/>
      <c r="S20" s="47"/>
      <c r="T20" s="47"/>
      <c r="U20" s="47"/>
      <c r="V20" s="47"/>
      <c r="W20" s="41"/>
      <c r="X20" s="47"/>
      <c r="Y20" s="47"/>
      <c r="Z20" s="47"/>
      <c r="AA20" s="49"/>
      <c r="AB20" s="49"/>
      <c r="AC20" s="49"/>
      <c r="AD20" s="49"/>
      <c r="AE20" s="49"/>
      <c r="AF20" s="49"/>
      <c r="AG20" s="49"/>
      <c r="AH20" s="46"/>
      <c r="AI20" s="41"/>
      <c r="AJ20" s="47"/>
      <c r="AK20" s="47"/>
      <c r="AL20" s="47"/>
      <c r="AM20" s="47"/>
      <c r="AN20" s="41"/>
      <c r="AO20" s="47"/>
      <c r="AP20" s="47"/>
    </row>
    <row r="21" spans="1:42" s="18" customFormat="1" x14ac:dyDescent="0.25">
      <c r="A21" s="40"/>
      <c r="B21" s="41"/>
      <c r="C21" s="42"/>
      <c r="D21" s="43"/>
      <c r="E21" s="44"/>
      <c r="F21" s="43"/>
      <c r="G21" s="47"/>
      <c r="H21" s="47"/>
      <c r="I21" s="46"/>
      <c r="J21" s="49"/>
      <c r="K21" s="49"/>
      <c r="L21" s="43"/>
      <c r="M21" s="49"/>
      <c r="N21" s="49"/>
      <c r="O21" s="49"/>
      <c r="P21" s="49"/>
      <c r="Q21" s="49"/>
      <c r="R21" s="46"/>
      <c r="S21" s="47"/>
      <c r="T21" s="47"/>
      <c r="U21" s="47"/>
      <c r="V21" s="47"/>
      <c r="W21" s="41"/>
      <c r="X21" s="47"/>
      <c r="Y21" s="47"/>
      <c r="Z21" s="47"/>
      <c r="AA21" s="49"/>
      <c r="AB21" s="49"/>
      <c r="AC21" s="49"/>
      <c r="AD21" s="49"/>
      <c r="AE21" s="49"/>
      <c r="AF21" s="49"/>
      <c r="AG21" s="49"/>
      <c r="AH21" s="46"/>
      <c r="AI21" s="41"/>
      <c r="AJ21" s="47"/>
      <c r="AK21" s="47"/>
      <c r="AL21" s="47"/>
      <c r="AM21" s="47"/>
      <c r="AN21" s="41"/>
      <c r="AO21" s="47"/>
      <c r="AP21" s="47"/>
    </row>
    <row r="22" spans="1:42" s="18" customFormat="1" x14ac:dyDescent="0.25">
      <c r="A22" s="40"/>
      <c r="B22" s="41"/>
      <c r="C22" s="42"/>
      <c r="D22" s="43"/>
      <c r="E22" s="44"/>
      <c r="F22" s="43"/>
      <c r="G22" s="47"/>
      <c r="H22" s="47"/>
      <c r="I22" s="46"/>
      <c r="J22" s="49"/>
      <c r="K22" s="49"/>
      <c r="L22" s="43"/>
      <c r="M22" s="49"/>
      <c r="N22" s="49"/>
      <c r="O22" s="49"/>
      <c r="P22" s="49"/>
      <c r="Q22" s="49"/>
      <c r="R22" s="46"/>
      <c r="S22" s="47"/>
      <c r="T22" s="47"/>
      <c r="U22" s="47"/>
      <c r="V22" s="47"/>
      <c r="W22" s="41"/>
      <c r="X22" s="47"/>
      <c r="Y22" s="47"/>
      <c r="Z22" s="47"/>
      <c r="AA22" s="49"/>
      <c r="AB22" s="49"/>
      <c r="AC22" s="49"/>
      <c r="AD22" s="49"/>
      <c r="AE22" s="49"/>
      <c r="AF22" s="49"/>
      <c r="AG22" s="49"/>
      <c r="AH22" s="46"/>
      <c r="AI22" s="41"/>
      <c r="AJ22" s="47"/>
      <c r="AK22" s="47"/>
      <c r="AL22" s="47"/>
      <c r="AM22" s="47"/>
      <c r="AN22" s="41"/>
      <c r="AO22" s="47"/>
      <c r="AP22" s="47"/>
    </row>
    <row r="23" spans="1:42" s="18" customFormat="1" x14ac:dyDescent="0.25">
      <c r="A23" s="40"/>
      <c r="B23" s="41"/>
      <c r="C23" s="42"/>
      <c r="D23" s="43"/>
      <c r="E23" s="44"/>
      <c r="F23" s="43"/>
      <c r="G23" s="47"/>
      <c r="H23" s="47"/>
      <c r="I23" s="46"/>
      <c r="J23" s="49"/>
      <c r="K23" s="49"/>
      <c r="L23" s="43"/>
      <c r="M23" s="49"/>
      <c r="N23" s="49"/>
      <c r="O23" s="49"/>
      <c r="P23" s="49"/>
      <c r="Q23" s="49"/>
      <c r="R23" s="46"/>
      <c r="S23" s="47"/>
      <c r="T23" s="47"/>
      <c r="U23" s="47"/>
      <c r="V23" s="47"/>
      <c r="W23" s="41"/>
      <c r="X23" s="47"/>
      <c r="Y23" s="47"/>
      <c r="Z23" s="47"/>
      <c r="AA23" s="49"/>
      <c r="AB23" s="49"/>
      <c r="AC23" s="49"/>
      <c r="AD23" s="49"/>
      <c r="AE23" s="49"/>
      <c r="AF23" s="49"/>
      <c r="AG23" s="49"/>
      <c r="AH23" s="46"/>
      <c r="AI23" s="41"/>
      <c r="AJ23" s="47"/>
      <c r="AK23" s="47"/>
      <c r="AL23" s="47"/>
      <c r="AM23" s="47"/>
      <c r="AN23" s="41"/>
      <c r="AO23" s="47"/>
      <c r="AP23" s="47"/>
    </row>
    <row r="24" spans="1:42" s="18" customFormat="1" x14ac:dyDescent="0.25">
      <c r="A24" s="40"/>
      <c r="B24" s="41"/>
      <c r="C24" s="42"/>
      <c r="D24" s="43"/>
      <c r="E24" s="44"/>
      <c r="F24" s="43"/>
      <c r="G24" s="47"/>
      <c r="H24" s="47"/>
      <c r="I24" s="46"/>
      <c r="J24" s="49"/>
      <c r="K24" s="49"/>
      <c r="L24" s="43"/>
      <c r="M24" s="49"/>
      <c r="N24" s="49"/>
      <c r="O24" s="49"/>
      <c r="P24" s="49"/>
      <c r="Q24" s="49"/>
      <c r="R24" s="46"/>
      <c r="S24" s="47"/>
      <c r="T24" s="47"/>
      <c r="U24" s="47"/>
      <c r="V24" s="47"/>
      <c r="W24" s="41"/>
      <c r="X24" s="47"/>
      <c r="Y24" s="47"/>
      <c r="Z24" s="47"/>
      <c r="AA24" s="49"/>
      <c r="AB24" s="49"/>
      <c r="AC24" s="49"/>
      <c r="AD24" s="49"/>
      <c r="AE24" s="49"/>
      <c r="AF24" s="49"/>
      <c r="AG24" s="49"/>
      <c r="AH24" s="46"/>
      <c r="AI24" s="41"/>
      <c r="AJ24" s="47"/>
      <c r="AK24" s="47"/>
      <c r="AL24" s="47"/>
      <c r="AM24" s="47"/>
      <c r="AN24" s="41"/>
      <c r="AO24" s="47"/>
      <c r="AP24" s="47"/>
    </row>
    <row r="25" spans="1:42" s="18" customFormat="1" x14ac:dyDescent="0.25">
      <c r="A25" s="40"/>
      <c r="B25" s="41"/>
      <c r="C25" s="42"/>
      <c r="D25" s="43"/>
      <c r="E25" s="44"/>
      <c r="F25" s="43"/>
      <c r="G25" s="47"/>
      <c r="H25" s="47"/>
      <c r="I25" s="46"/>
      <c r="J25" s="49"/>
      <c r="K25" s="49"/>
      <c r="L25" s="43"/>
      <c r="M25" s="49"/>
      <c r="N25" s="49"/>
      <c r="O25" s="49"/>
      <c r="P25" s="49"/>
      <c r="Q25" s="49"/>
      <c r="R25" s="46"/>
      <c r="S25" s="47"/>
      <c r="T25" s="47"/>
      <c r="U25" s="47"/>
      <c r="V25" s="47"/>
      <c r="W25" s="41"/>
      <c r="X25" s="47"/>
      <c r="Y25" s="47"/>
      <c r="Z25" s="47"/>
      <c r="AA25" s="49"/>
      <c r="AB25" s="49"/>
      <c r="AC25" s="49"/>
      <c r="AD25" s="49"/>
      <c r="AE25" s="49"/>
      <c r="AF25" s="49"/>
      <c r="AG25" s="49"/>
      <c r="AH25" s="46"/>
      <c r="AI25" s="41"/>
      <c r="AJ25" s="47"/>
      <c r="AK25" s="47"/>
      <c r="AL25" s="47"/>
      <c r="AM25" s="47"/>
      <c r="AN25" s="41"/>
      <c r="AO25" s="47"/>
      <c r="AP25" s="47"/>
    </row>
    <row r="26" spans="1:42" s="18" customFormat="1" x14ac:dyDescent="0.25">
      <c r="A26" s="40"/>
      <c r="B26" s="41"/>
      <c r="C26" s="42"/>
      <c r="D26" s="43"/>
      <c r="E26" s="44"/>
      <c r="F26" s="43"/>
      <c r="G26" s="47"/>
      <c r="H26" s="47"/>
      <c r="I26" s="46"/>
      <c r="J26" s="49"/>
      <c r="K26" s="49"/>
      <c r="L26" s="43"/>
      <c r="M26" s="49"/>
      <c r="N26" s="49"/>
      <c r="O26" s="49"/>
      <c r="P26" s="49"/>
      <c r="Q26" s="49"/>
      <c r="R26" s="46"/>
      <c r="S26" s="47"/>
      <c r="T26" s="47"/>
      <c r="U26" s="47"/>
      <c r="V26" s="47"/>
      <c r="W26" s="41"/>
      <c r="X26" s="47"/>
      <c r="Y26" s="47"/>
      <c r="Z26" s="47"/>
      <c r="AA26" s="49"/>
      <c r="AB26" s="49"/>
      <c r="AC26" s="49"/>
      <c r="AD26" s="49"/>
      <c r="AE26" s="49"/>
      <c r="AF26" s="49"/>
      <c r="AG26" s="49"/>
      <c r="AH26" s="46"/>
      <c r="AI26" s="41"/>
      <c r="AJ26" s="47"/>
      <c r="AK26" s="47"/>
      <c r="AL26" s="47"/>
      <c r="AM26" s="47"/>
      <c r="AN26" s="41"/>
      <c r="AO26" s="47"/>
      <c r="AP26" s="47"/>
    </row>
    <row r="27" spans="1:42" s="18" customFormat="1" x14ac:dyDescent="0.25">
      <c r="A27" s="40"/>
      <c r="B27" s="41"/>
      <c r="C27" s="42"/>
      <c r="D27" s="43"/>
      <c r="E27" s="44"/>
      <c r="F27" s="43"/>
      <c r="G27" s="47"/>
      <c r="H27" s="47"/>
      <c r="I27" s="46"/>
      <c r="J27" s="49"/>
      <c r="K27" s="49"/>
      <c r="L27" s="43"/>
      <c r="M27" s="49"/>
      <c r="N27" s="49"/>
      <c r="O27" s="49"/>
      <c r="P27" s="49"/>
      <c r="Q27" s="49"/>
      <c r="R27" s="46"/>
      <c r="S27" s="47"/>
      <c r="T27" s="47"/>
      <c r="U27" s="47"/>
      <c r="V27" s="47"/>
      <c r="W27" s="41"/>
      <c r="X27" s="47"/>
      <c r="Y27" s="47"/>
      <c r="Z27" s="47"/>
      <c r="AA27" s="49"/>
      <c r="AB27" s="49"/>
      <c r="AC27" s="49"/>
      <c r="AD27" s="49"/>
      <c r="AE27" s="49"/>
      <c r="AF27" s="49"/>
      <c r="AG27" s="49"/>
      <c r="AH27" s="46"/>
      <c r="AI27" s="41"/>
      <c r="AJ27" s="47"/>
      <c r="AK27" s="47"/>
      <c r="AL27" s="47"/>
      <c r="AM27" s="47"/>
      <c r="AN27" s="41"/>
      <c r="AO27" s="47"/>
      <c r="AP27" s="47"/>
    </row>
    <row r="28" spans="1:42" s="18" customFormat="1" x14ac:dyDescent="0.25">
      <c r="A28" s="40"/>
      <c r="B28" s="41"/>
      <c r="C28" s="42"/>
      <c r="D28" s="43"/>
      <c r="E28" s="44"/>
      <c r="F28" s="43"/>
      <c r="G28" s="47"/>
      <c r="H28" s="47"/>
      <c r="I28" s="46"/>
      <c r="J28" s="49"/>
      <c r="K28" s="49"/>
      <c r="L28" s="43"/>
      <c r="M28" s="49"/>
      <c r="N28" s="49"/>
      <c r="O28" s="49"/>
      <c r="P28" s="49"/>
      <c r="Q28" s="49"/>
      <c r="R28" s="46"/>
      <c r="S28" s="47"/>
      <c r="T28" s="47"/>
      <c r="U28" s="47"/>
      <c r="V28" s="47"/>
      <c r="W28" s="41"/>
      <c r="X28" s="47"/>
      <c r="Y28" s="47"/>
      <c r="Z28" s="47"/>
      <c r="AA28" s="49"/>
      <c r="AB28" s="49"/>
      <c r="AC28" s="49"/>
      <c r="AD28" s="49"/>
      <c r="AE28" s="49"/>
      <c r="AF28" s="49"/>
      <c r="AG28" s="49"/>
      <c r="AH28" s="46"/>
      <c r="AI28" s="41"/>
      <c r="AJ28" s="47"/>
      <c r="AK28" s="47"/>
      <c r="AL28" s="47"/>
      <c r="AM28" s="47"/>
      <c r="AN28" s="41"/>
      <c r="AO28" s="47"/>
      <c r="AP28" s="47"/>
    </row>
    <row r="29" spans="1:42" s="18" customFormat="1" x14ac:dyDescent="0.25">
      <c r="A29" s="40"/>
      <c r="B29" s="41"/>
      <c r="C29" s="42"/>
      <c r="D29" s="43"/>
      <c r="E29" s="44"/>
      <c r="F29" s="43"/>
      <c r="G29" s="47"/>
      <c r="H29" s="47"/>
      <c r="I29" s="46"/>
      <c r="J29" s="49"/>
      <c r="K29" s="49"/>
      <c r="L29" s="43"/>
      <c r="M29" s="49"/>
      <c r="N29" s="49"/>
      <c r="O29" s="49"/>
      <c r="P29" s="49"/>
      <c r="Q29" s="49"/>
      <c r="R29" s="46"/>
      <c r="S29" s="47"/>
      <c r="T29" s="47"/>
      <c r="U29" s="47"/>
      <c r="V29" s="47"/>
      <c r="W29" s="41"/>
      <c r="X29" s="47"/>
      <c r="Y29" s="47"/>
      <c r="Z29" s="47"/>
      <c r="AA29" s="49"/>
      <c r="AB29" s="49"/>
      <c r="AC29" s="49"/>
      <c r="AD29" s="49"/>
      <c r="AE29" s="49"/>
      <c r="AF29" s="49"/>
      <c r="AG29" s="49"/>
      <c r="AH29" s="46"/>
      <c r="AI29" s="41"/>
      <c r="AJ29" s="47"/>
      <c r="AK29" s="47"/>
      <c r="AL29" s="47"/>
      <c r="AM29" s="47"/>
      <c r="AN29" s="41"/>
      <c r="AO29" s="47"/>
      <c r="AP29" s="47"/>
    </row>
    <row r="30" spans="1:42" s="18" customFormat="1" x14ac:dyDescent="0.25">
      <c r="A30" s="40"/>
      <c r="B30" s="41"/>
      <c r="C30" s="42"/>
      <c r="D30" s="43"/>
      <c r="E30" s="44"/>
      <c r="F30" s="43"/>
      <c r="G30" s="47"/>
      <c r="H30" s="47"/>
      <c r="I30" s="46"/>
      <c r="J30" s="49"/>
      <c r="K30" s="49"/>
      <c r="L30" s="43"/>
      <c r="M30" s="49"/>
      <c r="N30" s="49"/>
      <c r="O30" s="49"/>
      <c r="P30" s="49"/>
      <c r="Q30" s="49"/>
      <c r="R30" s="46"/>
      <c r="S30" s="47"/>
      <c r="T30" s="47"/>
      <c r="U30" s="47"/>
      <c r="V30" s="47"/>
      <c r="W30" s="41"/>
      <c r="X30" s="47"/>
      <c r="Y30" s="47"/>
      <c r="Z30" s="47"/>
      <c r="AA30" s="49"/>
      <c r="AB30" s="49"/>
      <c r="AC30" s="49"/>
      <c r="AD30" s="49"/>
      <c r="AE30" s="49"/>
      <c r="AF30" s="49"/>
      <c r="AG30" s="49"/>
      <c r="AH30" s="46"/>
      <c r="AI30" s="41"/>
      <c r="AJ30" s="47"/>
      <c r="AK30" s="47"/>
      <c r="AL30" s="47"/>
      <c r="AM30" s="47"/>
      <c r="AN30" s="41"/>
      <c r="AO30" s="47"/>
      <c r="AP30" s="47"/>
    </row>
    <row r="31" spans="1:42" s="18" customFormat="1" x14ac:dyDescent="0.25">
      <c r="A31" s="40"/>
      <c r="B31" s="41"/>
      <c r="C31" s="42"/>
      <c r="D31" s="43"/>
      <c r="E31" s="44"/>
      <c r="F31" s="43"/>
      <c r="G31" s="47"/>
      <c r="H31" s="47"/>
      <c r="I31" s="46"/>
      <c r="J31" s="49"/>
      <c r="K31" s="49"/>
      <c r="L31" s="43"/>
      <c r="M31" s="49"/>
      <c r="N31" s="49"/>
      <c r="O31" s="49"/>
      <c r="P31" s="49"/>
      <c r="Q31" s="49"/>
      <c r="R31" s="46"/>
      <c r="S31" s="47"/>
      <c r="T31" s="47"/>
      <c r="U31" s="47"/>
      <c r="V31" s="47"/>
      <c r="W31" s="41"/>
      <c r="X31" s="47"/>
      <c r="Y31" s="47"/>
      <c r="Z31" s="47"/>
      <c r="AA31" s="49"/>
      <c r="AB31" s="49"/>
      <c r="AC31" s="49"/>
      <c r="AD31" s="49"/>
      <c r="AE31" s="49"/>
      <c r="AF31" s="49"/>
      <c r="AG31" s="49"/>
      <c r="AH31" s="46"/>
      <c r="AI31" s="41"/>
      <c r="AJ31" s="47"/>
      <c r="AK31" s="47"/>
      <c r="AL31" s="47"/>
      <c r="AM31" s="47"/>
      <c r="AN31" s="41"/>
      <c r="AO31" s="47"/>
      <c r="AP31" s="47"/>
    </row>
    <row r="32" spans="1:42" s="18" customFormat="1" x14ac:dyDescent="0.25">
      <c r="A32" s="40"/>
      <c r="B32" s="41"/>
      <c r="C32" s="42"/>
      <c r="D32" s="43"/>
      <c r="E32" s="44"/>
      <c r="F32" s="43"/>
      <c r="G32" s="47"/>
      <c r="H32" s="47"/>
      <c r="I32" s="46"/>
      <c r="J32" s="49"/>
      <c r="K32" s="49"/>
      <c r="L32" s="43"/>
      <c r="M32" s="49"/>
      <c r="N32" s="49"/>
      <c r="O32" s="49"/>
      <c r="P32" s="49"/>
      <c r="Q32" s="49"/>
      <c r="R32" s="46"/>
      <c r="S32" s="47"/>
      <c r="T32" s="47"/>
      <c r="U32" s="47"/>
      <c r="V32" s="47"/>
      <c r="W32" s="41"/>
      <c r="X32" s="47"/>
      <c r="Y32" s="47"/>
      <c r="Z32" s="47"/>
      <c r="AA32" s="49"/>
      <c r="AB32" s="49"/>
      <c r="AC32" s="49"/>
      <c r="AD32" s="49"/>
      <c r="AE32" s="49"/>
      <c r="AF32" s="49"/>
      <c r="AG32" s="49"/>
      <c r="AH32" s="46"/>
      <c r="AI32" s="41"/>
      <c r="AJ32" s="47"/>
      <c r="AK32" s="47"/>
      <c r="AL32" s="47"/>
      <c r="AM32" s="47"/>
      <c r="AN32" s="41"/>
      <c r="AO32" s="47"/>
      <c r="AP32" s="47"/>
    </row>
    <row r="33" spans="1:42" s="18" customFormat="1" x14ac:dyDescent="0.25">
      <c r="A33" s="40"/>
      <c r="B33" s="41"/>
      <c r="C33" s="42"/>
      <c r="D33" s="43"/>
      <c r="E33" s="44"/>
      <c r="F33" s="43"/>
      <c r="G33" s="47"/>
      <c r="H33" s="47"/>
      <c r="I33" s="46"/>
      <c r="J33" s="49"/>
      <c r="K33" s="49"/>
      <c r="L33" s="43"/>
      <c r="M33" s="49"/>
      <c r="N33" s="49"/>
      <c r="O33" s="49"/>
      <c r="P33" s="49"/>
      <c r="Q33" s="49"/>
      <c r="R33" s="46"/>
      <c r="S33" s="47"/>
      <c r="T33" s="47"/>
      <c r="U33" s="47"/>
      <c r="V33" s="47"/>
      <c r="W33" s="41"/>
      <c r="X33" s="47"/>
      <c r="Y33" s="47"/>
      <c r="Z33" s="47"/>
      <c r="AA33" s="49"/>
      <c r="AB33" s="49"/>
      <c r="AC33" s="49"/>
      <c r="AD33" s="49"/>
      <c r="AE33" s="49"/>
      <c r="AF33" s="49"/>
      <c r="AG33" s="49"/>
      <c r="AH33" s="46"/>
      <c r="AI33" s="41"/>
      <c r="AJ33" s="47"/>
      <c r="AK33" s="47"/>
      <c r="AL33" s="47"/>
      <c r="AM33" s="47"/>
      <c r="AN33" s="41"/>
      <c r="AO33" s="47"/>
      <c r="AP33" s="47"/>
    </row>
    <row r="34" spans="1:42" s="18" customFormat="1" x14ac:dyDescent="0.25">
      <c r="A34" s="40"/>
      <c r="B34" s="41"/>
      <c r="C34" s="42"/>
      <c r="D34" s="43"/>
      <c r="E34" s="44"/>
      <c r="F34" s="43"/>
      <c r="G34" s="47"/>
      <c r="H34" s="47"/>
      <c r="I34" s="46"/>
      <c r="J34" s="49"/>
      <c r="K34" s="49"/>
      <c r="L34" s="43"/>
      <c r="M34" s="49"/>
      <c r="N34" s="49"/>
      <c r="O34" s="49"/>
      <c r="P34" s="49"/>
      <c r="Q34" s="49"/>
      <c r="R34" s="46"/>
      <c r="S34" s="47"/>
      <c r="T34" s="47"/>
      <c r="U34" s="47"/>
      <c r="V34" s="47"/>
      <c r="W34" s="41"/>
      <c r="X34" s="47"/>
      <c r="Y34" s="47"/>
      <c r="Z34" s="47"/>
      <c r="AA34" s="49"/>
      <c r="AB34" s="49"/>
      <c r="AC34" s="49"/>
      <c r="AD34" s="49"/>
      <c r="AE34" s="49"/>
      <c r="AF34" s="49"/>
      <c r="AG34" s="49"/>
      <c r="AH34" s="46"/>
      <c r="AI34" s="41"/>
      <c r="AJ34" s="47"/>
      <c r="AK34" s="47"/>
      <c r="AL34" s="47"/>
      <c r="AM34" s="47"/>
      <c r="AN34" s="41"/>
      <c r="AO34" s="47"/>
      <c r="AP34" s="47"/>
    </row>
    <row r="35" spans="1:42" s="18" customFormat="1" x14ac:dyDescent="0.25">
      <c r="A35" s="40"/>
      <c r="B35" s="41"/>
      <c r="C35" s="42"/>
      <c r="D35" s="43"/>
      <c r="E35" s="44"/>
      <c r="F35" s="43"/>
      <c r="G35" s="47"/>
      <c r="H35" s="47"/>
      <c r="I35" s="46"/>
      <c r="J35" s="49"/>
      <c r="K35" s="49"/>
      <c r="L35" s="43"/>
      <c r="M35" s="49"/>
      <c r="N35" s="49"/>
      <c r="O35" s="49"/>
      <c r="P35" s="49"/>
      <c r="Q35" s="49"/>
      <c r="R35" s="46"/>
      <c r="S35" s="47"/>
      <c r="T35" s="47"/>
      <c r="U35" s="47"/>
      <c r="V35" s="47"/>
      <c r="W35" s="41"/>
      <c r="X35" s="47"/>
      <c r="Y35" s="47"/>
      <c r="Z35" s="47"/>
      <c r="AA35" s="49"/>
      <c r="AB35" s="49"/>
      <c r="AC35" s="49"/>
      <c r="AD35" s="49"/>
      <c r="AE35" s="49"/>
      <c r="AF35" s="49"/>
      <c r="AG35" s="49"/>
      <c r="AH35" s="46"/>
      <c r="AI35" s="41"/>
      <c r="AJ35" s="47"/>
      <c r="AK35" s="47"/>
      <c r="AL35" s="47"/>
      <c r="AM35" s="47"/>
      <c r="AN35" s="41"/>
      <c r="AO35" s="47"/>
      <c r="AP35" s="47"/>
    </row>
    <row r="36" spans="1:42" x14ac:dyDescent="0.25">
      <c r="A36" s="40"/>
      <c r="B36" s="41"/>
      <c r="C36" s="42"/>
      <c r="D36" s="43"/>
      <c r="E36" s="44"/>
      <c r="F36" s="43"/>
      <c r="G36" s="47"/>
      <c r="H36" s="47"/>
      <c r="I36" s="46"/>
      <c r="J36" s="49"/>
      <c r="K36" s="49"/>
      <c r="L36" s="43"/>
      <c r="M36" s="49"/>
      <c r="N36" s="49"/>
      <c r="O36" s="49"/>
      <c r="P36" s="49"/>
      <c r="Q36" s="49"/>
      <c r="R36" s="46"/>
      <c r="S36" s="47"/>
      <c r="T36" s="47"/>
      <c r="U36" s="47"/>
      <c r="V36" s="47"/>
      <c r="W36" s="41"/>
      <c r="X36" s="47"/>
      <c r="Y36" s="47"/>
      <c r="Z36" s="47"/>
      <c r="AA36" s="49"/>
      <c r="AB36" s="49"/>
      <c r="AC36" s="49"/>
      <c r="AD36" s="49"/>
      <c r="AE36" s="49"/>
      <c r="AF36" s="49"/>
      <c r="AG36" s="49"/>
      <c r="AH36" s="46"/>
      <c r="AI36" s="41"/>
      <c r="AJ36" s="47"/>
      <c r="AK36" s="47"/>
      <c r="AL36" s="47"/>
      <c r="AM36" s="47"/>
      <c r="AN36" s="41"/>
      <c r="AO36" s="47"/>
      <c r="AP36" s="47"/>
    </row>
    <row r="37" spans="1:42" x14ac:dyDescent="0.25">
      <c r="A37" s="40"/>
      <c r="B37" s="41"/>
      <c r="C37" s="42"/>
      <c r="D37" s="43"/>
      <c r="E37" s="44"/>
      <c r="F37" s="43"/>
      <c r="G37" s="47"/>
      <c r="H37" s="47"/>
      <c r="I37" s="46"/>
      <c r="J37" s="49"/>
      <c r="K37" s="49"/>
      <c r="L37" s="43"/>
      <c r="M37" s="49"/>
      <c r="N37" s="49"/>
      <c r="O37" s="49"/>
      <c r="P37" s="49"/>
      <c r="Q37" s="49"/>
      <c r="R37" s="46"/>
      <c r="S37" s="47"/>
      <c r="T37" s="47"/>
      <c r="U37" s="47"/>
      <c r="V37" s="47"/>
      <c r="W37" s="41"/>
      <c r="X37" s="47"/>
      <c r="Y37" s="47"/>
      <c r="Z37" s="47"/>
      <c r="AA37" s="49"/>
      <c r="AB37" s="49"/>
      <c r="AC37" s="49"/>
      <c r="AD37" s="49"/>
      <c r="AE37" s="49"/>
      <c r="AF37" s="49"/>
      <c r="AG37" s="49"/>
      <c r="AH37" s="46"/>
      <c r="AI37" s="41"/>
      <c r="AJ37" s="47"/>
      <c r="AK37" s="47"/>
      <c r="AL37" s="47"/>
      <c r="AM37" s="47"/>
      <c r="AN37" s="41"/>
      <c r="AO37" s="47"/>
      <c r="AP37" s="47"/>
    </row>
    <row r="38" spans="1:42" x14ac:dyDescent="0.25">
      <c r="A38" s="40"/>
      <c r="B38" s="41"/>
      <c r="C38" s="42"/>
      <c r="D38" s="43"/>
      <c r="E38" s="44"/>
      <c r="F38" s="43"/>
      <c r="G38" s="47"/>
      <c r="H38" s="47"/>
      <c r="I38" s="46"/>
      <c r="J38" s="49"/>
      <c r="K38" s="49"/>
      <c r="L38" s="43"/>
      <c r="M38" s="49"/>
      <c r="N38" s="49"/>
      <c r="O38" s="49"/>
      <c r="P38" s="49"/>
      <c r="Q38" s="49"/>
      <c r="R38" s="46"/>
      <c r="S38" s="47"/>
      <c r="T38" s="47"/>
      <c r="U38" s="47"/>
      <c r="V38" s="47"/>
      <c r="W38" s="41"/>
      <c r="X38" s="47"/>
      <c r="Y38" s="47"/>
      <c r="Z38" s="47"/>
      <c r="AA38" s="49"/>
      <c r="AB38" s="49"/>
      <c r="AC38" s="49"/>
      <c r="AD38" s="49"/>
      <c r="AE38" s="49"/>
      <c r="AF38" s="49"/>
      <c r="AG38" s="49"/>
      <c r="AH38" s="46"/>
      <c r="AI38" s="41"/>
      <c r="AJ38" s="47"/>
      <c r="AK38" s="47"/>
      <c r="AL38" s="47"/>
      <c r="AM38" s="47"/>
      <c r="AN38" s="41"/>
      <c r="AO38" s="47"/>
      <c r="AP38" s="47"/>
    </row>
    <row r="39" spans="1:42" x14ac:dyDescent="0.25">
      <c r="A39" s="40"/>
      <c r="B39" s="41"/>
      <c r="C39" s="42"/>
      <c r="D39" s="43"/>
      <c r="E39" s="44"/>
      <c r="F39" s="43"/>
      <c r="G39" s="47"/>
      <c r="H39" s="47"/>
      <c r="I39" s="46"/>
      <c r="J39" s="49"/>
      <c r="K39" s="49"/>
      <c r="L39" s="43"/>
      <c r="M39" s="49"/>
      <c r="N39" s="49"/>
      <c r="O39" s="49"/>
      <c r="P39" s="49"/>
      <c r="Q39" s="49"/>
      <c r="R39" s="46"/>
      <c r="S39" s="47"/>
      <c r="T39" s="47"/>
      <c r="U39" s="47"/>
      <c r="V39" s="47"/>
      <c r="W39" s="41"/>
      <c r="X39" s="47"/>
      <c r="Y39" s="47"/>
      <c r="Z39" s="47"/>
      <c r="AA39" s="49"/>
      <c r="AB39" s="49"/>
      <c r="AC39" s="49"/>
      <c r="AD39" s="49"/>
      <c r="AE39" s="49"/>
      <c r="AF39" s="49"/>
      <c r="AG39" s="49"/>
      <c r="AH39" s="46"/>
      <c r="AI39" s="41"/>
      <c r="AJ39" s="47"/>
      <c r="AK39" s="47"/>
      <c r="AL39" s="47"/>
      <c r="AM39" s="47"/>
      <c r="AN39" s="41"/>
      <c r="AO39" s="47"/>
      <c r="AP39" s="47"/>
    </row>
    <row r="40" spans="1:42" x14ac:dyDescent="0.25">
      <c r="A40" s="40"/>
      <c r="B40" s="41"/>
      <c r="C40" s="42"/>
      <c r="D40" s="43"/>
      <c r="E40" s="44"/>
      <c r="F40" s="43"/>
      <c r="G40" s="47"/>
      <c r="H40" s="47"/>
      <c r="I40" s="46"/>
      <c r="J40" s="49"/>
      <c r="K40" s="49"/>
      <c r="L40" s="43"/>
      <c r="M40" s="49"/>
      <c r="N40" s="49"/>
      <c r="O40" s="49"/>
      <c r="P40" s="49"/>
      <c r="Q40" s="49"/>
      <c r="R40" s="46"/>
      <c r="S40" s="47"/>
      <c r="T40" s="47"/>
      <c r="U40" s="47"/>
      <c r="V40" s="47"/>
      <c r="W40" s="41"/>
      <c r="X40" s="47"/>
      <c r="Y40" s="47"/>
      <c r="Z40" s="47"/>
      <c r="AA40" s="49"/>
      <c r="AB40" s="49"/>
      <c r="AC40" s="49"/>
      <c r="AD40" s="49"/>
      <c r="AE40" s="49"/>
      <c r="AF40" s="49"/>
      <c r="AG40" s="49"/>
      <c r="AH40" s="46"/>
      <c r="AI40" s="41"/>
      <c r="AJ40" s="47"/>
      <c r="AK40" s="47"/>
      <c r="AL40" s="47"/>
      <c r="AM40" s="47"/>
      <c r="AN40" s="41"/>
      <c r="AO40" s="47"/>
      <c r="AP40" s="47"/>
    </row>
    <row r="41" spans="1:42" x14ac:dyDescent="0.25">
      <c r="A41" s="40"/>
      <c r="B41" s="41"/>
      <c r="C41" s="42"/>
      <c r="D41" s="43"/>
      <c r="E41" s="44"/>
      <c r="F41" s="43"/>
      <c r="G41" s="47"/>
      <c r="H41" s="47"/>
      <c r="I41" s="46"/>
      <c r="J41" s="49"/>
      <c r="K41" s="49"/>
      <c r="L41" s="43"/>
      <c r="M41" s="49"/>
      <c r="N41" s="49"/>
      <c r="O41" s="49"/>
      <c r="P41" s="49"/>
      <c r="Q41" s="49"/>
      <c r="R41" s="46"/>
      <c r="S41" s="47"/>
      <c r="T41" s="47"/>
      <c r="U41" s="47"/>
      <c r="V41" s="47"/>
      <c r="W41" s="41"/>
      <c r="X41" s="47"/>
      <c r="Y41" s="47"/>
      <c r="Z41" s="47"/>
      <c r="AA41" s="49"/>
      <c r="AB41" s="49"/>
      <c r="AC41" s="49"/>
      <c r="AD41" s="49"/>
      <c r="AE41" s="49"/>
      <c r="AF41" s="49"/>
      <c r="AG41" s="49"/>
      <c r="AH41" s="46"/>
      <c r="AI41" s="41"/>
      <c r="AJ41" s="47"/>
      <c r="AK41" s="47"/>
      <c r="AL41" s="47"/>
      <c r="AM41" s="47"/>
      <c r="AN41" s="41"/>
      <c r="AO41" s="47"/>
      <c r="AP41" s="47"/>
    </row>
    <row r="42" spans="1:42" x14ac:dyDescent="0.25">
      <c r="A42" s="40"/>
      <c r="B42" s="41"/>
      <c r="C42" s="42"/>
      <c r="D42" s="43"/>
      <c r="E42" s="44"/>
      <c r="F42" s="43"/>
      <c r="G42" s="47"/>
      <c r="H42" s="47"/>
      <c r="I42" s="46"/>
      <c r="J42" s="49"/>
      <c r="K42" s="49"/>
      <c r="L42" s="43"/>
      <c r="M42" s="49"/>
      <c r="N42" s="49"/>
      <c r="O42" s="49"/>
      <c r="P42" s="49"/>
      <c r="Q42" s="49"/>
      <c r="R42" s="46"/>
      <c r="S42" s="47"/>
      <c r="T42" s="47"/>
      <c r="U42" s="47"/>
      <c r="V42" s="47"/>
      <c r="W42" s="41"/>
      <c r="X42" s="47"/>
      <c r="Y42" s="47"/>
      <c r="Z42" s="47"/>
      <c r="AA42" s="49"/>
      <c r="AB42" s="49"/>
      <c r="AC42" s="49"/>
      <c r="AD42" s="49"/>
      <c r="AE42" s="49"/>
      <c r="AF42" s="49"/>
      <c r="AG42" s="49"/>
      <c r="AH42" s="46"/>
      <c r="AI42" s="41"/>
      <c r="AJ42" s="47"/>
      <c r="AK42" s="47"/>
      <c r="AL42" s="47"/>
      <c r="AM42" s="47"/>
      <c r="AN42" s="41"/>
      <c r="AO42" s="47"/>
      <c r="AP42" s="47"/>
    </row>
    <row r="43" spans="1:42" x14ac:dyDescent="0.25">
      <c r="A43" s="40"/>
      <c r="B43" s="41"/>
      <c r="C43" s="42"/>
      <c r="D43" s="43"/>
      <c r="E43" s="44"/>
      <c r="F43" s="43"/>
      <c r="G43" s="47"/>
      <c r="H43" s="47"/>
      <c r="I43" s="46"/>
      <c r="J43" s="49"/>
      <c r="K43" s="49"/>
      <c r="L43" s="43"/>
      <c r="M43" s="49"/>
      <c r="N43" s="49"/>
      <c r="O43" s="49"/>
      <c r="P43" s="49"/>
      <c r="Q43" s="49"/>
      <c r="R43" s="46"/>
      <c r="S43" s="47"/>
      <c r="T43" s="47"/>
      <c r="U43" s="47"/>
      <c r="V43" s="47"/>
      <c r="W43" s="41"/>
      <c r="X43" s="47"/>
      <c r="Y43" s="47"/>
      <c r="Z43" s="47"/>
      <c r="AA43" s="49"/>
      <c r="AB43" s="49"/>
      <c r="AC43" s="49"/>
      <c r="AD43" s="49"/>
      <c r="AE43" s="49"/>
      <c r="AF43" s="49"/>
      <c r="AG43" s="49"/>
      <c r="AH43" s="46"/>
      <c r="AI43" s="41"/>
      <c r="AJ43" s="47"/>
      <c r="AK43" s="47"/>
      <c r="AL43" s="47"/>
      <c r="AM43" s="47"/>
      <c r="AN43" s="41"/>
      <c r="AO43" s="47"/>
      <c r="AP43" s="47"/>
    </row>
    <row r="44" spans="1:42" x14ac:dyDescent="0.25">
      <c r="A44" s="40"/>
      <c r="B44" s="41"/>
      <c r="C44" s="42"/>
      <c r="D44" s="43"/>
      <c r="E44" s="44"/>
      <c r="F44" s="43"/>
      <c r="G44" s="47"/>
      <c r="H44" s="47"/>
      <c r="I44" s="46"/>
      <c r="J44" s="49"/>
      <c r="K44" s="49"/>
      <c r="L44" s="43"/>
      <c r="M44" s="49"/>
      <c r="N44" s="49"/>
      <c r="O44" s="49"/>
      <c r="P44" s="49"/>
      <c r="Q44" s="49"/>
      <c r="R44" s="46"/>
      <c r="S44" s="47"/>
      <c r="T44" s="47"/>
      <c r="U44" s="47"/>
      <c r="V44" s="47"/>
      <c r="W44" s="41"/>
      <c r="X44" s="47"/>
      <c r="Y44" s="47"/>
      <c r="Z44" s="47"/>
      <c r="AA44" s="49"/>
      <c r="AB44" s="49"/>
      <c r="AC44" s="49"/>
      <c r="AD44" s="49"/>
      <c r="AE44" s="49"/>
      <c r="AF44" s="49"/>
      <c r="AG44" s="49"/>
      <c r="AH44" s="46"/>
      <c r="AI44" s="41"/>
      <c r="AJ44" s="47"/>
      <c r="AK44" s="47"/>
      <c r="AL44" s="47"/>
      <c r="AM44" s="47"/>
      <c r="AN44" s="41"/>
      <c r="AO44" s="47"/>
      <c r="AP44" s="47"/>
    </row>
    <row r="45" spans="1:42" x14ac:dyDescent="0.25">
      <c r="A45" s="40"/>
      <c r="B45" s="41"/>
      <c r="C45" s="42"/>
      <c r="D45" s="43"/>
      <c r="E45" s="44"/>
      <c r="F45" s="43"/>
      <c r="G45" s="47"/>
      <c r="H45" s="47"/>
      <c r="I45" s="46"/>
      <c r="J45" s="49"/>
      <c r="K45" s="49"/>
      <c r="L45" s="43"/>
      <c r="M45" s="49"/>
      <c r="N45" s="49"/>
      <c r="O45" s="49"/>
      <c r="P45" s="49"/>
      <c r="Q45" s="49"/>
      <c r="R45" s="46"/>
      <c r="S45" s="47"/>
      <c r="T45" s="47"/>
      <c r="U45" s="47"/>
      <c r="V45" s="47"/>
      <c r="W45" s="41"/>
      <c r="X45" s="47"/>
      <c r="Y45" s="47"/>
      <c r="Z45" s="47"/>
      <c r="AA45" s="49"/>
      <c r="AB45" s="49"/>
      <c r="AC45" s="49"/>
      <c r="AD45" s="49"/>
      <c r="AE45" s="49"/>
      <c r="AF45" s="49"/>
      <c r="AG45" s="49"/>
      <c r="AH45" s="46"/>
      <c r="AI45" s="41"/>
      <c r="AJ45" s="47"/>
      <c r="AK45" s="47"/>
      <c r="AL45" s="47"/>
      <c r="AM45" s="47"/>
      <c r="AN45" s="41"/>
      <c r="AO45" s="47"/>
      <c r="AP45" s="47"/>
    </row>
    <row r="46" spans="1:42" x14ac:dyDescent="0.25">
      <c r="A46" s="40"/>
      <c r="B46" s="41"/>
      <c r="C46" s="42"/>
      <c r="D46" s="43"/>
      <c r="E46" s="44"/>
      <c r="F46" s="43"/>
      <c r="G46" s="47"/>
      <c r="H46" s="47"/>
      <c r="I46" s="46"/>
      <c r="J46" s="49"/>
      <c r="K46" s="49"/>
      <c r="L46" s="43"/>
      <c r="M46" s="49"/>
      <c r="N46" s="49"/>
      <c r="O46" s="49"/>
      <c r="P46" s="49"/>
      <c r="Q46" s="49"/>
      <c r="R46" s="46"/>
      <c r="S46" s="47"/>
      <c r="T46" s="47"/>
      <c r="U46" s="47"/>
      <c r="V46" s="47"/>
      <c r="W46" s="41"/>
      <c r="X46" s="47"/>
      <c r="Y46" s="47"/>
      <c r="Z46" s="47"/>
      <c r="AA46" s="49"/>
      <c r="AB46" s="49"/>
      <c r="AC46" s="49"/>
      <c r="AD46" s="49"/>
      <c r="AE46" s="49"/>
      <c r="AF46" s="49"/>
      <c r="AG46" s="49"/>
      <c r="AH46" s="46"/>
      <c r="AI46" s="41"/>
      <c r="AJ46" s="47"/>
      <c r="AK46" s="47"/>
      <c r="AL46" s="47"/>
      <c r="AM46" s="47"/>
      <c r="AN46" s="41"/>
      <c r="AO46" s="47"/>
      <c r="AP46" s="47"/>
    </row>
    <row r="47" spans="1:42" x14ac:dyDescent="0.25">
      <c r="A47" s="40"/>
      <c r="B47" s="41"/>
      <c r="C47" s="42"/>
      <c r="D47" s="43"/>
      <c r="E47" s="44"/>
      <c r="F47" s="43"/>
      <c r="G47" s="47"/>
      <c r="H47" s="47"/>
      <c r="I47" s="46"/>
      <c r="J47" s="49"/>
      <c r="K47" s="49"/>
      <c r="L47" s="43"/>
      <c r="M47" s="49"/>
      <c r="N47" s="49"/>
      <c r="O47" s="49"/>
      <c r="P47" s="49"/>
      <c r="Q47" s="49"/>
      <c r="R47" s="46"/>
      <c r="S47" s="47"/>
      <c r="T47" s="47"/>
      <c r="U47" s="47"/>
      <c r="V47" s="47"/>
      <c r="W47" s="41"/>
      <c r="X47" s="47"/>
      <c r="Y47" s="47"/>
      <c r="Z47" s="47"/>
      <c r="AA47" s="49"/>
      <c r="AB47" s="49"/>
      <c r="AC47" s="49"/>
      <c r="AD47" s="49"/>
      <c r="AE47" s="49"/>
      <c r="AF47" s="49"/>
      <c r="AG47" s="49"/>
      <c r="AH47" s="46"/>
      <c r="AI47" s="41"/>
      <c r="AJ47" s="47"/>
      <c r="AK47" s="47"/>
      <c r="AL47" s="47"/>
      <c r="AM47" s="47"/>
      <c r="AN47" s="41"/>
      <c r="AO47" s="47"/>
      <c r="AP47" s="47"/>
    </row>
    <row r="48" spans="1:42" x14ac:dyDescent="0.25">
      <c r="A48" s="40"/>
      <c r="B48" s="41"/>
      <c r="C48" s="42"/>
      <c r="D48" s="43"/>
      <c r="E48" s="44"/>
      <c r="F48" s="43"/>
      <c r="G48" s="47"/>
      <c r="H48" s="47"/>
      <c r="I48" s="46"/>
      <c r="J48" s="49"/>
      <c r="K48" s="49"/>
      <c r="L48" s="43"/>
      <c r="M48" s="49"/>
      <c r="N48" s="49"/>
      <c r="O48" s="49"/>
      <c r="P48" s="49"/>
      <c r="Q48" s="49"/>
      <c r="R48" s="46"/>
      <c r="S48" s="47"/>
      <c r="T48" s="47"/>
      <c r="U48" s="47"/>
      <c r="V48" s="47"/>
      <c r="W48" s="41"/>
      <c r="X48" s="47"/>
      <c r="Y48" s="47"/>
      <c r="Z48" s="47"/>
      <c r="AA48" s="49"/>
      <c r="AB48" s="49"/>
      <c r="AC48" s="49"/>
      <c r="AD48" s="49"/>
      <c r="AE48" s="49"/>
      <c r="AF48" s="49"/>
      <c r="AG48" s="49"/>
      <c r="AH48" s="46"/>
      <c r="AI48" s="41"/>
      <c r="AJ48" s="47"/>
      <c r="AK48" s="47"/>
      <c r="AL48" s="47"/>
      <c r="AM48" s="47"/>
      <c r="AN48" s="41"/>
      <c r="AO48" s="47"/>
      <c r="AP48" s="47"/>
    </row>
    <row r="49" spans="1:42" x14ac:dyDescent="0.25">
      <c r="A49" s="40"/>
      <c r="B49" s="41"/>
      <c r="C49" s="42"/>
      <c r="D49" s="43"/>
      <c r="E49" s="44"/>
      <c r="F49" s="43"/>
      <c r="G49" s="47"/>
      <c r="H49" s="47"/>
      <c r="I49" s="46"/>
      <c r="J49" s="49"/>
      <c r="K49" s="49"/>
      <c r="L49" s="43"/>
      <c r="M49" s="49"/>
      <c r="N49" s="49"/>
      <c r="O49" s="49"/>
      <c r="P49" s="49"/>
      <c r="Q49" s="49"/>
      <c r="R49" s="46"/>
      <c r="S49" s="47"/>
      <c r="T49" s="47"/>
      <c r="U49" s="47"/>
      <c r="V49" s="47"/>
      <c r="W49" s="41"/>
      <c r="X49" s="47"/>
      <c r="Y49" s="47"/>
      <c r="Z49" s="47"/>
      <c r="AA49" s="49"/>
      <c r="AB49" s="49"/>
      <c r="AC49" s="49"/>
      <c r="AD49" s="49"/>
      <c r="AE49" s="49"/>
      <c r="AF49" s="49"/>
      <c r="AG49" s="49"/>
      <c r="AH49" s="46"/>
      <c r="AI49" s="41"/>
      <c r="AJ49" s="47"/>
      <c r="AK49" s="47"/>
      <c r="AL49" s="47"/>
      <c r="AM49" s="47"/>
      <c r="AN49" s="41"/>
      <c r="AO49" s="47"/>
      <c r="AP49" s="47"/>
    </row>
    <row r="50" spans="1:42" x14ac:dyDescent="0.25">
      <c r="A50" s="40"/>
      <c r="B50" s="41"/>
      <c r="C50" s="42"/>
      <c r="D50" s="43"/>
      <c r="E50" s="44"/>
      <c r="F50" s="43"/>
      <c r="G50" s="47"/>
      <c r="H50" s="47"/>
      <c r="I50" s="46"/>
      <c r="J50" s="49"/>
      <c r="K50" s="49"/>
      <c r="L50" s="43"/>
      <c r="M50" s="49"/>
      <c r="N50" s="49"/>
      <c r="O50" s="49"/>
      <c r="P50" s="49"/>
      <c r="Q50" s="49"/>
      <c r="R50" s="46"/>
      <c r="S50" s="47"/>
      <c r="T50" s="47"/>
      <c r="U50" s="47"/>
      <c r="V50" s="47"/>
      <c r="W50" s="41"/>
      <c r="X50" s="47"/>
      <c r="Y50" s="47"/>
      <c r="Z50" s="47"/>
      <c r="AA50" s="49"/>
      <c r="AB50" s="49"/>
      <c r="AC50" s="49"/>
      <c r="AD50" s="49"/>
      <c r="AE50" s="49"/>
      <c r="AF50" s="49"/>
      <c r="AG50" s="49"/>
      <c r="AH50" s="46"/>
      <c r="AI50" s="41"/>
      <c r="AJ50" s="47"/>
      <c r="AK50" s="47"/>
      <c r="AL50" s="47"/>
      <c r="AM50" s="47"/>
      <c r="AN50" s="41"/>
      <c r="AO50" s="47"/>
      <c r="AP50" s="47"/>
    </row>
    <row r="51" spans="1:42" x14ac:dyDescent="0.25">
      <c r="A51" s="40"/>
      <c r="B51" s="41"/>
      <c r="C51" s="42"/>
      <c r="D51" s="43"/>
      <c r="E51" s="44"/>
      <c r="F51" s="43"/>
      <c r="G51" s="47"/>
      <c r="H51" s="47"/>
      <c r="I51" s="46"/>
      <c r="J51" s="49"/>
      <c r="K51" s="49"/>
      <c r="L51" s="43"/>
      <c r="M51" s="49"/>
      <c r="N51" s="49"/>
      <c r="O51" s="49"/>
      <c r="P51" s="49"/>
      <c r="Q51" s="49"/>
      <c r="R51" s="46"/>
      <c r="S51" s="47"/>
      <c r="T51" s="47"/>
      <c r="U51" s="47"/>
      <c r="V51" s="47"/>
      <c r="W51" s="41"/>
      <c r="X51" s="47"/>
      <c r="Y51" s="47"/>
      <c r="Z51" s="47"/>
      <c r="AA51" s="49"/>
      <c r="AB51" s="49"/>
      <c r="AC51" s="49"/>
      <c r="AD51" s="49"/>
      <c r="AE51" s="49"/>
      <c r="AF51" s="49"/>
      <c r="AG51" s="49"/>
      <c r="AH51" s="46"/>
      <c r="AI51" s="41"/>
      <c r="AJ51" s="47"/>
      <c r="AK51" s="47"/>
      <c r="AL51" s="47"/>
      <c r="AM51" s="47"/>
      <c r="AN51" s="41"/>
      <c r="AO51" s="47"/>
      <c r="AP51" s="47"/>
    </row>
    <row r="52" spans="1:42" x14ac:dyDescent="0.25">
      <c r="A52" s="40"/>
      <c r="B52" s="41"/>
      <c r="C52" s="42"/>
      <c r="D52" s="43"/>
      <c r="E52" s="44"/>
      <c r="F52" s="43"/>
      <c r="G52" s="47"/>
      <c r="H52" s="47"/>
      <c r="I52" s="46"/>
      <c r="J52" s="49"/>
      <c r="K52" s="49"/>
      <c r="L52" s="43"/>
      <c r="M52" s="49"/>
      <c r="N52" s="49"/>
      <c r="O52" s="49"/>
      <c r="P52" s="49"/>
      <c r="Q52" s="49"/>
      <c r="R52" s="46"/>
      <c r="S52" s="47"/>
      <c r="T52" s="47"/>
      <c r="U52" s="47"/>
      <c r="V52" s="47"/>
      <c r="W52" s="41"/>
      <c r="X52" s="47"/>
      <c r="Y52" s="47"/>
      <c r="Z52" s="47"/>
      <c r="AA52" s="49"/>
      <c r="AB52" s="49"/>
      <c r="AC52" s="49"/>
      <c r="AD52" s="49"/>
      <c r="AE52" s="49"/>
      <c r="AF52" s="49"/>
      <c r="AG52" s="49"/>
      <c r="AH52" s="46"/>
      <c r="AI52" s="41"/>
      <c r="AJ52" s="47"/>
      <c r="AK52" s="47"/>
      <c r="AL52" s="47"/>
      <c r="AM52" s="47"/>
      <c r="AN52" s="41"/>
      <c r="AO52" s="47"/>
      <c r="AP52" s="47"/>
    </row>
    <row r="53" spans="1:42" x14ac:dyDescent="0.25">
      <c r="A53" s="40"/>
      <c r="B53" s="41"/>
      <c r="C53" s="42"/>
      <c r="D53" s="43"/>
      <c r="E53" s="44"/>
      <c r="F53" s="43"/>
      <c r="G53" s="47"/>
      <c r="H53" s="47"/>
      <c r="I53" s="46"/>
      <c r="J53" s="49"/>
      <c r="K53" s="49"/>
      <c r="L53" s="43"/>
      <c r="M53" s="49"/>
      <c r="N53" s="49"/>
      <c r="O53" s="49"/>
      <c r="P53" s="49"/>
      <c r="Q53" s="49"/>
      <c r="R53" s="46"/>
      <c r="S53" s="47"/>
      <c r="T53" s="47"/>
      <c r="U53" s="47"/>
      <c r="V53" s="47"/>
      <c r="W53" s="41"/>
      <c r="X53" s="47"/>
      <c r="Y53" s="47"/>
      <c r="Z53" s="47"/>
      <c r="AA53" s="49"/>
      <c r="AB53" s="49"/>
      <c r="AC53" s="49"/>
      <c r="AD53" s="49"/>
      <c r="AE53" s="49"/>
      <c r="AF53" s="49"/>
      <c r="AG53" s="49"/>
      <c r="AH53" s="46"/>
      <c r="AI53" s="41"/>
      <c r="AJ53" s="47"/>
      <c r="AK53" s="47"/>
      <c r="AL53" s="47"/>
      <c r="AM53" s="47"/>
      <c r="AN53" s="41"/>
      <c r="AO53" s="47"/>
      <c r="AP53" s="47"/>
    </row>
    <row r="54" spans="1:42" x14ac:dyDescent="0.25">
      <c r="A54" s="40"/>
      <c r="B54" s="41"/>
      <c r="C54" s="42"/>
      <c r="D54" s="43"/>
      <c r="E54" s="44"/>
      <c r="F54" s="43"/>
      <c r="G54" s="47"/>
      <c r="H54" s="47"/>
      <c r="I54" s="46"/>
      <c r="J54" s="49"/>
      <c r="K54" s="49"/>
      <c r="L54" s="43"/>
      <c r="M54" s="49"/>
      <c r="N54" s="49"/>
      <c r="O54" s="49"/>
      <c r="P54" s="49"/>
      <c r="Q54" s="49"/>
      <c r="R54" s="46"/>
      <c r="S54" s="47"/>
      <c r="T54" s="47"/>
      <c r="U54" s="47"/>
      <c r="V54" s="47"/>
      <c r="W54" s="41"/>
      <c r="X54" s="47"/>
      <c r="Y54" s="47"/>
      <c r="Z54" s="47"/>
      <c r="AA54" s="49"/>
      <c r="AB54" s="49"/>
      <c r="AC54" s="49"/>
      <c r="AD54" s="49"/>
      <c r="AE54" s="49"/>
      <c r="AF54" s="49"/>
      <c r="AG54" s="49"/>
      <c r="AH54" s="46"/>
      <c r="AI54" s="41"/>
      <c r="AJ54" s="47"/>
      <c r="AK54" s="47"/>
      <c r="AL54" s="47"/>
      <c r="AM54" s="47"/>
      <c r="AN54" s="41"/>
      <c r="AO54" s="47"/>
      <c r="AP54" s="47"/>
    </row>
    <row r="55" spans="1:42" x14ac:dyDescent="0.25">
      <c r="A55" s="40"/>
      <c r="B55" s="41"/>
      <c r="C55" s="42"/>
      <c r="D55" s="43"/>
      <c r="E55" s="44"/>
      <c r="F55" s="43"/>
      <c r="G55" s="47"/>
      <c r="H55" s="47"/>
      <c r="I55" s="46"/>
      <c r="J55" s="49"/>
      <c r="K55" s="49"/>
      <c r="L55" s="43"/>
      <c r="M55" s="49"/>
      <c r="N55" s="49"/>
      <c r="O55" s="49"/>
      <c r="P55" s="49"/>
      <c r="Q55" s="49"/>
      <c r="R55" s="46"/>
      <c r="S55" s="47"/>
      <c r="T55" s="47"/>
      <c r="U55" s="47"/>
      <c r="V55" s="47"/>
      <c r="W55" s="41"/>
      <c r="X55" s="47"/>
      <c r="Y55" s="47"/>
      <c r="Z55" s="47"/>
      <c r="AA55" s="49"/>
      <c r="AB55" s="49"/>
      <c r="AC55" s="49"/>
      <c r="AD55" s="49"/>
      <c r="AE55" s="49"/>
      <c r="AF55" s="49"/>
      <c r="AG55" s="49"/>
      <c r="AH55" s="46"/>
      <c r="AI55" s="41"/>
      <c r="AJ55" s="47"/>
      <c r="AK55" s="47"/>
      <c r="AL55" s="47"/>
      <c r="AM55" s="47"/>
      <c r="AN55" s="41"/>
      <c r="AO55" s="47"/>
      <c r="AP55" s="47"/>
    </row>
    <row r="56" spans="1:42" x14ac:dyDescent="0.25">
      <c r="A56" s="40"/>
      <c r="B56" s="41"/>
      <c r="C56" s="42"/>
      <c r="D56" s="43"/>
      <c r="E56" s="44"/>
      <c r="F56" s="43"/>
      <c r="G56" s="47"/>
      <c r="H56" s="47"/>
      <c r="I56" s="46"/>
      <c r="J56" s="49"/>
      <c r="K56" s="49"/>
      <c r="L56" s="43"/>
      <c r="M56" s="49"/>
      <c r="N56" s="49"/>
      <c r="O56" s="49"/>
      <c r="P56" s="49"/>
      <c r="Q56" s="49"/>
      <c r="R56" s="46"/>
      <c r="S56" s="47"/>
      <c r="T56" s="47"/>
      <c r="U56" s="47"/>
      <c r="V56" s="47"/>
      <c r="W56" s="41"/>
      <c r="X56" s="47"/>
      <c r="Y56" s="47"/>
      <c r="Z56" s="47"/>
      <c r="AA56" s="49"/>
      <c r="AB56" s="49"/>
      <c r="AC56" s="49"/>
      <c r="AD56" s="49"/>
      <c r="AE56" s="49"/>
      <c r="AF56" s="49"/>
      <c r="AG56" s="49"/>
      <c r="AH56" s="46"/>
      <c r="AI56" s="41"/>
      <c r="AJ56" s="47"/>
      <c r="AK56" s="47"/>
      <c r="AL56" s="47"/>
      <c r="AM56" s="47"/>
      <c r="AN56" s="41"/>
      <c r="AO56" s="47"/>
      <c r="AP56" s="47"/>
    </row>
    <row r="57" spans="1:42" x14ac:dyDescent="0.25">
      <c r="A57" s="40"/>
      <c r="B57" s="41"/>
      <c r="C57" s="42"/>
      <c r="D57" s="43"/>
      <c r="E57" s="44"/>
      <c r="F57" s="43"/>
      <c r="G57" s="47"/>
      <c r="H57" s="47"/>
      <c r="I57" s="46"/>
      <c r="J57" s="49"/>
      <c r="K57" s="49"/>
      <c r="L57" s="43"/>
      <c r="M57" s="49"/>
      <c r="N57" s="49"/>
      <c r="O57" s="49"/>
      <c r="P57" s="49"/>
      <c r="Q57" s="49"/>
      <c r="R57" s="46"/>
      <c r="S57" s="47"/>
      <c r="T57" s="47"/>
      <c r="U57" s="47"/>
      <c r="V57" s="47"/>
      <c r="W57" s="41"/>
      <c r="X57" s="47"/>
      <c r="Y57" s="47"/>
      <c r="Z57" s="47"/>
      <c r="AA57" s="49"/>
      <c r="AB57" s="49"/>
      <c r="AC57" s="49"/>
      <c r="AD57" s="49"/>
      <c r="AE57" s="49"/>
      <c r="AF57" s="49"/>
      <c r="AG57" s="49"/>
      <c r="AH57" s="46"/>
      <c r="AI57" s="41"/>
      <c r="AJ57" s="47"/>
      <c r="AK57" s="47"/>
      <c r="AL57" s="47"/>
      <c r="AM57" s="47"/>
      <c r="AN57" s="41"/>
      <c r="AO57" s="47"/>
      <c r="AP57" s="47"/>
    </row>
    <row r="58" spans="1:42" x14ac:dyDescent="0.25">
      <c r="A58" s="40"/>
      <c r="B58" s="41"/>
      <c r="C58" s="42"/>
      <c r="D58" s="43"/>
      <c r="E58" s="44"/>
      <c r="F58" s="43"/>
      <c r="G58" s="47"/>
      <c r="H58" s="47"/>
      <c r="I58" s="46"/>
      <c r="J58" s="49"/>
      <c r="K58" s="49"/>
      <c r="L58" s="43"/>
      <c r="M58" s="49"/>
      <c r="N58" s="49"/>
      <c r="O58" s="49"/>
      <c r="P58" s="49"/>
      <c r="Q58" s="49"/>
      <c r="R58" s="46"/>
      <c r="S58" s="47"/>
      <c r="T58" s="47"/>
      <c r="U58" s="47"/>
      <c r="V58" s="47"/>
      <c r="W58" s="41"/>
      <c r="X58" s="47"/>
      <c r="Y58" s="47"/>
      <c r="Z58" s="47"/>
      <c r="AA58" s="49"/>
      <c r="AB58" s="49"/>
      <c r="AC58" s="49"/>
      <c r="AD58" s="49"/>
      <c r="AE58" s="49"/>
      <c r="AF58" s="49"/>
      <c r="AG58" s="49"/>
      <c r="AH58" s="46"/>
      <c r="AI58" s="41"/>
      <c r="AJ58" s="47"/>
      <c r="AK58" s="47"/>
      <c r="AL58" s="47"/>
      <c r="AM58" s="47"/>
      <c r="AN58" s="41"/>
      <c r="AO58" s="47"/>
      <c r="AP58" s="47"/>
    </row>
    <row r="59" spans="1:42" x14ac:dyDescent="0.25">
      <c r="A59" s="40"/>
      <c r="B59" s="41"/>
      <c r="C59" s="42"/>
      <c r="D59" s="43"/>
      <c r="E59" s="44"/>
      <c r="F59" s="43"/>
      <c r="G59" s="47"/>
      <c r="H59" s="47"/>
      <c r="I59" s="46"/>
      <c r="J59" s="49"/>
      <c r="K59" s="49"/>
      <c r="L59" s="43"/>
      <c r="M59" s="49"/>
      <c r="N59" s="49"/>
      <c r="O59" s="49"/>
      <c r="P59" s="49"/>
      <c r="Q59" s="49"/>
      <c r="R59" s="46"/>
      <c r="S59" s="47"/>
      <c r="T59" s="47"/>
      <c r="U59" s="47"/>
      <c r="V59" s="47"/>
      <c r="W59" s="41"/>
      <c r="X59" s="47"/>
      <c r="Y59" s="47"/>
      <c r="Z59" s="47"/>
      <c r="AA59" s="49"/>
      <c r="AB59" s="49"/>
      <c r="AC59" s="49"/>
      <c r="AD59" s="49"/>
      <c r="AE59" s="49"/>
      <c r="AF59" s="49"/>
      <c r="AG59" s="49"/>
      <c r="AH59" s="46"/>
      <c r="AI59" s="41"/>
      <c r="AJ59" s="47"/>
      <c r="AK59" s="47"/>
      <c r="AL59" s="47"/>
      <c r="AM59" s="47"/>
      <c r="AN59" s="41"/>
      <c r="AO59" s="47"/>
      <c r="AP59" s="47"/>
    </row>
    <row r="60" spans="1:42" x14ac:dyDescent="0.25">
      <c r="A60" s="40"/>
      <c r="B60" s="41"/>
      <c r="C60" s="42"/>
      <c r="D60" s="43"/>
      <c r="E60" s="44"/>
      <c r="F60" s="43"/>
      <c r="G60" s="47"/>
      <c r="H60" s="47"/>
      <c r="I60" s="46"/>
      <c r="J60" s="49"/>
      <c r="K60" s="49"/>
      <c r="L60" s="43"/>
      <c r="M60" s="49"/>
      <c r="N60" s="49"/>
      <c r="O60" s="49"/>
      <c r="P60" s="49"/>
      <c r="Q60" s="49"/>
      <c r="R60" s="46"/>
      <c r="S60" s="47"/>
      <c r="T60" s="47"/>
      <c r="U60" s="47"/>
      <c r="V60" s="47"/>
      <c r="W60" s="41"/>
      <c r="X60" s="47"/>
      <c r="Y60" s="47"/>
      <c r="Z60" s="47"/>
      <c r="AA60" s="49"/>
      <c r="AB60" s="49"/>
      <c r="AC60" s="49"/>
      <c r="AD60" s="49"/>
      <c r="AE60" s="49"/>
      <c r="AF60" s="49"/>
      <c r="AG60" s="49"/>
      <c r="AH60" s="46"/>
      <c r="AI60" s="41"/>
      <c r="AJ60" s="47"/>
      <c r="AK60" s="47"/>
      <c r="AL60" s="47"/>
      <c r="AM60" s="47"/>
      <c r="AN60" s="41"/>
      <c r="AO60" s="47"/>
      <c r="AP60" s="47"/>
    </row>
    <row r="61" spans="1:42" x14ac:dyDescent="0.25">
      <c r="A61" s="40"/>
      <c r="B61" s="41"/>
      <c r="C61" s="42"/>
      <c r="D61" s="43"/>
      <c r="E61" s="44"/>
      <c r="F61" s="43"/>
      <c r="G61" s="47"/>
      <c r="H61" s="47"/>
      <c r="I61" s="46"/>
      <c r="J61" s="49"/>
      <c r="K61" s="49"/>
      <c r="L61" s="43"/>
      <c r="M61" s="49"/>
      <c r="N61" s="49"/>
      <c r="O61" s="49"/>
      <c r="P61" s="49"/>
      <c r="Q61" s="49"/>
      <c r="R61" s="46"/>
      <c r="S61" s="47"/>
      <c r="T61" s="47"/>
      <c r="U61" s="47"/>
      <c r="V61" s="47"/>
      <c r="W61" s="41"/>
      <c r="X61" s="47"/>
      <c r="Y61" s="47"/>
      <c r="Z61" s="47"/>
      <c r="AA61" s="49"/>
      <c r="AB61" s="49"/>
      <c r="AC61" s="49"/>
      <c r="AD61" s="49"/>
      <c r="AE61" s="49"/>
      <c r="AF61" s="49"/>
      <c r="AG61" s="49"/>
      <c r="AH61" s="46"/>
      <c r="AI61" s="41"/>
      <c r="AJ61" s="47"/>
      <c r="AK61" s="47"/>
      <c r="AL61" s="47"/>
      <c r="AM61" s="47"/>
      <c r="AN61" s="41"/>
      <c r="AO61" s="47"/>
      <c r="AP61" s="47"/>
    </row>
    <row r="62" spans="1:42" x14ac:dyDescent="0.25">
      <c r="A62" s="40"/>
      <c r="B62" s="41"/>
      <c r="C62" s="42"/>
      <c r="D62" s="43"/>
      <c r="E62" s="44"/>
      <c r="F62" s="43"/>
      <c r="G62" s="47"/>
      <c r="H62" s="47"/>
      <c r="I62" s="46"/>
      <c r="J62" s="49"/>
      <c r="K62" s="49"/>
      <c r="L62" s="43"/>
      <c r="M62" s="49"/>
      <c r="N62" s="49"/>
      <c r="O62" s="49"/>
      <c r="P62" s="49"/>
      <c r="Q62" s="49"/>
      <c r="R62" s="46"/>
      <c r="S62" s="47"/>
      <c r="T62" s="47"/>
      <c r="U62" s="47"/>
      <c r="V62" s="47"/>
      <c r="W62" s="41"/>
      <c r="X62" s="47"/>
      <c r="Y62" s="47"/>
      <c r="Z62" s="47"/>
      <c r="AA62" s="49"/>
      <c r="AB62" s="49"/>
      <c r="AC62" s="49"/>
      <c r="AD62" s="49"/>
      <c r="AE62" s="49"/>
      <c r="AF62" s="49"/>
      <c r="AG62" s="49"/>
      <c r="AH62" s="46"/>
      <c r="AI62" s="41"/>
      <c r="AJ62" s="47"/>
      <c r="AK62" s="47"/>
      <c r="AL62" s="47"/>
      <c r="AM62" s="47"/>
      <c r="AN62" s="41"/>
      <c r="AO62" s="47"/>
      <c r="AP62" s="47"/>
    </row>
    <row r="63" spans="1:42" x14ac:dyDescent="0.25">
      <c r="A63" s="40"/>
      <c r="B63" s="41"/>
      <c r="C63" s="42"/>
      <c r="D63" s="43"/>
      <c r="E63" s="44"/>
      <c r="F63" s="43"/>
      <c r="G63" s="47"/>
      <c r="H63" s="47"/>
      <c r="I63" s="46"/>
      <c r="J63" s="49"/>
      <c r="K63" s="49"/>
      <c r="L63" s="43"/>
      <c r="M63" s="49"/>
      <c r="N63" s="49"/>
      <c r="O63" s="49"/>
      <c r="P63" s="49"/>
      <c r="Q63" s="49"/>
      <c r="R63" s="46"/>
      <c r="S63" s="47"/>
      <c r="T63" s="47"/>
      <c r="U63" s="47"/>
      <c r="V63" s="47"/>
      <c r="W63" s="41"/>
      <c r="X63" s="47"/>
      <c r="Y63" s="47"/>
      <c r="Z63" s="47"/>
      <c r="AA63" s="49"/>
      <c r="AB63" s="49"/>
      <c r="AC63" s="49"/>
      <c r="AD63" s="49"/>
      <c r="AE63" s="49"/>
      <c r="AF63" s="49"/>
      <c r="AG63" s="49"/>
      <c r="AH63" s="46"/>
      <c r="AI63" s="41"/>
      <c r="AJ63" s="47"/>
      <c r="AK63" s="47"/>
      <c r="AL63" s="47"/>
      <c r="AM63" s="47"/>
      <c r="AN63" s="41"/>
      <c r="AO63" s="47"/>
      <c r="AP63" s="47"/>
    </row>
    <row r="64" spans="1:42" x14ac:dyDescent="0.25">
      <c r="A64" s="40"/>
      <c r="B64" s="41"/>
      <c r="C64" s="42"/>
      <c r="D64" s="43"/>
      <c r="E64" s="44"/>
      <c r="F64" s="43"/>
      <c r="G64" s="47"/>
      <c r="H64" s="47"/>
      <c r="I64" s="46"/>
      <c r="J64" s="49"/>
      <c r="K64" s="49"/>
      <c r="L64" s="43"/>
      <c r="M64" s="49"/>
      <c r="N64" s="49"/>
      <c r="O64" s="49"/>
      <c r="P64" s="49"/>
      <c r="Q64" s="49"/>
      <c r="R64" s="46"/>
      <c r="S64" s="47"/>
      <c r="T64" s="47"/>
      <c r="U64" s="47"/>
      <c r="V64" s="47"/>
      <c r="W64" s="41"/>
      <c r="X64" s="47"/>
      <c r="Y64" s="47"/>
      <c r="Z64" s="47"/>
      <c r="AA64" s="49"/>
      <c r="AB64" s="49"/>
      <c r="AC64" s="49"/>
      <c r="AD64" s="49"/>
      <c r="AE64" s="49"/>
      <c r="AF64" s="49"/>
      <c r="AG64" s="49"/>
      <c r="AH64" s="46"/>
      <c r="AI64" s="41"/>
      <c r="AJ64" s="47"/>
      <c r="AK64" s="47"/>
      <c r="AL64" s="47"/>
      <c r="AM64" s="47"/>
      <c r="AN64" s="41"/>
      <c r="AO64" s="47"/>
      <c r="AP64" s="47"/>
    </row>
    <row r="65" spans="1:42" x14ac:dyDescent="0.25">
      <c r="A65" s="40"/>
      <c r="B65" s="41"/>
      <c r="C65" s="42"/>
      <c r="D65" s="43"/>
      <c r="E65" s="44"/>
      <c r="F65" s="43"/>
      <c r="G65" s="47"/>
      <c r="H65" s="47"/>
      <c r="I65" s="46"/>
      <c r="J65" s="49"/>
      <c r="K65" s="49"/>
      <c r="L65" s="43"/>
      <c r="M65" s="49"/>
      <c r="N65" s="49"/>
      <c r="O65" s="49"/>
      <c r="P65" s="49"/>
      <c r="Q65" s="49"/>
      <c r="R65" s="46"/>
      <c r="S65" s="47"/>
      <c r="T65" s="47"/>
      <c r="U65" s="47"/>
      <c r="V65" s="47"/>
      <c r="W65" s="41"/>
      <c r="X65" s="47"/>
      <c r="Y65" s="47"/>
      <c r="Z65" s="47"/>
      <c r="AA65" s="49"/>
      <c r="AB65" s="49"/>
      <c r="AC65" s="49"/>
      <c r="AD65" s="49"/>
      <c r="AE65" s="49"/>
      <c r="AF65" s="49"/>
      <c r="AG65" s="49"/>
      <c r="AH65" s="46"/>
      <c r="AI65" s="41"/>
      <c r="AJ65" s="47"/>
      <c r="AK65" s="47"/>
      <c r="AL65" s="47"/>
      <c r="AM65" s="47"/>
      <c r="AN65" s="41"/>
      <c r="AO65" s="47"/>
      <c r="AP65" s="47"/>
    </row>
    <row r="66" spans="1:42" x14ac:dyDescent="0.25">
      <c r="A66" s="40"/>
      <c r="B66" s="41"/>
      <c r="C66" s="42"/>
      <c r="D66" s="43"/>
      <c r="E66" s="44"/>
      <c r="F66" s="43"/>
      <c r="G66" s="47"/>
      <c r="H66" s="47"/>
      <c r="I66" s="46"/>
      <c r="J66" s="49"/>
      <c r="K66" s="49"/>
      <c r="L66" s="43"/>
      <c r="M66" s="49"/>
      <c r="N66" s="49"/>
      <c r="O66" s="49"/>
      <c r="P66" s="49"/>
      <c r="Q66" s="49"/>
      <c r="R66" s="46"/>
      <c r="S66" s="47"/>
      <c r="T66" s="47"/>
      <c r="U66" s="47"/>
      <c r="V66" s="47"/>
      <c r="W66" s="41"/>
      <c r="X66" s="47"/>
      <c r="Y66" s="47"/>
      <c r="Z66" s="47"/>
      <c r="AA66" s="49"/>
      <c r="AB66" s="49"/>
      <c r="AC66" s="49"/>
      <c r="AD66" s="49"/>
      <c r="AE66" s="49"/>
      <c r="AF66" s="49"/>
      <c r="AG66" s="49"/>
      <c r="AH66" s="46"/>
      <c r="AI66" s="41"/>
      <c r="AJ66" s="47"/>
      <c r="AK66" s="47"/>
      <c r="AL66" s="47"/>
      <c r="AM66" s="47"/>
      <c r="AN66" s="41"/>
      <c r="AO66" s="47"/>
      <c r="AP66" s="47"/>
    </row>
    <row r="67" spans="1:42" x14ac:dyDescent="0.25">
      <c r="A67" s="40"/>
      <c r="B67" s="41"/>
      <c r="C67" s="42"/>
      <c r="D67" s="43"/>
      <c r="E67" s="44"/>
      <c r="F67" s="43"/>
      <c r="G67" s="47"/>
      <c r="H67" s="47"/>
      <c r="I67" s="46"/>
      <c r="J67" s="49"/>
      <c r="K67" s="49"/>
      <c r="L67" s="43"/>
      <c r="M67" s="49"/>
      <c r="N67" s="49"/>
      <c r="O67" s="49"/>
      <c r="P67" s="49"/>
      <c r="Q67" s="49"/>
      <c r="R67" s="46"/>
      <c r="S67" s="47"/>
      <c r="T67" s="47"/>
      <c r="U67" s="47"/>
      <c r="V67" s="47"/>
      <c r="W67" s="41"/>
      <c r="X67" s="47"/>
      <c r="Y67" s="47"/>
      <c r="Z67" s="47"/>
      <c r="AA67" s="49"/>
      <c r="AB67" s="49"/>
      <c r="AC67" s="49"/>
      <c r="AD67" s="49"/>
      <c r="AE67" s="49"/>
      <c r="AF67" s="49"/>
      <c r="AG67" s="49"/>
      <c r="AH67" s="46"/>
      <c r="AI67" s="41"/>
      <c r="AJ67" s="47"/>
      <c r="AK67" s="47"/>
      <c r="AL67" s="47"/>
      <c r="AM67" s="47"/>
      <c r="AN67" s="41"/>
      <c r="AO67" s="47"/>
      <c r="AP67" s="47"/>
    </row>
    <row r="68" spans="1:42" x14ac:dyDescent="0.25">
      <c r="A68" s="40"/>
      <c r="B68" s="41"/>
      <c r="C68" s="42"/>
      <c r="D68" s="43"/>
      <c r="E68" s="44"/>
      <c r="F68" s="43"/>
      <c r="G68" s="47"/>
      <c r="H68" s="47"/>
      <c r="I68" s="46"/>
      <c r="J68" s="49"/>
      <c r="K68" s="49"/>
      <c r="L68" s="43"/>
      <c r="M68" s="49"/>
      <c r="N68" s="49"/>
      <c r="O68" s="49"/>
      <c r="P68" s="49"/>
      <c r="Q68" s="49"/>
      <c r="R68" s="46"/>
      <c r="S68" s="47"/>
      <c r="T68" s="47"/>
      <c r="U68" s="47"/>
      <c r="V68" s="47"/>
      <c r="W68" s="41"/>
      <c r="X68" s="47"/>
      <c r="Y68" s="47"/>
      <c r="Z68" s="47"/>
      <c r="AA68" s="49"/>
      <c r="AB68" s="49"/>
      <c r="AC68" s="49"/>
      <c r="AD68" s="49"/>
      <c r="AE68" s="49"/>
      <c r="AF68" s="49"/>
      <c r="AG68" s="49"/>
      <c r="AH68" s="46"/>
      <c r="AI68" s="41"/>
      <c r="AJ68" s="47"/>
      <c r="AK68" s="47"/>
      <c r="AL68" s="47"/>
      <c r="AM68" s="47"/>
      <c r="AN68" s="41"/>
      <c r="AO68" s="47"/>
      <c r="AP68" s="47"/>
    </row>
    <row r="69" spans="1:42" x14ac:dyDescent="0.25">
      <c r="A69" s="40"/>
      <c r="B69" s="41"/>
      <c r="C69" s="42"/>
      <c r="D69" s="43"/>
      <c r="E69" s="44"/>
      <c r="F69" s="43"/>
      <c r="G69" s="47"/>
      <c r="H69" s="47"/>
      <c r="I69" s="46"/>
      <c r="J69" s="49"/>
      <c r="K69" s="49"/>
      <c r="L69" s="43"/>
      <c r="M69" s="49"/>
      <c r="N69" s="49"/>
      <c r="O69" s="49"/>
      <c r="P69" s="49"/>
      <c r="Q69" s="49"/>
      <c r="R69" s="46"/>
      <c r="S69" s="47"/>
      <c r="T69" s="47"/>
      <c r="U69" s="47"/>
      <c r="V69" s="47"/>
      <c r="W69" s="41"/>
      <c r="X69" s="47"/>
      <c r="Y69" s="47"/>
      <c r="Z69" s="47"/>
      <c r="AA69" s="49"/>
      <c r="AB69" s="49"/>
      <c r="AC69" s="49"/>
      <c r="AD69" s="49"/>
      <c r="AE69" s="49"/>
      <c r="AF69" s="49"/>
      <c r="AG69" s="49"/>
      <c r="AH69" s="46"/>
      <c r="AI69" s="41"/>
      <c r="AJ69" s="47"/>
      <c r="AK69" s="47"/>
      <c r="AL69" s="47"/>
      <c r="AM69" s="47"/>
      <c r="AN69" s="41"/>
      <c r="AO69" s="47"/>
      <c r="AP69" s="47"/>
    </row>
    <row r="70" spans="1:42" x14ac:dyDescent="0.25">
      <c r="A70" s="40"/>
      <c r="B70" s="41"/>
      <c r="C70" s="42"/>
      <c r="D70" s="43"/>
      <c r="E70" s="44"/>
      <c r="F70" s="43"/>
      <c r="G70" s="47"/>
      <c r="H70" s="47"/>
      <c r="I70" s="46"/>
      <c r="J70" s="49"/>
      <c r="K70" s="49"/>
      <c r="L70" s="43"/>
      <c r="M70" s="49"/>
      <c r="N70" s="49"/>
      <c r="O70" s="49"/>
      <c r="P70" s="49"/>
      <c r="Q70" s="49"/>
      <c r="R70" s="46"/>
      <c r="S70" s="47"/>
      <c r="T70" s="47"/>
      <c r="U70" s="47"/>
      <c r="V70" s="47"/>
      <c r="W70" s="41"/>
      <c r="X70" s="47"/>
      <c r="Y70" s="47"/>
      <c r="Z70" s="47"/>
      <c r="AA70" s="49"/>
      <c r="AB70" s="49"/>
      <c r="AC70" s="49"/>
      <c r="AD70" s="49"/>
      <c r="AE70" s="49"/>
      <c r="AF70" s="49"/>
      <c r="AG70" s="49"/>
      <c r="AH70" s="46"/>
      <c r="AI70" s="41"/>
      <c r="AJ70" s="47"/>
      <c r="AK70" s="47"/>
      <c r="AL70" s="47"/>
      <c r="AM70" s="47"/>
      <c r="AN70" s="41"/>
      <c r="AO70" s="47"/>
      <c r="AP70" s="47"/>
    </row>
    <row r="71" spans="1:42" x14ac:dyDescent="0.25">
      <c r="A71" s="40"/>
      <c r="B71" s="41"/>
      <c r="C71" s="42"/>
      <c r="D71" s="43"/>
      <c r="E71" s="44"/>
      <c r="F71" s="43"/>
      <c r="G71" s="47"/>
      <c r="H71" s="47"/>
      <c r="I71" s="46"/>
      <c r="J71" s="49"/>
      <c r="K71" s="49"/>
      <c r="L71" s="43"/>
      <c r="M71" s="49"/>
      <c r="N71" s="49"/>
      <c r="O71" s="49"/>
      <c r="P71" s="49"/>
      <c r="Q71" s="49"/>
      <c r="R71" s="46"/>
      <c r="S71" s="47"/>
      <c r="T71" s="47"/>
      <c r="U71" s="47"/>
      <c r="V71" s="47"/>
      <c r="W71" s="41"/>
      <c r="X71" s="47"/>
      <c r="Y71" s="47"/>
      <c r="Z71" s="47"/>
      <c r="AA71" s="49"/>
      <c r="AB71" s="49"/>
      <c r="AC71" s="49"/>
      <c r="AD71" s="49"/>
      <c r="AE71" s="49"/>
      <c r="AF71" s="49"/>
      <c r="AG71" s="49"/>
      <c r="AH71" s="46"/>
      <c r="AI71" s="41"/>
      <c r="AJ71" s="47"/>
      <c r="AK71" s="47"/>
      <c r="AL71" s="47"/>
      <c r="AM71" s="47"/>
      <c r="AN71" s="41"/>
      <c r="AO71" s="47"/>
      <c r="AP71" s="47"/>
    </row>
    <row r="72" spans="1:42" x14ac:dyDescent="0.25">
      <c r="A72" s="40"/>
      <c r="B72" s="41"/>
      <c r="C72" s="42"/>
      <c r="D72" s="43"/>
      <c r="E72" s="44"/>
      <c r="F72" s="43"/>
      <c r="G72" s="47"/>
      <c r="H72" s="47"/>
      <c r="I72" s="46"/>
      <c r="J72" s="49"/>
      <c r="K72" s="49"/>
      <c r="L72" s="43"/>
      <c r="M72" s="49"/>
      <c r="N72" s="49"/>
      <c r="O72" s="49"/>
      <c r="P72" s="49"/>
      <c r="Q72" s="49"/>
      <c r="R72" s="46"/>
      <c r="S72" s="47"/>
      <c r="T72" s="47"/>
      <c r="U72" s="47"/>
      <c r="V72" s="47"/>
      <c r="W72" s="41"/>
      <c r="X72" s="47"/>
      <c r="Y72" s="47"/>
      <c r="Z72" s="47"/>
      <c r="AA72" s="49"/>
      <c r="AB72" s="49"/>
      <c r="AC72" s="49"/>
      <c r="AD72" s="49"/>
      <c r="AE72" s="49"/>
      <c r="AF72" s="49"/>
      <c r="AG72" s="49"/>
      <c r="AH72" s="46"/>
      <c r="AI72" s="41"/>
      <c r="AJ72" s="47"/>
      <c r="AK72" s="47"/>
      <c r="AL72" s="47"/>
      <c r="AM72" s="47"/>
      <c r="AN72" s="41"/>
      <c r="AO72" s="47"/>
      <c r="AP72" s="47"/>
    </row>
    <row r="73" spans="1:42" x14ac:dyDescent="0.25">
      <c r="A73" s="40"/>
      <c r="B73" s="41"/>
      <c r="C73" s="42"/>
      <c r="D73" s="43"/>
      <c r="E73" s="44"/>
      <c r="F73" s="43"/>
      <c r="G73" s="47"/>
      <c r="H73" s="47"/>
      <c r="I73" s="46"/>
      <c r="J73" s="49"/>
      <c r="K73" s="49"/>
      <c r="L73" s="43"/>
      <c r="M73" s="49"/>
      <c r="N73" s="49"/>
      <c r="O73" s="49"/>
      <c r="P73" s="49"/>
      <c r="Q73" s="49"/>
      <c r="R73" s="46"/>
      <c r="S73" s="47"/>
      <c r="T73" s="47"/>
      <c r="U73" s="47"/>
      <c r="V73" s="47"/>
      <c r="W73" s="41"/>
      <c r="X73" s="47"/>
      <c r="Y73" s="47"/>
      <c r="Z73" s="47"/>
      <c r="AA73" s="49"/>
      <c r="AB73" s="49"/>
      <c r="AC73" s="49"/>
      <c r="AD73" s="49"/>
      <c r="AE73" s="49"/>
      <c r="AF73" s="49"/>
      <c r="AG73" s="49"/>
      <c r="AH73" s="46"/>
      <c r="AI73" s="41"/>
      <c r="AJ73" s="47"/>
      <c r="AK73" s="47"/>
      <c r="AL73" s="47"/>
      <c r="AM73" s="47"/>
      <c r="AN73" s="41"/>
      <c r="AO73" s="47"/>
      <c r="AP73" s="47"/>
    </row>
    <row r="74" spans="1:42" x14ac:dyDescent="0.25">
      <c r="A74" s="40"/>
      <c r="B74" s="41"/>
      <c r="C74" s="42"/>
      <c r="D74" s="43"/>
      <c r="E74" s="44"/>
      <c r="F74" s="43"/>
      <c r="G74" s="47"/>
      <c r="H74" s="47"/>
      <c r="I74" s="46"/>
      <c r="J74" s="49"/>
      <c r="K74" s="49"/>
      <c r="L74" s="43"/>
      <c r="M74" s="49"/>
      <c r="N74" s="49"/>
      <c r="O74" s="49"/>
      <c r="P74" s="49"/>
      <c r="Q74" s="49"/>
      <c r="R74" s="46"/>
      <c r="S74" s="47"/>
      <c r="T74" s="47"/>
      <c r="U74" s="47"/>
      <c r="V74" s="47"/>
      <c r="W74" s="41"/>
      <c r="X74" s="47"/>
      <c r="Y74" s="47"/>
      <c r="Z74" s="47"/>
      <c r="AA74" s="49"/>
      <c r="AB74" s="49"/>
      <c r="AC74" s="49"/>
      <c r="AD74" s="49"/>
      <c r="AE74" s="49"/>
      <c r="AF74" s="49"/>
      <c r="AG74" s="49"/>
      <c r="AH74" s="46"/>
      <c r="AI74" s="41"/>
      <c r="AJ74" s="47"/>
      <c r="AK74" s="47"/>
      <c r="AL74" s="47"/>
      <c r="AM74" s="47"/>
      <c r="AN74" s="41"/>
      <c r="AO74" s="47"/>
      <c r="AP74" s="47"/>
    </row>
    <row r="75" spans="1:42" x14ac:dyDescent="0.25">
      <c r="A75" s="40"/>
      <c r="B75" s="41"/>
      <c r="C75" s="42"/>
      <c r="D75" s="43"/>
      <c r="E75" s="44"/>
      <c r="F75" s="43"/>
      <c r="G75" s="47"/>
      <c r="H75" s="47"/>
      <c r="I75" s="46"/>
      <c r="J75" s="49"/>
      <c r="K75" s="49"/>
      <c r="L75" s="43"/>
      <c r="M75" s="49"/>
      <c r="N75" s="49"/>
      <c r="O75" s="49"/>
      <c r="P75" s="49"/>
      <c r="Q75" s="49"/>
      <c r="R75" s="46"/>
      <c r="S75" s="47"/>
      <c r="T75" s="47"/>
      <c r="U75" s="47"/>
      <c r="V75" s="47"/>
      <c r="W75" s="41"/>
      <c r="X75" s="47"/>
      <c r="Y75" s="47"/>
      <c r="Z75" s="47"/>
      <c r="AA75" s="49"/>
      <c r="AB75" s="49"/>
      <c r="AC75" s="49"/>
      <c r="AD75" s="49"/>
      <c r="AE75" s="49"/>
      <c r="AF75" s="49"/>
      <c r="AG75" s="49"/>
      <c r="AH75" s="46"/>
      <c r="AI75" s="41"/>
      <c r="AJ75" s="47"/>
      <c r="AK75" s="47"/>
      <c r="AL75" s="47"/>
      <c r="AM75" s="47"/>
      <c r="AN75" s="41"/>
      <c r="AO75" s="47"/>
      <c r="AP75" s="47"/>
    </row>
    <row r="76" spans="1:42" x14ac:dyDescent="0.25">
      <c r="A76" s="40"/>
      <c r="B76" s="41"/>
      <c r="C76" s="42"/>
      <c r="D76" s="43"/>
      <c r="E76" s="44"/>
      <c r="F76" s="43"/>
      <c r="G76" s="47"/>
      <c r="H76" s="47"/>
      <c r="I76" s="46"/>
      <c r="J76" s="49"/>
      <c r="K76" s="49"/>
      <c r="L76" s="43"/>
      <c r="M76" s="49"/>
      <c r="N76" s="49"/>
      <c r="O76" s="49"/>
      <c r="P76" s="49"/>
      <c r="Q76" s="49"/>
      <c r="R76" s="46"/>
      <c r="S76" s="47"/>
      <c r="T76" s="47"/>
      <c r="U76" s="47"/>
      <c r="V76" s="47"/>
      <c r="W76" s="41"/>
      <c r="X76" s="47"/>
      <c r="Y76" s="47"/>
      <c r="Z76" s="47"/>
      <c r="AA76" s="49"/>
      <c r="AB76" s="49"/>
      <c r="AC76" s="49"/>
      <c r="AD76" s="49"/>
      <c r="AE76" s="49"/>
      <c r="AF76" s="49"/>
      <c r="AG76" s="49"/>
      <c r="AH76" s="46"/>
      <c r="AI76" s="41"/>
      <c r="AJ76" s="47"/>
      <c r="AK76" s="47"/>
      <c r="AL76" s="47"/>
      <c r="AM76" s="47"/>
      <c r="AN76" s="41"/>
      <c r="AO76" s="47"/>
      <c r="AP76" s="47"/>
    </row>
    <row r="77" spans="1:42" x14ac:dyDescent="0.25">
      <c r="A77" s="40"/>
      <c r="B77" s="41"/>
      <c r="C77" s="42"/>
      <c r="D77" s="43"/>
      <c r="E77" s="44"/>
      <c r="F77" s="43"/>
      <c r="G77" s="47"/>
      <c r="H77" s="47"/>
      <c r="I77" s="46"/>
      <c r="J77" s="49"/>
      <c r="K77" s="49"/>
      <c r="L77" s="43"/>
      <c r="M77" s="49"/>
      <c r="N77" s="49"/>
      <c r="O77" s="49"/>
      <c r="P77" s="49"/>
      <c r="Q77" s="49"/>
      <c r="R77" s="46"/>
      <c r="S77" s="47"/>
      <c r="T77" s="47"/>
      <c r="U77" s="47"/>
      <c r="V77" s="47"/>
      <c r="W77" s="41"/>
      <c r="X77" s="47"/>
      <c r="Y77" s="47"/>
      <c r="Z77" s="47"/>
      <c r="AA77" s="49"/>
      <c r="AB77" s="49"/>
      <c r="AC77" s="49"/>
      <c r="AD77" s="49"/>
      <c r="AE77" s="49"/>
      <c r="AF77" s="49"/>
      <c r="AG77" s="49"/>
      <c r="AH77" s="46"/>
      <c r="AI77" s="41"/>
      <c r="AJ77" s="47"/>
      <c r="AK77" s="47"/>
      <c r="AL77" s="47"/>
      <c r="AM77" s="47"/>
      <c r="AN77" s="41"/>
      <c r="AO77" s="47"/>
      <c r="AP77" s="47"/>
    </row>
    <row r="78" spans="1:42" x14ac:dyDescent="0.25">
      <c r="A78" s="40"/>
      <c r="B78" s="41"/>
      <c r="C78" s="42"/>
      <c r="D78" s="43"/>
      <c r="E78" s="44"/>
      <c r="F78" s="43"/>
      <c r="G78" s="47"/>
      <c r="H78" s="47"/>
      <c r="I78" s="46"/>
      <c r="J78" s="49"/>
      <c r="K78" s="49"/>
      <c r="L78" s="43"/>
      <c r="M78" s="49"/>
      <c r="N78" s="49"/>
      <c r="O78" s="49"/>
      <c r="P78" s="49"/>
      <c r="Q78" s="49"/>
      <c r="R78" s="46"/>
      <c r="S78" s="47"/>
      <c r="T78" s="47"/>
      <c r="U78" s="47"/>
      <c r="V78" s="47"/>
      <c r="W78" s="41"/>
      <c r="X78" s="47"/>
      <c r="Y78" s="47"/>
      <c r="Z78" s="47"/>
      <c r="AA78" s="49"/>
      <c r="AB78" s="49"/>
      <c r="AC78" s="49"/>
      <c r="AD78" s="49"/>
      <c r="AE78" s="49"/>
      <c r="AF78" s="49"/>
      <c r="AG78" s="49"/>
      <c r="AH78" s="46"/>
      <c r="AI78" s="41"/>
      <c r="AJ78" s="47"/>
      <c r="AK78" s="47"/>
      <c r="AL78" s="47"/>
      <c r="AM78" s="47"/>
      <c r="AN78" s="41"/>
      <c r="AO78" s="47"/>
      <c r="AP78" s="47"/>
    </row>
    <row r="79" spans="1:42" x14ac:dyDescent="0.25">
      <c r="A79" s="40"/>
      <c r="B79" s="41"/>
      <c r="C79" s="42"/>
      <c r="D79" s="43"/>
      <c r="E79" s="44"/>
      <c r="F79" s="43"/>
      <c r="G79" s="47"/>
      <c r="H79" s="47"/>
      <c r="I79" s="46"/>
      <c r="J79" s="49"/>
      <c r="K79" s="49"/>
      <c r="L79" s="43"/>
      <c r="M79" s="49"/>
      <c r="N79" s="49"/>
      <c r="O79" s="49"/>
      <c r="P79" s="49"/>
      <c r="Q79" s="49"/>
      <c r="R79" s="46"/>
      <c r="S79" s="47"/>
      <c r="T79" s="47"/>
      <c r="U79" s="47"/>
      <c r="V79" s="47"/>
      <c r="W79" s="41"/>
      <c r="X79" s="47"/>
      <c r="Y79" s="47"/>
      <c r="Z79" s="47"/>
      <c r="AA79" s="49"/>
      <c r="AB79" s="49"/>
      <c r="AC79" s="49"/>
      <c r="AD79" s="49"/>
      <c r="AE79" s="49"/>
      <c r="AF79" s="49"/>
      <c r="AG79" s="49"/>
      <c r="AH79" s="46"/>
      <c r="AI79" s="41"/>
      <c r="AJ79" s="47"/>
      <c r="AK79" s="47"/>
      <c r="AL79" s="47"/>
      <c r="AM79" s="47"/>
      <c r="AN79" s="41"/>
      <c r="AO79" s="47"/>
      <c r="AP79" s="47"/>
    </row>
    <row r="80" spans="1:42" x14ac:dyDescent="0.25">
      <c r="A80" s="40"/>
      <c r="B80" s="41"/>
      <c r="C80" s="42"/>
      <c r="D80" s="43"/>
      <c r="E80" s="44"/>
      <c r="F80" s="43"/>
      <c r="G80" s="47"/>
      <c r="H80" s="47"/>
      <c r="I80" s="46"/>
      <c r="J80" s="49"/>
      <c r="K80" s="49"/>
      <c r="L80" s="43"/>
      <c r="M80" s="49"/>
      <c r="N80" s="49"/>
      <c r="O80" s="49"/>
      <c r="P80" s="49"/>
      <c r="Q80" s="49"/>
      <c r="R80" s="46"/>
      <c r="S80" s="47"/>
      <c r="T80" s="47"/>
      <c r="U80" s="47"/>
      <c r="V80" s="47"/>
      <c r="W80" s="41"/>
      <c r="X80" s="47"/>
      <c r="Y80" s="47"/>
      <c r="Z80" s="47"/>
      <c r="AA80" s="49"/>
      <c r="AB80" s="49"/>
      <c r="AC80" s="49"/>
      <c r="AD80" s="49"/>
      <c r="AE80" s="49"/>
      <c r="AF80" s="49"/>
      <c r="AG80" s="49"/>
      <c r="AH80" s="46"/>
      <c r="AI80" s="41"/>
      <c r="AJ80" s="47"/>
      <c r="AK80" s="47"/>
      <c r="AL80" s="47"/>
      <c r="AM80" s="47"/>
      <c r="AN80" s="41"/>
      <c r="AO80" s="47"/>
      <c r="AP80" s="47"/>
    </row>
    <row r="81" spans="1:42" x14ac:dyDescent="0.25">
      <c r="A81" s="40"/>
      <c r="B81" s="41"/>
      <c r="C81" s="42"/>
      <c r="D81" s="43"/>
      <c r="E81" s="44"/>
      <c r="F81" s="43"/>
      <c r="G81" s="47"/>
      <c r="H81" s="47"/>
      <c r="I81" s="46"/>
      <c r="J81" s="49"/>
      <c r="K81" s="49"/>
      <c r="L81" s="43"/>
      <c r="M81" s="49"/>
      <c r="N81" s="49"/>
      <c r="O81" s="49"/>
      <c r="P81" s="49"/>
      <c r="Q81" s="49"/>
      <c r="R81" s="46"/>
      <c r="S81" s="47"/>
      <c r="T81" s="47"/>
      <c r="U81" s="47"/>
      <c r="V81" s="47"/>
      <c r="W81" s="41"/>
      <c r="X81" s="47"/>
      <c r="Y81" s="47"/>
      <c r="Z81" s="47"/>
      <c r="AA81" s="49"/>
      <c r="AB81" s="49"/>
      <c r="AC81" s="49"/>
      <c r="AD81" s="49"/>
      <c r="AE81" s="49"/>
      <c r="AF81" s="49"/>
      <c r="AG81" s="49"/>
      <c r="AH81" s="46"/>
      <c r="AI81" s="41"/>
      <c r="AJ81" s="47"/>
      <c r="AK81" s="47"/>
      <c r="AL81" s="47"/>
      <c r="AM81" s="47"/>
      <c r="AN81" s="41"/>
      <c r="AO81" s="47"/>
      <c r="AP81" s="47"/>
    </row>
    <row r="82" spans="1:42" x14ac:dyDescent="0.25">
      <c r="A82" s="40"/>
      <c r="B82" s="41"/>
      <c r="C82" s="42"/>
      <c r="D82" s="43"/>
      <c r="E82" s="44"/>
      <c r="F82" s="43"/>
      <c r="G82" s="47"/>
      <c r="H82" s="47"/>
      <c r="I82" s="46"/>
      <c r="J82" s="49"/>
      <c r="K82" s="49"/>
      <c r="L82" s="43"/>
      <c r="M82" s="49"/>
      <c r="N82" s="49"/>
      <c r="O82" s="49"/>
      <c r="P82" s="49"/>
      <c r="Q82" s="49"/>
      <c r="R82" s="46"/>
      <c r="S82" s="47"/>
      <c r="T82" s="47"/>
      <c r="U82" s="47"/>
      <c r="V82" s="47"/>
      <c r="W82" s="41"/>
      <c r="X82" s="47"/>
      <c r="Y82" s="47"/>
      <c r="Z82" s="47"/>
      <c r="AA82" s="49"/>
      <c r="AB82" s="49"/>
      <c r="AC82" s="49"/>
      <c r="AD82" s="49"/>
      <c r="AE82" s="49"/>
      <c r="AF82" s="49"/>
      <c r="AG82" s="49"/>
      <c r="AH82" s="46"/>
      <c r="AI82" s="41"/>
      <c r="AJ82" s="47"/>
      <c r="AK82" s="47"/>
      <c r="AL82" s="47"/>
      <c r="AM82" s="47"/>
      <c r="AN82" s="41"/>
      <c r="AO82" s="47"/>
      <c r="AP82" s="47"/>
    </row>
    <row r="83" spans="1:42" x14ac:dyDescent="0.25">
      <c r="A83" s="40"/>
      <c r="B83" s="41"/>
      <c r="C83" s="42"/>
      <c r="D83" s="43"/>
      <c r="E83" s="44"/>
      <c r="F83" s="43"/>
      <c r="G83" s="47"/>
      <c r="H83" s="47"/>
      <c r="I83" s="46"/>
      <c r="J83" s="49"/>
      <c r="K83" s="49"/>
      <c r="L83" s="43"/>
      <c r="M83" s="49"/>
      <c r="N83" s="49"/>
      <c r="O83" s="49"/>
      <c r="P83" s="49"/>
      <c r="Q83" s="49"/>
      <c r="R83" s="46"/>
      <c r="S83" s="47"/>
      <c r="T83" s="47"/>
      <c r="U83" s="47"/>
      <c r="V83" s="47"/>
      <c r="W83" s="41"/>
      <c r="X83" s="47"/>
      <c r="Y83" s="47"/>
      <c r="Z83" s="47"/>
      <c r="AA83" s="49"/>
      <c r="AB83" s="49"/>
      <c r="AC83" s="49"/>
      <c r="AD83" s="49"/>
      <c r="AE83" s="49"/>
      <c r="AF83" s="49"/>
      <c r="AG83" s="49"/>
      <c r="AH83" s="46"/>
      <c r="AI83" s="41"/>
      <c r="AJ83" s="47"/>
      <c r="AK83" s="47"/>
      <c r="AL83" s="47"/>
      <c r="AM83" s="47"/>
      <c r="AN83" s="41"/>
      <c r="AO83" s="47"/>
      <c r="AP83" s="47"/>
    </row>
    <row r="84" spans="1:42" x14ac:dyDescent="0.25">
      <c r="A84" s="40"/>
      <c r="B84" s="41"/>
      <c r="C84" s="42"/>
      <c r="D84" s="43"/>
      <c r="E84" s="44"/>
      <c r="F84" s="43"/>
      <c r="G84" s="47"/>
      <c r="H84" s="47"/>
      <c r="I84" s="46"/>
      <c r="J84" s="49"/>
      <c r="K84" s="49"/>
      <c r="L84" s="43"/>
      <c r="M84" s="49"/>
      <c r="N84" s="49"/>
      <c r="O84" s="49"/>
      <c r="P84" s="49"/>
      <c r="Q84" s="49"/>
      <c r="R84" s="46"/>
      <c r="S84" s="47"/>
      <c r="T84" s="47"/>
      <c r="U84" s="47"/>
      <c r="V84" s="47"/>
      <c r="W84" s="41"/>
      <c r="X84" s="47"/>
      <c r="Y84" s="47"/>
      <c r="Z84" s="47"/>
      <c r="AA84" s="49"/>
      <c r="AB84" s="49"/>
      <c r="AC84" s="49"/>
      <c r="AD84" s="49"/>
      <c r="AE84" s="49"/>
      <c r="AF84" s="49"/>
      <c r="AG84" s="49"/>
      <c r="AH84" s="46"/>
      <c r="AI84" s="41"/>
      <c r="AJ84" s="47"/>
      <c r="AK84" s="47"/>
      <c r="AL84" s="47"/>
      <c r="AM84" s="47"/>
      <c r="AN84" s="41"/>
      <c r="AO84" s="47"/>
      <c r="AP84" s="47"/>
    </row>
    <row r="85" spans="1:42" x14ac:dyDescent="0.25">
      <c r="A85" s="40"/>
      <c r="B85" s="41"/>
      <c r="C85" s="42"/>
      <c r="D85" s="43"/>
      <c r="E85" s="44"/>
      <c r="F85" s="43"/>
      <c r="G85" s="47"/>
      <c r="H85" s="47"/>
      <c r="I85" s="46"/>
      <c r="J85" s="49"/>
      <c r="K85" s="49"/>
      <c r="L85" s="43"/>
      <c r="M85" s="49"/>
      <c r="N85" s="49"/>
      <c r="O85" s="49"/>
      <c r="P85" s="49"/>
      <c r="Q85" s="49"/>
      <c r="R85" s="46"/>
      <c r="S85" s="47"/>
      <c r="T85" s="47"/>
      <c r="U85" s="47"/>
      <c r="V85" s="47"/>
      <c r="W85" s="41"/>
      <c r="X85" s="47"/>
      <c r="Y85" s="47"/>
      <c r="Z85" s="47"/>
      <c r="AA85" s="49"/>
      <c r="AB85" s="49"/>
      <c r="AC85" s="49"/>
      <c r="AD85" s="49"/>
      <c r="AE85" s="49"/>
      <c r="AF85" s="49"/>
      <c r="AG85" s="49"/>
      <c r="AH85" s="46"/>
      <c r="AI85" s="41"/>
      <c r="AJ85" s="47"/>
      <c r="AK85" s="47"/>
      <c r="AL85" s="47"/>
      <c r="AM85" s="47"/>
      <c r="AN85" s="41"/>
      <c r="AO85" s="47"/>
      <c r="AP85" s="47"/>
    </row>
    <row r="86" spans="1:42" x14ac:dyDescent="0.25">
      <c r="A86" s="40"/>
      <c r="B86" s="41"/>
      <c r="C86" s="42"/>
      <c r="D86" s="43"/>
      <c r="E86" s="44"/>
      <c r="F86" s="43"/>
      <c r="G86" s="47"/>
      <c r="H86" s="47"/>
      <c r="I86" s="46"/>
      <c r="J86" s="49"/>
      <c r="K86" s="49"/>
      <c r="L86" s="43"/>
      <c r="M86" s="49"/>
      <c r="N86" s="49"/>
      <c r="O86" s="49"/>
      <c r="P86" s="49"/>
      <c r="Q86" s="49"/>
      <c r="R86" s="46"/>
      <c r="S86" s="47"/>
      <c r="T86" s="47"/>
      <c r="U86" s="47"/>
      <c r="V86" s="47"/>
      <c r="W86" s="41"/>
      <c r="X86" s="47"/>
      <c r="Y86" s="47"/>
      <c r="Z86" s="47"/>
      <c r="AA86" s="49"/>
      <c r="AB86" s="49"/>
      <c r="AC86" s="49"/>
      <c r="AD86" s="49"/>
      <c r="AE86" s="49"/>
      <c r="AF86" s="49"/>
      <c r="AG86" s="49"/>
      <c r="AH86" s="46"/>
      <c r="AI86" s="41"/>
      <c r="AJ86" s="47"/>
      <c r="AK86" s="47"/>
      <c r="AL86" s="47"/>
      <c r="AM86" s="47"/>
      <c r="AN86" s="41"/>
      <c r="AO86" s="47"/>
      <c r="AP86" s="47"/>
    </row>
    <row r="87" spans="1:42" x14ac:dyDescent="0.25">
      <c r="A87" s="40"/>
      <c r="B87" s="41"/>
      <c r="C87" s="42"/>
      <c r="D87" s="43"/>
      <c r="E87" s="44"/>
      <c r="F87" s="43"/>
      <c r="G87" s="47"/>
      <c r="H87" s="47"/>
      <c r="I87" s="46"/>
      <c r="J87" s="49"/>
      <c r="K87" s="49"/>
      <c r="L87" s="43"/>
      <c r="M87" s="49"/>
      <c r="N87" s="49"/>
      <c r="O87" s="49"/>
      <c r="P87" s="49"/>
      <c r="Q87" s="49"/>
      <c r="R87" s="46"/>
      <c r="S87" s="47"/>
      <c r="T87" s="47"/>
      <c r="U87" s="47"/>
      <c r="V87" s="47"/>
      <c r="W87" s="41"/>
      <c r="X87" s="47"/>
      <c r="Y87" s="47"/>
      <c r="Z87" s="47"/>
      <c r="AA87" s="49"/>
      <c r="AB87" s="49"/>
      <c r="AC87" s="49"/>
      <c r="AD87" s="49"/>
      <c r="AE87" s="49"/>
      <c r="AF87" s="49"/>
      <c r="AG87" s="49"/>
      <c r="AH87" s="46"/>
      <c r="AI87" s="41"/>
      <c r="AJ87" s="47"/>
      <c r="AK87" s="47"/>
      <c r="AL87" s="47"/>
      <c r="AM87" s="47"/>
      <c r="AN87" s="41"/>
      <c r="AO87" s="47"/>
      <c r="AP87" s="47"/>
    </row>
    <row r="88" spans="1:42" x14ac:dyDescent="0.25">
      <c r="A88" s="40"/>
      <c r="B88" s="41"/>
      <c r="C88" s="42"/>
      <c r="D88" s="43"/>
      <c r="E88" s="44"/>
      <c r="F88" s="43"/>
      <c r="G88" s="47"/>
      <c r="H88" s="47"/>
      <c r="I88" s="46"/>
      <c r="J88" s="49"/>
      <c r="K88" s="49"/>
      <c r="L88" s="43"/>
      <c r="M88" s="49"/>
      <c r="N88" s="49"/>
      <c r="O88" s="49"/>
      <c r="P88" s="49"/>
      <c r="Q88" s="49"/>
      <c r="R88" s="46"/>
      <c r="S88" s="47"/>
      <c r="T88" s="47"/>
      <c r="U88" s="47"/>
      <c r="V88" s="47"/>
      <c r="W88" s="41"/>
      <c r="X88" s="47"/>
      <c r="Y88" s="47"/>
      <c r="Z88" s="47"/>
      <c r="AA88" s="49"/>
      <c r="AB88" s="49"/>
      <c r="AC88" s="49"/>
      <c r="AD88" s="49"/>
      <c r="AE88" s="49"/>
      <c r="AF88" s="49"/>
      <c r="AG88" s="49"/>
      <c r="AH88" s="46"/>
      <c r="AI88" s="41"/>
      <c r="AJ88" s="47"/>
      <c r="AK88" s="47"/>
      <c r="AL88" s="47"/>
      <c r="AM88" s="47"/>
      <c r="AN88" s="41"/>
      <c r="AO88" s="47"/>
      <c r="AP88" s="47"/>
    </row>
    <row r="89" spans="1:42" x14ac:dyDescent="0.25">
      <c r="A89" s="40"/>
      <c r="B89" s="41"/>
      <c r="C89" s="42"/>
      <c r="D89" s="43"/>
      <c r="E89" s="44"/>
      <c r="F89" s="43"/>
      <c r="G89" s="47"/>
      <c r="H89" s="47"/>
      <c r="I89" s="46"/>
      <c r="J89" s="49"/>
      <c r="K89" s="49"/>
      <c r="L89" s="43"/>
      <c r="M89" s="49"/>
      <c r="N89" s="49"/>
      <c r="O89" s="49"/>
      <c r="P89" s="49"/>
      <c r="Q89" s="49"/>
      <c r="R89" s="46"/>
      <c r="S89" s="47"/>
      <c r="T89" s="47"/>
      <c r="U89" s="47"/>
      <c r="V89" s="47"/>
      <c r="W89" s="41"/>
      <c r="X89" s="47"/>
      <c r="Y89" s="47"/>
      <c r="Z89" s="47"/>
      <c r="AA89" s="49"/>
      <c r="AB89" s="49"/>
      <c r="AC89" s="49"/>
      <c r="AD89" s="49"/>
      <c r="AE89" s="49"/>
      <c r="AF89" s="49"/>
      <c r="AG89" s="49"/>
      <c r="AH89" s="46"/>
      <c r="AI89" s="41"/>
      <c r="AJ89" s="47"/>
      <c r="AK89" s="47"/>
      <c r="AL89" s="47"/>
      <c r="AM89" s="47"/>
      <c r="AN89" s="41"/>
      <c r="AO89" s="47"/>
      <c r="AP89" s="47"/>
    </row>
    <row r="90" spans="1:42" x14ac:dyDescent="0.25">
      <c r="A90" s="40"/>
      <c r="B90" s="41"/>
      <c r="C90" s="42"/>
      <c r="D90" s="43"/>
      <c r="E90" s="44"/>
      <c r="F90" s="43"/>
      <c r="G90" s="47"/>
      <c r="H90" s="47"/>
      <c r="I90" s="46"/>
      <c r="J90" s="49"/>
      <c r="K90" s="49"/>
      <c r="L90" s="43"/>
      <c r="M90" s="49"/>
      <c r="N90" s="49"/>
      <c r="O90" s="49"/>
      <c r="P90" s="49"/>
      <c r="Q90" s="49"/>
      <c r="R90" s="46"/>
      <c r="S90" s="47"/>
      <c r="T90" s="47"/>
      <c r="U90" s="47"/>
      <c r="V90" s="47"/>
      <c r="W90" s="41"/>
      <c r="X90" s="47"/>
      <c r="Y90" s="47"/>
      <c r="Z90" s="47"/>
      <c r="AA90" s="49"/>
      <c r="AB90" s="49"/>
      <c r="AC90" s="49"/>
      <c r="AD90" s="49"/>
      <c r="AE90" s="49"/>
      <c r="AF90" s="49"/>
      <c r="AG90" s="49"/>
      <c r="AH90" s="46"/>
      <c r="AI90" s="41"/>
      <c r="AJ90" s="47"/>
      <c r="AK90" s="47"/>
      <c r="AL90" s="47"/>
      <c r="AM90" s="47"/>
      <c r="AN90" s="41"/>
      <c r="AO90" s="47"/>
      <c r="AP90" s="47"/>
    </row>
    <row r="91" spans="1:42" x14ac:dyDescent="0.25">
      <c r="A91" s="40"/>
      <c r="B91" s="41"/>
      <c r="C91" s="42"/>
      <c r="D91" s="43"/>
      <c r="E91" s="44"/>
      <c r="F91" s="43"/>
      <c r="G91" s="47"/>
      <c r="H91" s="47"/>
      <c r="I91" s="46"/>
      <c r="J91" s="49"/>
      <c r="K91" s="49"/>
      <c r="L91" s="43"/>
      <c r="M91" s="49"/>
      <c r="N91" s="49"/>
      <c r="O91" s="49"/>
      <c r="P91" s="49"/>
      <c r="Q91" s="49"/>
      <c r="R91" s="46"/>
      <c r="S91" s="47"/>
      <c r="T91" s="47"/>
      <c r="U91" s="47"/>
      <c r="V91" s="47"/>
      <c r="W91" s="41"/>
      <c r="X91" s="47"/>
      <c r="Y91" s="47"/>
      <c r="Z91" s="47"/>
      <c r="AA91" s="49"/>
      <c r="AB91" s="49"/>
      <c r="AC91" s="49"/>
      <c r="AD91" s="49"/>
      <c r="AE91" s="49"/>
      <c r="AF91" s="49"/>
      <c r="AG91" s="49"/>
      <c r="AH91" s="46"/>
      <c r="AI91" s="41"/>
      <c r="AJ91" s="47"/>
      <c r="AK91" s="47"/>
      <c r="AL91" s="47"/>
      <c r="AM91" s="47"/>
      <c r="AN91" s="41"/>
      <c r="AO91" s="47"/>
      <c r="AP91" s="47"/>
    </row>
    <row r="92" spans="1:42" x14ac:dyDescent="0.25">
      <c r="A92" s="40"/>
      <c r="B92" s="41"/>
      <c r="C92" s="42"/>
      <c r="D92" s="43"/>
      <c r="E92" s="44"/>
      <c r="F92" s="43"/>
      <c r="G92" s="47"/>
      <c r="H92" s="47"/>
      <c r="I92" s="46"/>
      <c r="J92" s="49"/>
      <c r="K92" s="49"/>
      <c r="L92" s="43"/>
      <c r="M92" s="49"/>
      <c r="N92" s="49"/>
      <c r="O92" s="49"/>
      <c r="P92" s="49"/>
      <c r="Q92" s="49"/>
      <c r="R92" s="46"/>
      <c r="S92" s="47"/>
      <c r="T92" s="47"/>
      <c r="U92" s="47"/>
      <c r="V92" s="47"/>
      <c r="W92" s="41"/>
      <c r="X92" s="47"/>
      <c r="Y92" s="47"/>
      <c r="Z92" s="47"/>
      <c r="AA92" s="49"/>
      <c r="AB92" s="49"/>
      <c r="AC92" s="49"/>
      <c r="AD92" s="49"/>
      <c r="AE92" s="49"/>
      <c r="AF92" s="49"/>
      <c r="AG92" s="49"/>
      <c r="AH92" s="46"/>
      <c r="AI92" s="41"/>
      <c r="AJ92" s="47"/>
      <c r="AK92" s="47"/>
      <c r="AL92" s="47"/>
      <c r="AM92" s="47"/>
      <c r="AN92" s="41"/>
      <c r="AO92" s="47"/>
      <c r="AP92" s="47"/>
    </row>
    <row r="93" spans="1:42" x14ac:dyDescent="0.25">
      <c r="A93" s="40"/>
      <c r="B93" s="41"/>
      <c r="C93" s="42"/>
      <c r="D93" s="43"/>
      <c r="E93" s="44"/>
      <c r="F93" s="43"/>
      <c r="G93" s="47"/>
      <c r="H93" s="47"/>
      <c r="I93" s="46"/>
      <c r="J93" s="49"/>
      <c r="K93" s="49"/>
      <c r="L93" s="43"/>
      <c r="M93" s="49"/>
      <c r="N93" s="49"/>
      <c r="O93" s="49"/>
      <c r="P93" s="49"/>
      <c r="Q93" s="49"/>
      <c r="R93" s="46"/>
      <c r="S93" s="47"/>
      <c r="T93" s="47"/>
      <c r="U93" s="47"/>
      <c r="V93" s="47"/>
      <c r="W93" s="41"/>
      <c r="X93" s="47"/>
      <c r="Y93" s="47"/>
      <c r="Z93" s="47"/>
      <c r="AA93" s="49"/>
      <c r="AB93" s="49"/>
      <c r="AC93" s="49"/>
      <c r="AD93" s="49"/>
      <c r="AE93" s="49"/>
      <c r="AF93" s="49"/>
      <c r="AG93" s="49"/>
      <c r="AH93" s="46"/>
      <c r="AI93" s="41"/>
      <c r="AJ93" s="47"/>
      <c r="AK93" s="47"/>
      <c r="AL93" s="47"/>
      <c r="AM93" s="47"/>
      <c r="AN93" s="41"/>
      <c r="AO93" s="47"/>
      <c r="AP93" s="47"/>
    </row>
    <row r="94" spans="1:42" x14ac:dyDescent="0.25">
      <c r="A94" s="40"/>
      <c r="B94" s="41"/>
      <c r="C94" s="42"/>
      <c r="D94" s="43"/>
      <c r="E94" s="44"/>
      <c r="F94" s="43"/>
      <c r="G94" s="47"/>
      <c r="H94" s="47"/>
      <c r="I94" s="46"/>
      <c r="J94" s="49"/>
      <c r="K94" s="49"/>
      <c r="L94" s="43"/>
      <c r="M94" s="49"/>
      <c r="N94" s="49"/>
      <c r="O94" s="49"/>
      <c r="P94" s="49"/>
      <c r="Q94" s="49"/>
      <c r="R94" s="46"/>
      <c r="S94" s="47"/>
      <c r="T94" s="47"/>
      <c r="U94" s="47"/>
      <c r="V94" s="47"/>
      <c r="W94" s="41"/>
      <c r="X94" s="47"/>
      <c r="Y94" s="47"/>
      <c r="Z94" s="47"/>
      <c r="AA94" s="49"/>
      <c r="AB94" s="49"/>
      <c r="AC94" s="49"/>
      <c r="AD94" s="49"/>
      <c r="AE94" s="49"/>
      <c r="AF94" s="49"/>
      <c r="AG94" s="49"/>
      <c r="AH94" s="46"/>
      <c r="AI94" s="41"/>
      <c r="AJ94" s="47"/>
      <c r="AK94" s="47"/>
      <c r="AL94" s="47"/>
      <c r="AM94" s="47"/>
      <c r="AN94" s="41"/>
      <c r="AO94" s="47"/>
      <c r="AP94" s="47"/>
    </row>
    <row r="95" spans="1:42" x14ac:dyDescent="0.25">
      <c r="A95" s="40"/>
      <c r="B95" s="41"/>
      <c r="C95" s="42"/>
      <c r="D95" s="43"/>
      <c r="E95" s="44"/>
      <c r="F95" s="43"/>
      <c r="G95" s="47"/>
      <c r="H95" s="47"/>
      <c r="I95" s="46"/>
      <c r="J95" s="49"/>
      <c r="K95" s="49"/>
      <c r="L95" s="43"/>
      <c r="M95" s="49"/>
      <c r="N95" s="49"/>
      <c r="O95" s="49"/>
      <c r="P95" s="49"/>
      <c r="Q95" s="49"/>
      <c r="R95" s="46"/>
      <c r="S95" s="47"/>
      <c r="T95" s="47"/>
      <c r="U95" s="47"/>
      <c r="V95" s="47"/>
      <c r="W95" s="41"/>
      <c r="X95" s="47"/>
      <c r="Y95" s="47"/>
      <c r="Z95" s="47"/>
      <c r="AA95" s="49"/>
      <c r="AB95" s="49"/>
      <c r="AC95" s="49"/>
      <c r="AD95" s="49"/>
      <c r="AE95" s="49"/>
      <c r="AF95" s="49"/>
      <c r="AG95" s="49"/>
      <c r="AH95" s="46"/>
      <c r="AI95" s="41"/>
      <c r="AJ95" s="47"/>
      <c r="AK95" s="47"/>
      <c r="AL95" s="47"/>
      <c r="AM95" s="47"/>
      <c r="AN95" s="41"/>
      <c r="AO95" s="47"/>
      <c r="AP95" s="47"/>
    </row>
    <row r="96" spans="1:42" x14ac:dyDescent="0.25">
      <c r="A96" s="40"/>
      <c r="B96" s="41"/>
      <c r="C96" s="42"/>
      <c r="D96" s="43"/>
      <c r="E96" s="44"/>
      <c r="F96" s="43"/>
      <c r="G96" s="47"/>
      <c r="H96" s="47"/>
      <c r="I96" s="46"/>
      <c r="J96" s="49"/>
      <c r="K96" s="49"/>
      <c r="L96" s="43"/>
      <c r="M96" s="49"/>
      <c r="N96" s="49"/>
      <c r="O96" s="49"/>
      <c r="P96" s="49"/>
      <c r="Q96" s="49"/>
      <c r="R96" s="46"/>
      <c r="S96" s="47"/>
      <c r="T96" s="47"/>
      <c r="U96" s="47"/>
      <c r="V96" s="47"/>
      <c r="W96" s="41"/>
      <c r="X96" s="47"/>
      <c r="Y96" s="47"/>
      <c r="Z96" s="47"/>
      <c r="AA96" s="49"/>
      <c r="AB96" s="49"/>
      <c r="AC96" s="49"/>
      <c r="AD96" s="49"/>
      <c r="AE96" s="49"/>
      <c r="AF96" s="49"/>
      <c r="AG96" s="49"/>
      <c r="AH96" s="46"/>
      <c r="AI96" s="41"/>
      <c r="AJ96" s="47"/>
      <c r="AK96" s="47"/>
      <c r="AL96" s="47"/>
      <c r="AM96" s="47"/>
      <c r="AN96" s="41"/>
      <c r="AO96" s="47"/>
      <c r="AP96" s="47"/>
    </row>
    <row r="97" spans="1:42" x14ac:dyDescent="0.25">
      <c r="A97" s="40"/>
      <c r="B97" s="41"/>
      <c r="C97" s="42"/>
      <c r="D97" s="43"/>
      <c r="E97" s="44"/>
      <c r="F97" s="43"/>
      <c r="G97" s="47"/>
      <c r="H97" s="47"/>
      <c r="I97" s="46"/>
      <c r="J97" s="49"/>
      <c r="K97" s="49"/>
      <c r="L97" s="43"/>
      <c r="M97" s="49"/>
      <c r="N97" s="49"/>
      <c r="O97" s="49"/>
      <c r="P97" s="49"/>
      <c r="Q97" s="49"/>
      <c r="R97" s="46"/>
      <c r="S97" s="47"/>
      <c r="T97" s="47"/>
      <c r="U97" s="47"/>
      <c r="V97" s="47"/>
      <c r="W97" s="41"/>
      <c r="X97" s="47"/>
      <c r="Y97" s="47"/>
      <c r="Z97" s="47"/>
      <c r="AA97" s="49"/>
      <c r="AB97" s="49"/>
      <c r="AC97" s="49"/>
      <c r="AD97" s="49"/>
      <c r="AE97" s="49"/>
      <c r="AF97" s="49"/>
      <c r="AG97" s="49"/>
      <c r="AH97" s="46"/>
      <c r="AI97" s="41"/>
      <c r="AJ97" s="47"/>
      <c r="AK97" s="47"/>
      <c r="AL97" s="47"/>
      <c r="AM97" s="47"/>
      <c r="AN97" s="41"/>
      <c r="AO97" s="47"/>
      <c r="AP97" s="47"/>
    </row>
    <row r="98" spans="1:42" x14ac:dyDescent="0.25">
      <c r="A98" s="40"/>
      <c r="B98" s="41"/>
      <c r="C98" s="42"/>
      <c r="D98" s="43"/>
      <c r="E98" s="44"/>
      <c r="F98" s="43"/>
      <c r="G98" s="47"/>
      <c r="H98" s="47"/>
      <c r="I98" s="46"/>
      <c r="J98" s="49"/>
      <c r="K98" s="49"/>
      <c r="L98" s="43"/>
      <c r="M98" s="49"/>
      <c r="N98" s="49"/>
      <c r="O98" s="49"/>
      <c r="P98" s="49"/>
      <c r="Q98" s="49"/>
      <c r="R98" s="46"/>
      <c r="S98" s="47"/>
      <c r="T98" s="47"/>
      <c r="U98" s="47"/>
      <c r="V98" s="47"/>
      <c r="W98" s="41"/>
      <c r="X98" s="47"/>
      <c r="Y98" s="47"/>
      <c r="Z98" s="47"/>
      <c r="AA98" s="49"/>
      <c r="AB98" s="49"/>
      <c r="AC98" s="49"/>
      <c r="AD98" s="49"/>
      <c r="AE98" s="49"/>
      <c r="AF98" s="49"/>
      <c r="AG98" s="49"/>
      <c r="AH98" s="46"/>
      <c r="AI98" s="41"/>
      <c r="AJ98" s="47"/>
      <c r="AK98" s="47"/>
      <c r="AL98" s="47"/>
      <c r="AM98" s="47"/>
      <c r="AN98" s="41"/>
      <c r="AO98" s="47"/>
      <c r="AP98" s="47"/>
    </row>
    <row r="99" spans="1:42" x14ac:dyDescent="0.25">
      <c r="A99" s="40"/>
      <c r="B99" s="41"/>
      <c r="C99" s="42"/>
      <c r="D99" s="43"/>
      <c r="E99" s="44"/>
      <c r="F99" s="43"/>
      <c r="G99" s="47"/>
      <c r="H99" s="47"/>
      <c r="I99" s="46"/>
      <c r="J99" s="49"/>
      <c r="K99" s="49"/>
      <c r="L99" s="43"/>
      <c r="M99" s="49"/>
      <c r="N99" s="49"/>
      <c r="O99" s="49"/>
      <c r="P99" s="49"/>
      <c r="Q99" s="49"/>
      <c r="R99" s="46"/>
      <c r="S99" s="47"/>
      <c r="T99" s="47"/>
      <c r="U99" s="47"/>
      <c r="V99" s="47"/>
      <c r="W99" s="41"/>
      <c r="X99" s="47"/>
      <c r="Y99" s="47"/>
      <c r="Z99" s="47"/>
      <c r="AA99" s="49"/>
      <c r="AB99" s="49"/>
      <c r="AC99" s="49"/>
      <c r="AD99" s="49"/>
      <c r="AE99" s="49"/>
      <c r="AF99" s="49"/>
      <c r="AG99" s="49"/>
      <c r="AH99" s="46"/>
      <c r="AI99" s="41"/>
      <c r="AJ99" s="47"/>
      <c r="AK99" s="47"/>
      <c r="AL99" s="47"/>
      <c r="AM99" s="47"/>
      <c r="AN99" s="41"/>
      <c r="AO99" s="47"/>
      <c r="AP99" s="47"/>
    </row>
    <row r="100" spans="1:42" x14ac:dyDescent="0.25">
      <c r="A100" s="40"/>
      <c r="B100" s="41"/>
      <c r="C100" s="42"/>
      <c r="D100" s="43"/>
      <c r="E100" s="44"/>
      <c r="F100" s="43"/>
      <c r="G100" s="47"/>
      <c r="H100" s="47"/>
      <c r="I100" s="46"/>
      <c r="J100" s="49"/>
      <c r="K100" s="49"/>
      <c r="L100" s="43"/>
      <c r="M100" s="49"/>
      <c r="N100" s="49"/>
      <c r="O100" s="49"/>
      <c r="P100" s="49"/>
      <c r="Q100" s="49"/>
      <c r="R100" s="46"/>
      <c r="S100" s="47"/>
      <c r="T100" s="47"/>
      <c r="U100" s="47"/>
      <c r="V100" s="47"/>
      <c r="W100" s="41"/>
      <c r="X100" s="47"/>
      <c r="Y100" s="47"/>
      <c r="Z100" s="47"/>
      <c r="AA100" s="49"/>
      <c r="AB100" s="49"/>
      <c r="AC100" s="49"/>
      <c r="AD100" s="49"/>
      <c r="AE100" s="49"/>
      <c r="AF100" s="49"/>
      <c r="AG100" s="49"/>
      <c r="AH100" s="46"/>
      <c r="AI100" s="41"/>
      <c r="AJ100" s="47"/>
      <c r="AK100" s="47"/>
      <c r="AL100" s="47"/>
      <c r="AM100" s="47"/>
      <c r="AN100" s="41"/>
      <c r="AO100" s="47"/>
      <c r="AP100" s="47"/>
    </row>
    <row r="101" spans="1:42" x14ac:dyDescent="0.25">
      <c r="A101" s="40"/>
      <c r="B101" s="41"/>
      <c r="C101" s="42"/>
      <c r="D101" s="43"/>
      <c r="E101" s="44"/>
      <c r="F101" s="43"/>
      <c r="G101" s="47"/>
      <c r="H101" s="47"/>
      <c r="I101" s="46"/>
      <c r="J101" s="49"/>
      <c r="K101" s="49"/>
      <c r="L101" s="43"/>
      <c r="M101" s="49"/>
      <c r="N101" s="49"/>
      <c r="O101" s="49"/>
      <c r="P101" s="49"/>
      <c r="Q101" s="49"/>
      <c r="R101" s="46"/>
      <c r="S101" s="47"/>
      <c r="T101" s="47"/>
      <c r="U101" s="47"/>
      <c r="V101" s="47"/>
      <c r="W101" s="41"/>
      <c r="X101" s="47"/>
      <c r="Y101" s="47"/>
      <c r="Z101" s="47"/>
      <c r="AA101" s="49"/>
      <c r="AB101" s="49"/>
      <c r="AC101" s="49"/>
      <c r="AD101" s="49"/>
      <c r="AE101" s="49"/>
      <c r="AF101" s="49"/>
      <c r="AG101" s="49"/>
      <c r="AH101" s="46"/>
      <c r="AI101" s="41"/>
      <c r="AJ101" s="47"/>
      <c r="AK101" s="47"/>
      <c r="AL101" s="47"/>
      <c r="AM101" s="47"/>
      <c r="AN101" s="41"/>
      <c r="AO101" s="47"/>
      <c r="AP101" s="47"/>
    </row>
    <row r="102" spans="1:42" x14ac:dyDescent="0.25">
      <c r="A102" s="40"/>
      <c r="B102" s="41"/>
      <c r="C102" s="42"/>
      <c r="D102" s="43"/>
      <c r="E102" s="44"/>
      <c r="F102" s="43"/>
      <c r="G102" s="47"/>
      <c r="H102" s="47"/>
      <c r="I102" s="46"/>
      <c r="J102" s="49"/>
      <c r="K102" s="49"/>
      <c r="L102" s="43"/>
      <c r="M102" s="49"/>
      <c r="N102" s="49"/>
      <c r="O102" s="49"/>
      <c r="P102" s="49"/>
      <c r="Q102" s="49"/>
      <c r="R102" s="46"/>
      <c r="S102" s="47"/>
      <c r="T102" s="47"/>
      <c r="U102" s="47"/>
      <c r="V102" s="47"/>
      <c r="W102" s="41"/>
      <c r="X102" s="47"/>
      <c r="Y102" s="47"/>
      <c r="Z102" s="47"/>
      <c r="AA102" s="49"/>
      <c r="AB102" s="49"/>
      <c r="AC102" s="49"/>
      <c r="AD102" s="49"/>
      <c r="AE102" s="49"/>
      <c r="AF102" s="49"/>
      <c r="AG102" s="49"/>
      <c r="AH102" s="46"/>
      <c r="AI102" s="41"/>
      <c r="AJ102" s="47"/>
      <c r="AK102" s="47"/>
      <c r="AL102" s="47"/>
      <c r="AM102" s="47"/>
      <c r="AN102" s="41"/>
      <c r="AO102" s="47"/>
      <c r="AP102" s="47"/>
    </row>
    <row r="103" spans="1:42" x14ac:dyDescent="0.25">
      <c r="A103" s="40"/>
      <c r="B103" s="41"/>
      <c r="C103" s="42"/>
      <c r="D103" s="43"/>
      <c r="E103" s="44"/>
      <c r="F103" s="43"/>
      <c r="G103" s="47"/>
      <c r="H103" s="47"/>
      <c r="I103" s="46"/>
      <c r="J103" s="49"/>
      <c r="K103" s="49"/>
      <c r="L103" s="43"/>
      <c r="M103" s="49"/>
      <c r="N103" s="49"/>
      <c r="O103" s="49"/>
      <c r="P103" s="49"/>
      <c r="Q103" s="49"/>
      <c r="R103" s="46"/>
      <c r="S103" s="47"/>
      <c r="T103" s="47"/>
      <c r="U103" s="47"/>
      <c r="V103" s="47"/>
      <c r="W103" s="41"/>
      <c r="X103" s="47"/>
      <c r="Y103" s="47"/>
      <c r="Z103" s="47"/>
      <c r="AA103" s="49"/>
      <c r="AB103" s="49"/>
      <c r="AC103" s="49"/>
      <c r="AD103" s="49"/>
      <c r="AE103" s="49"/>
      <c r="AF103" s="49"/>
      <c r="AG103" s="49"/>
      <c r="AH103" s="46"/>
      <c r="AI103" s="41"/>
      <c r="AJ103" s="47"/>
      <c r="AK103" s="47"/>
      <c r="AL103" s="47"/>
      <c r="AM103" s="47"/>
      <c r="AN103" s="41"/>
      <c r="AO103" s="47"/>
      <c r="AP103" s="47"/>
    </row>
  </sheetData>
  <sheetProtection algorithmName="SHA-512" hashValue="xppjWStDkuFoqIz9Q2hCyp5ATgY1PkobXwxbdQHufeaC6xitT0rIcydEN6cinSfatt/BmFlZ/c73XIyLFW2e3A==" saltValue="i1Vk48Y3KqfygvLhNfzx+Q==" spinCount="100000" sheet="1" formatCells="0" formatColumns="0" formatRows="0" sort="0" autoFilter="0"/>
  <mergeCells count="53">
    <mergeCell ref="A1:B1"/>
    <mergeCell ref="C1:E1"/>
    <mergeCell ref="G1:H1"/>
    <mergeCell ref="F1:F3"/>
    <mergeCell ref="I1:I3"/>
    <mergeCell ref="H2:H3"/>
    <mergeCell ref="G2:G3"/>
    <mergeCell ref="AK2:AK3"/>
    <mergeCell ref="AH1:AI1"/>
    <mergeCell ref="AJ1:AL1"/>
    <mergeCell ref="AN1:AO1"/>
    <mergeCell ref="A2:A3"/>
    <mergeCell ref="B2:B3"/>
    <mergeCell ref="C2:C3"/>
    <mergeCell ref="D2:D3"/>
    <mergeCell ref="E2:E3"/>
    <mergeCell ref="W1:Y1"/>
    <mergeCell ref="AA1:AD1"/>
    <mergeCell ref="AE1:AG1"/>
    <mergeCell ref="W2:W3"/>
    <mergeCell ref="AD2:AD3"/>
    <mergeCell ref="U1:U3"/>
    <mergeCell ref="V1:V3"/>
    <mergeCell ref="AP1:AP3"/>
    <mergeCell ref="AO2:AO3"/>
    <mergeCell ref="AN2:AN3"/>
    <mergeCell ref="AM1:AM3"/>
    <mergeCell ref="AL2:AL3"/>
    <mergeCell ref="AA2:AA3"/>
    <mergeCell ref="AB2:AB3"/>
    <mergeCell ref="AC2:AC3"/>
    <mergeCell ref="AJ2:AJ3"/>
    <mergeCell ref="AI2:AI3"/>
    <mergeCell ref="AH2:AH3"/>
    <mergeCell ref="AG2:AG3"/>
    <mergeCell ref="AF2:AF3"/>
    <mergeCell ref="AE2:AE3"/>
    <mergeCell ref="K1:K3"/>
    <mergeCell ref="J1:J3"/>
    <mergeCell ref="X2:X3"/>
    <mergeCell ref="Y2:Y3"/>
    <mergeCell ref="Z1:Z3"/>
    <mergeCell ref="N1:Q1"/>
    <mergeCell ref="S1:T1"/>
    <mergeCell ref="T2:T3"/>
    <mergeCell ref="S2:S3"/>
    <mergeCell ref="Q2:Q3"/>
    <mergeCell ref="P2:P3"/>
    <mergeCell ref="R1:R3"/>
    <mergeCell ref="O2:O3"/>
    <mergeCell ref="N2:N3"/>
    <mergeCell ref="M1:M3"/>
    <mergeCell ref="L1:L3"/>
  </mergeCells>
  <dataValidations count="19">
    <dataValidation type="custom" allowBlank="1" showInputMessage="1" showErrorMessage="1" error="El ejercicio debe ser un año entre 2000 y el año actual" sqref="A4:A103" xr:uid="{00000000-0002-0000-0300-000000000000}">
      <formula1>AND(LEN(A4)=4,ISNUMBER(VALUE(A4)),VALUE(A4)&gt;=2000,VALUE(A4)&lt;=YEAR(TODAY()))</formula1>
    </dataValidation>
    <dataValidation type="list" errorStyle="warning" allowBlank="1" showInputMessage="1" showErrorMessage="1" error="Tipo bien incorrecto" sqref="F4:F103" xr:uid="{00000000-0002-0000-0300-000001000000}">
      <formula1>TIPO_BIEN</formula1>
    </dataValidation>
    <dataValidation type="textLength" allowBlank="1" showInputMessage="1" showErrorMessage="1" prompt="Máximo de 40 caracteres" sqref="G4:G103 S4:S103 Z4:Z103 AP4:AP103" xr:uid="{00000000-0002-0000-0300-000002000000}">
      <formula1>0</formula1>
      <formula2>40</formula2>
    </dataValidation>
    <dataValidation type="textLength" allowBlank="1" showInputMessage="1" showErrorMessage="1" prompt="Máximo de 160 caracteres" sqref="H4:H103" xr:uid="{00000000-0002-0000-0300-000003000000}">
      <formula1>0</formula1>
      <formula2>160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="DD/MM/YYYY" sqref="I4:I103 R4:R103 AH4:AH103" xr:uid="{00000000-0002-0000-0300-000004000000}">
      <formula1>TODAY()-5000</formula1>
      <formula2>TODAY()</formula2>
    </dataValidation>
    <dataValidation type="decimal" allowBlank="1" showInputMessage="1" showErrorMessage="1" prompt="Decimal (12, 2)" sqref="J4:K103 N4:Q103 AA4:AA103 AD4:AD103 AF4:AG103" xr:uid="{00000000-0002-0000-0300-000005000000}">
      <formula1>-9999999999</formula1>
      <formula2>9999999999</formula2>
    </dataValidation>
    <dataValidation type="textLength" allowBlank="1" showInputMessage="1" showErrorMessage="1" prompt="Máximo de 2 caracteres" sqref="X4:X103" xr:uid="{00000000-0002-0000-0300-000006000000}">
      <formula1>0</formula1>
      <formula2>2</formula2>
    </dataValidation>
    <dataValidation type="decimal" allowBlank="1" showInputMessage="1" showErrorMessage="1" prompt="Decimal (4,2)" sqref="M4:M103 AB4:AB103" xr:uid="{00000000-0002-0000-0300-000007000000}">
      <formula1>0</formula1>
      <formula2>99</formula2>
    </dataValidation>
    <dataValidation type="textLength" allowBlank="1" showInputMessage="1" showErrorMessage="1" prompt="Máximo 20 caracteres" sqref="T4:V103 AJ4:AL103 AO4:AO103" xr:uid="{00000000-0002-0000-0300-000008000000}">
      <formula1>0</formula1>
      <formula2>20</formula2>
    </dataValidation>
    <dataValidation type="decimal" allowBlank="1" showInputMessage="1" showErrorMessage="1" prompt="Decimal (5,2)" sqref="AC4:AC103 AE4:AE103" xr:uid="{00000000-0002-0000-0300-000009000000}">
      <formula1>0</formula1>
      <formula2>999.99</formula2>
    </dataValidation>
    <dataValidation type="list" errorStyle="warning" allowBlank="1" showInputMessage="1" showErrorMessage="1" errorTitle="Tipo de NIF incorrecto" error="Tipo de NIF incorrecto" promptTitle="Tipo de NIF" sqref="AI4:AI103" xr:uid="{00000000-0002-0000-0300-00000A000000}">
      <formula1>CAUSA_BAJA_BIEN</formula1>
    </dataValidation>
    <dataValidation type="list" allowBlank="1" showErrorMessage="1" prompt="_x000a__x000a_" sqref="C4:C103" xr:uid="{00000000-0002-0000-0300-00000B000000}">
      <formula1>ACTIVIDAD</formula1>
    </dataValidation>
    <dataValidation type="list" errorStyle="warning" allowBlank="1" showInputMessage="1" showErrorMessage="1" errorTitle="Tipo de NIF incorrecto" error="Tipo de NIF incorrecto" promptTitle="Tipo de NIF" sqref="W4:W103" xr:uid="{00000000-0002-0000-0300-00000C000000}">
      <formula1>TIPO_NIF</formula1>
    </dataValidation>
    <dataValidation type="list" errorStyle="warning" allowBlank="1" showInputMessage="1" showErrorMessage="1" errorTitle="Situación incorrecta" error="Situación incorrecta" promptTitle="Situación" sqref="AN4:AN103" xr:uid="{00000000-0002-0000-0300-00000D000000}">
      <formula1>SITUACION</formula1>
    </dataValidation>
    <dataValidation type="list" allowBlank="1" showInputMessage="1" showErrorMessage="1" error="Trimestre incorrecto" sqref="B4:B103" xr:uid="{00000000-0002-0000-0300-00000E000000}">
      <formula1>TRIMESTRE</formula1>
    </dataValidation>
    <dataValidation type="list" errorStyle="warning" allowBlank="1" showInputMessage="1" showErrorMessage="1" error="Tipo bien incorrecto" sqref="L4:L103" xr:uid="{00000000-0002-0000-0300-00000F000000}">
      <formula1>METODO_AMORTIZACION</formula1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M4:AM103" xr:uid="{00000000-0002-0000-0300-000010000000}">
      <formula1>0</formula1>
      <formula2>15</formula2>
    </dataValidation>
    <dataValidation type="textLength" errorStyle="warning" allowBlank="1" showInputMessage="1" showErrorMessage="1" errorTitle="Epigrafe incorrecto" error="Longitud máxima permitida: 5" prompt="Máximo 5 posiciones alfanuméricas. " sqref="E4:E103" xr:uid="{00000000-0002-0000-0300-000011000000}">
      <formula1>1</formula1>
      <formula2>5</formula2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Y4:Y103" xr:uid="{00000000-0002-0000-0300-000012000000}">
      <formula1>IF(W4="01-NIF/NIE",AND(LEN(TRIM(Y4))=9,RIGHT(UPPER(Y4),1)=MID("TRWAGMYFPDXBNJZSQVHLCKE",MOD(VALUE(SUBSTITUTE(SUBSTITUTE(SUBSTITUTE(LEFT(UPPER(Y4),1),"X","0"),"Y","1"),"Z","2") &amp; MID(UPPER(Y4),2,7)),23)+1,1)),LEN(Y4)&lt;=20)</formula1>
    </dataValidation>
  </dataValidations>
  <pageMargins left="0.70866141732283472" right="0.70866141732283472" top="0.74803149606299213" bottom="0.74803149606299213" header="0.31496062992125984" footer="0.31496062992125984"/>
  <pageSetup paperSize="8" scale="2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AF8297BF-0F86-4E2C-BF4D-4E4DCF67A0B5}">
            <xm:f>OR('BIENES-INVERSIÓN'!$C1="C",'BIENES-INVERSIÓN'!$C1="D")</xm:f>
            <x14:dxf>
              <fill>
                <patternFill>
                  <bgColor theme="0" tint="-0.24994659260841701"/>
                </patternFill>
              </fill>
            </x14:dxf>
          </x14:cfRule>
          <xm:sqref>D1:D103</xm:sqref>
        </x14:conditionalFormatting>
        <x14:conditionalFormatting xmlns:xm="http://schemas.microsoft.com/office/excel/2006/main">
          <x14:cfRule type="expression" priority="486" id="{AF8297BF-0F86-4E2C-BF4D-4E4DCF67A0B5}">
            <xm:f>OR('BIENES-INVERSIÓN'!$C998780="C",'BIENES-INVERSIÓN'!$C998780="D")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D104:D1048576</xm:sqref>
        </x14:conditionalFormatting>
        <x14:conditionalFormatting xmlns:xm="http://schemas.microsoft.com/office/excel/2006/main">
          <x14:cfRule type="expression" priority="12" id="{45A55DC1-47DE-4CA2-84B8-7FDB16445B4F}">
            <xm:f>OR(EXPEDIDAS_INGRESOS!$C1="C",EXPEDIDAS_INGRESOS!$C1="D")</xm:f>
            <x14:dxf>
              <fill>
                <patternFill>
                  <bgColor theme="0" tint="-0.24994659260841701"/>
                </patternFill>
              </fill>
            </x14:dxf>
          </x14:cfRule>
          <xm:sqref>F1:F103 L1:L103</xm:sqref>
        </x14:conditionalFormatting>
        <x14:conditionalFormatting xmlns:xm="http://schemas.microsoft.com/office/excel/2006/main">
          <x14:cfRule type="expression" priority="427" id="{45A55DC1-47DE-4CA2-84B8-7FDB16445B4F}">
            <xm:f>OR(EXPEDIDAS_INGRESOS!$C998780="C",EXPEDIDAS_INGRESOS!$C998780="D")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F104:F1048576 L104:L1048576</xm:sqref>
        </x14:conditionalFormatting>
        <x14:conditionalFormatting xmlns:xm="http://schemas.microsoft.com/office/excel/2006/main">
          <x14:cfRule type="expression" priority="7" id="{498D3CCC-7B91-4311-BFBD-6E5BABB9F122}">
            <xm:f>EXPEDIDAS_INGRESOS!$F1="F2"</xm:f>
            <x14:dxf>
              <fill>
                <patternFill>
                  <bgColor theme="0" tint="-0.24994659260841701"/>
                </patternFill>
              </fill>
            </x14:dxf>
          </x14:cfRule>
          <xm:sqref>W1:W103 Y1:Y103</xm:sqref>
        </x14:conditionalFormatting>
        <x14:conditionalFormatting xmlns:xm="http://schemas.microsoft.com/office/excel/2006/main">
          <x14:cfRule type="expression" priority="431" id="{498D3CCC-7B91-4311-BFBD-6E5BABB9F122}">
            <xm:f>EXPEDIDAS_INGRESOS!$F998780="F2"</xm:f>
            <x14:dxf>
              <fill>
                <patternFill>
                  <bgColor theme="0" tint="-0.24994659260841701"/>
                </patternFill>
              </fill>
            </x14:dxf>
          </x14:cfRule>
          <xm:sqref>W104:W1048576 Y104:Y1048576</xm:sqref>
        </x14:conditionalFormatting>
        <x14:conditionalFormatting xmlns:xm="http://schemas.microsoft.com/office/excel/2006/main">
          <x14:cfRule type="expression" priority="8" id="{C1DCB249-EFB2-49C4-BCBF-4DB9BBA71212}">
            <xm:f>AND('BIENES-INVERSIÓN'!$W1="02",'BIENES-INVERSIÓN'!$W1&lt;&gt;"")</xm:f>
            <x14:dxf>
              <fill>
                <patternFill>
                  <bgColor theme="0" tint="-0.24994659260841701"/>
                </patternFill>
              </fill>
            </x14:dxf>
          </x14:cfRule>
          <xm:sqref>X1:X103</xm:sqref>
        </x14:conditionalFormatting>
        <x14:conditionalFormatting xmlns:xm="http://schemas.microsoft.com/office/excel/2006/main">
          <x14:cfRule type="expression" priority="488" id="{C1DCB249-EFB2-49C4-BCBF-4DB9BBA71212}">
            <xm:f>AND('BIENES-INVERSIÓN'!$W998780="02",'BIENES-INVERSIÓN'!$W998780&lt;&gt;"")</xm:f>
            <x14:dxf>
              <fill>
                <patternFill>
                  <bgColor theme="0" tint="-0.24994659260841701"/>
                </patternFill>
              </fill>
            </x14:dxf>
          </x14:cfRule>
          <xm:sqref>X104:X1048576</xm:sqref>
        </x14:conditionalFormatting>
        <x14:conditionalFormatting xmlns:xm="http://schemas.microsoft.com/office/excel/2006/main">
          <x14:cfRule type="expression" priority="6" id="{509CE145-438C-42CA-A8C2-2CCA7CE1AAC6}">
            <xm:f>'BIENES-INVERSIÓN'!$AN1*1&gt;3</xm:f>
            <x14:dxf>
              <fill>
                <patternFill>
                  <bgColor theme="0" tint="-0.24994659260841701"/>
                </patternFill>
              </fill>
            </x14:dxf>
          </x14:cfRule>
          <xm:sqref>AO1:AO103</xm:sqref>
        </x14:conditionalFormatting>
        <x14:conditionalFormatting xmlns:xm="http://schemas.microsoft.com/office/excel/2006/main">
          <x14:cfRule type="expression" priority="490" id="{509CE145-438C-42CA-A8C2-2CCA7CE1AAC6}">
            <xm:f>'BIENES-INVERSIÓN'!$AN998780*1&gt;3</xm:f>
            <x14:dxf>
              <fill>
                <patternFill>
                  <bgColor theme="0" tint="-0.24994659260841701"/>
                </patternFill>
              </fill>
            </x14:dxf>
          </x14:cfRule>
          <xm:sqref>AO104:AO1048576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Tipo de actividad incorrecto" error="Tipo de actividad incorrecto" xr:uid="{00000000-0002-0000-0300-000013000000}">
          <x14:formula1>
            <xm:f>INDIRECT('BIENES-INVERSIÓN'!$C4)</xm:f>
          </x14:formula1>
          <xm:sqref>D4:D103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AJ103"/>
  <sheetViews>
    <sheetView showGridLines="0" topLeftCell="G63" zoomScaleNormal="100" workbookViewId="0">
      <selection activeCell="T103" sqref="T103"/>
    </sheetView>
  </sheetViews>
  <sheetFormatPr baseColWidth="10" defaultRowHeight="15" x14ac:dyDescent="0.25"/>
  <cols>
    <col min="1" max="1" width="12.7109375" bestFit="1" customWidth="1"/>
    <col min="2" max="2" width="15.5703125" bestFit="1" customWidth="1"/>
    <col min="3" max="3" width="24.28515625" style="5" customWidth="1"/>
    <col min="4" max="4" width="30" bestFit="1" customWidth="1"/>
    <col min="5" max="5" width="23.7109375" bestFit="1" customWidth="1"/>
    <col min="6" max="6" width="25.5703125" bestFit="1" customWidth="1"/>
    <col min="7" max="7" width="16.28515625" style="34" customWidth="1"/>
    <col min="8" max="8" width="17.85546875" style="34" customWidth="1"/>
    <col min="9" max="10" width="17.7109375" bestFit="1" customWidth="1"/>
    <col min="11" max="14" width="15.42578125" bestFit="1" customWidth="1"/>
    <col min="15" max="15" width="14.42578125" bestFit="1" customWidth="1"/>
    <col min="16" max="16" width="15.42578125" bestFit="1" customWidth="1"/>
    <col min="17" max="17" width="29.5703125" customWidth="1"/>
    <col min="18" max="18" width="14.42578125" customWidth="1"/>
    <col min="19" max="19" width="26.42578125" customWidth="1"/>
    <col min="20" max="20" width="14.42578125" bestFit="1" customWidth="1"/>
    <col min="21" max="22" width="13.140625" bestFit="1" customWidth="1"/>
    <col min="24" max="24" width="13.140625" bestFit="1" customWidth="1"/>
    <col min="25" max="25" width="12" bestFit="1" customWidth="1"/>
    <col min="26" max="26" width="15.5703125" bestFit="1" customWidth="1"/>
    <col min="27" max="27" width="17.7109375" bestFit="1" customWidth="1"/>
    <col min="28" max="28" width="14.140625" customWidth="1"/>
    <col min="29" max="29" width="15.28515625" bestFit="1" customWidth="1"/>
    <col min="30" max="30" width="32.42578125" bestFit="1" customWidth="1"/>
    <col min="31" max="31" width="17.5703125" style="34" customWidth="1"/>
    <col min="32" max="32" width="19.7109375" style="34" bestFit="1" customWidth="1"/>
    <col min="33" max="33" width="18.42578125" customWidth="1"/>
    <col min="34" max="34" width="13.85546875" customWidth="1"/>
    <col min="35" max="35" width="18.85546875" bestFit="1" customWidth="1"/>
    <col min="36" max="36" width="16.7109375" bestFit="1" customWidth="1"/>
  </cols>
  <sheetData>
    <row r="1" spans="1:36" s="54" customFormat="1" ht="12" x14ac:dyDescent="0.25">
      <c r="A1" s="112" t="s">
        <v>56</v>
      </c>
      <c r="B1" s="114"/>
      <c r="C1" s="112" t="s">
        <v>57</v>
      </c>
      <c r="D1" s="112"/>
      <c r="E1" s="120"/>
      <c r="F1" s="112" t="s">
        <v>58</v>
      </c>
      <c r="G1" s="115" t="s">
        <v>59</v>
      </c>
      <c r="H1" s="115" t="s">
        <v>60</v>
      </c>
      <c r="I1" s="112" t="s">
        <v>19</v>
      </c>
      <c r="J1" s="112" t="s">
        <v>61</v>
      </c>
      <c r="K1" s="112" t="s">
        <v>24</v>
      </c>
      <c r="L1" s="112"/>
      <c r="M1" s="114"/>
      <c r="N1" s="112" t="s">
        <v>62</v>
      </c>
      <c r="O1" s="119"/>
      <c r="P1" s="119"/>
      <c r="Q1" s="112" t="s">
        <v>3</v>
      </c>
      <c r="R1" s="112" t="s">
        <v>63</v>
      </c>
      <c r="S1" s="112" t="s">
        <v>64</v>
      </c>
      <c r="T1" s="112" t="s">
        <v>65</v>
      </c>
      <c r="U1" s="112" t="s">
        <v>2</v>
      </c>
      <c r="V1" s="112" t="s">
        <v>0</v>
      </c>
      <c r="W1" s="112" t="s">
        <v>1</v>
      </c>
      <c r="X1" s="112" t="s">
        <v>4</v>
      </c>
      <c r="Y1" s="112" t="s">
        <v>5</v>
      </c>
      <c r="Z1" s="112" t="s">
        <v>66</v>
      </c>
      <c r="AA1" s="118" t="s">
        <v>430</v>
      </c>
      <c r="AB1" s="119"/>
      <c r="AC1" s="119"/>
      <c r="AD1" s="119"/>
      <c r="AE1" s="115" t="s">
        <v>67</v>
      </c>
      <c r="AF1" s="115" t="s">
        <v>68</v>
      </c>
      <c r="AG1" s="112" t="s">
        <v>69</v>
      </c>
      <c r="AH1" s="112" t="s">
        <v>93</v>
      </c>
      <c r="AI1" s="112"/>
      <c r="AJ1" s="113" t="s">
        <v>94</v>
      </c>
    </row>
    <row r="2" spans="1:36" s="54" customFormat="1" ht="12" x14ac:dyDescent="0.2">
      <c r="A2" s="36" t="s">
        <v>31</v>
      </c>
      <c r="B2" s="36" t="s">
        <v>32</v>
      </c>
      <c r="C2" s="37" t="s">
        <v>55</v>
      </c>
      <c r="D2" s="36" t="s">
        <v>18</v>
      </c>
      <c r="E2" s="55" t="s">
        <v>52</v>
      </c>
      <c r="F2" s="112"/>
      <c r="G2" s="115"/>
      <c r="H2" s="116"/>
      <c r="I2" s="117"/>
      <c r="J2" s="117"/>
      <c r="K2" s="36" t="s">
        <v>20</v>
      </c>
      <c r="L2" s="36" t="s">
        <v>21</v>
      </c>
      <c r="M2" s="36" t="s">
        <v>30</v>
      </c>
      <c r="N2" s="36" t="s">
        <v>18</v>
      </c>
      <c r="O2" s="36" t="s">
        <v>8</v>
      </c>
      <c r="P2" s="36" t="s">
        <v>11</v>
      </c>
      <c r="Q2" s="119"/>
      <c r="R2" s="112"/>
      <c r="S2" s="112"/>
      <c r="T2" s="112"/>
      <c r="U2" s="119"/>
      <c r="V2" s="119"/>
      <c r="W2" s="119"/>
      <c r="X2" s="119"/>
      <c r="Y2" s="119"/>
      <c r="Z2" s="117"/>
      <c r="AA2" s="36" t="s">
        <v>13</v>
      </c>
      <c r="AB2" s="36" t="s">
        <v>14</v>
      </c>
      <c r="AC2" s="36" t="s">
        <v>16</v>
      </c>
      <c r="AD2" s="36" t="s">
        <v>26</v>
      </c>
      <c r="AE2" s="116"/>
      <c r="AF2" s="116"/>
      <c r="AG2" s="112"/>
      <c r="AH2" s="35" t="s">
        <v>91</v>
      </c>
      <c r="AI2" s="36" t="s">
        <v>92</v>
      </c>
      <c r="AJ2" s="113"/>
    </row>
    <row r="3" spans="1:36" s="54" customFormat="1" ht="12" x14ac:dyDescent="0.25">
      <c r="A3" s="56" t="s">
        <v>33</v>
      </c>
      <c r="B3" s="56" t="s">
        <v>9</v>
      </c>
      <c r="C3" s="57" t="s">
        <v>51</v>
      </c>
      <c r="D3" s="56" t="s">
        <v>9</v>
      </c>
      <c r="E3" s="56" t="s">
        <v>50</v>
      </c>
      <c r="F3" s="56" t="s">
        <v>9</v>
      </c>
      <c r="G3" s="58" t="s">
        <v>34</v>
      </c>
      <c r="H3" s="58" t="s">
        <v>15</v>
      </c>
      <c r="I3" s="56" t="s">
        <v>29</v>
      </c>
      <c r="J3" s="56" t="s">
        <v>29</v>
      </c>
      <c r="K3" s="56" t="s">
        <v>12</v>
      </c>
      <c r="L3" s="56" t="s">
        <v>12</v>
      </c>
      <c r="M3" s="56" t="s">
        <v>12</v>
      </c>
      <c r="N3" s="56" t="s">
        <v>9</v>
      </c>
      <c r="O3" s="56" t="s">
        <v>9</v>
      </c>
      <c r="P3" s="56" t="s">
        <v>12</v>
      </c>
      <c r="Q3" s="56" t="s">
        <v>10</v>
      </c>
      <c r="R3" s="56" t="s">
        <v>9</v>
      </c>
      <c r="S3" s="56" t="s">
        <v>9</v>
      </c>
      <c r="T3" s="56" t="s">
        <v>9</v>
      </c>
      <c r="U3" s="56" t="s">
        <v>15</v>
      </c>
      <c r="V3" s="56" t="s">
        <v>15</v>
      </c>
      <c r="W3" s="56" t="s">
        <v>25</v>
      </c>
      <c r="X3" s="56" t="s">
        <v>15</v>
      </c>
      <c r="Y3" s="56" t="s">
        <v>25</v>
      </c>
      <c r="Z3" s="56" t="s">
        <v>15</v>
      </c>
      <c r="AA3" s="56" t="s">
        <v>29</v>
      </c>
      <c r="AB3" s="56" t="s">
        <v>15</v>
      </c>
      <c r="AC3" s="56" t="s">
        <v>9</v>
      </c>
      <c r="AD3" s="56" t="s">
        <v>17</v>
      </c>
      <c r="AE3" s="58" t="s">
        <v>25</v>
      </c>
      <c r="AF3" s="58" t="s">
        <v>15</v>
      </c>
      <c r="AG3" s="56" t="s">
        <v>54</v>
      </c>
      <c r="AH3" s="56" t="s">
        <v>51</v>
      </c>
      <c r="AI3" s="56" t="s">
        <v>12</v>
      </c>
      <c r="AJ3" s="56" t="s">
        <v>10</v>
      </c>
    </row>
    <row r="4" spans="1:36" s="2" customFormat="1" x14ac:dyDescent="0.25">
      <c r="A4" s="59" t="str">
        <f>IF('Registrar expedidas_ingresos'!J4="",IF('Registrar expedidas_ingresos'!I4="","",YEAR('Registrar expedidas_ingresos'!I4)),YEAR('Registrar expedidas_ingresos'!J4))</f>
        <v/>
      </c>
      <c r="B4" s="60" t="str">
        <f>IF('Registrar expedidas_ingresos'!B4="","",'Registrar expedidas_ingresos'!B4)</f>
        <v/>
      </c>
      <c r="C4" s="60" t="str">
        <f>IF('Registrar expedidas_ingresos'!C4="","",VLOOKUP(CONCATENATE("ACTIVIDAD",'Registrar expedidas_ingresos'!C4),'CODIGO-LITERAL'!C:D,2,FALSE))</f>
        <v/>
      </c>
      <c r="D4" s="60" t="str">
        <f>IF(OR(C4="C",C4="D"),"",IF(ISERROR(VLOOKUP(CONCATENATE(C4,'Registrar expedidas_ingresos'!D4),'CODIGO-LITERAL'!$C:$D,2,FALSE)),"",VLOOKUP(CONCATENATE(C4,'Registrar expedidas_ingresos'!D4),'CODIGO-LITERAL'!$C:$D,2,FALSE)))</f>
        <v/>
      </c>
      <c r="E4" s="60" t="str">
        <f>IF('Registrar expedidas_ingresos'!E4="","",'Registrar expedidas_ingresos'!E4)</f>
        <v/>
      </c>
      <c r="F4" s="61" t="str">
        <f>IF(ISERROR(VLOOKUP(CONCATENATE("TIPO FACTURA",'Registrar expedidas_ingresos'!F4),'CODIGO-LITERAL'!$C:$D,2,FALSE)),"",VLOOKUP(CONCATENATE("TIPO FACTURA",'Registrar expedidas_ingresos'!F4),'CODIGO-LITERAL'!$C:$D,2,FALSE))</f>
        <v/>
      </c>
      <c r="G4" s="62"/>
      <c r="H4" s="63"/>
      <c r="I4" s="64" t="str">
        <f>IF('Registrar expedidas_ingresos'!I4="","",'Registrar expedidas_ingresos'!I4)</f>
        <v/>
      </c>
      <c r="J4" s="64" t="str">
        <f>IF('Registrar expedidas_ingresos'!J4="","",'Registrar expedidas_ingresos'!J4)</f>
        <v/>
      </c>
      <c r="K4" s="60" t="str">
        <f>IF('Registrar expedidas_ingresos'!K4="","",'Registrar expedidas_ingresos'!K4)</f>
        <v/>
      </c>
      <c r="L4" s="60" t="str">
        <f>IF('Registrar expedidas_ingresos'!L4="","",'Registrar expedidas_ingresos'!L4)</f>
        <v/>
      </c>
      <c r="M4" s="60" t="str">
        <f>IF('Registrar expedidas_ingresos'!M4="","",'Registrar expedidas_ingresos'!M4)</f>
        <v/>
      </c>
      <c r="N4" s="61" t="str">
        <f>IF(OR(F4="F2",LEFT('Registrar expedidas_ingresos'!N4,2)="01"),"",IF(ISERROR(VLOOKUP(CONCATENATE("TIPO NIF",'Registrar expedidas_ingresos'!N4),'CODIGO-LITERAL'!$C:$D,2,FALSE)),"",VLOOKUP(CONCATENATE("TIPO NIF",'Registrar expedidas_ingresos'!N4),'CODIGO-LITERAL'!$C:$D,2,FALSE)))</f>
        <v/>
      </c>
      <c r="O4" s="60" t="str">
        <f>IF(OR('Registrar expedidas_ingresos'!O4="",N4="02",F4="F2"),"",'Registrar expedidas_ingresos'!O4)</f>
        <v/>
      </c>
      <c r="P4" s="60" t="str">
        <f>IF('Registrar expedidas_ingresos'!P4="","",'Registrar expedidas_ingresos'!P4)</f>
        <v/>
      </c>
      <c r="Q4" s="60" t="str">
        <f>IF(F4="F2","VENTAS A CONSUMIDOR FINAL",IF('Registrar expedidas_ingresos'!Q4="","",'Registrar expedidas_ingresos'!Q4))</f>
        <v/>
      </c>
      <c r="R4" s="61" t="str">
        <f>IF(F4="DV","02",IF(ISERROR(VLOOKUP(CONCATENATE("CLAVE OPERACION",'Registrar expedidas_ingresos'!R4),'CODIGO-LITERAL'!$C:$D,2,FALSE)),"",VLOOKUP(CONCATENATE("CLAVE OPERACION",'Registrar expedidas_ingresos'!R4),'CODIGO-LITERAL'!$C:$D,2,FALSE)))</f>
        <v/>
      </c>
      <c r="S4" s="61" t="str">
        <f>IF(R4="03","S1",
 IF(R4="08","N2",
  IF(ISERROR(VLOOKUP(CONCATENATE("CALIFICACION OPERACION",'Registrar expedidas_ingresos'!S4),'CODIGO-LITERAL'!$C:$D,2,FALSE)),"",VLOOKUP(CONCATENATE("CALIFICACION OPERACION",'Registrar expedidas_ingresos'!S4),'CODIGO-LITERAL'!$C:$D,2,FALSE))))</f>
        <v/>
      </c>
      <c r="T4" s="61" t="str">
        <f>IF(R4="03","",IF(R4="08","",IF(ISERROR(VLOOKUP(CONCATENATE("OPERACION EXENTA",'Registrar expedidas_ingresos'!T4),'CODIGO-LITERAL'!$C:$D,2,FALSE)),"",VLOOKUP(CONCATENATE("OPERACION EXENTA",'Registrar expedidas_ingresos'!T4),'CODIGO-LITERAL'!$C:$D,2,FALSE))))</f>
        <v/>
      </c>
      <c r="U4" s="60" t="str">
        <f>IF(AND(S4="",T4=""),"",IF(S4="S1",ROUND(SUM(V4,X4,Z4),2),ROUND(V4,2)))</f>
        <v/>
      </c>
      <c r="V4" s="60" t="str">
        <f>IF('Registrar expedidas_ingresos'!V4="","",ROUND('Registrar expedidas_ingresos'!V4,2))</f>
        <v/>
      </c>
      <c r="W4" s="60" t="str">
        <f>IF(S4="S2",0,IF('Registrar expedidas_ingresos'!W4="","",'Registrar expedidas_ingresos'!W4))</f>
        <v/>
      </c>
      <c r="X4" s="60" t="str">
        <f>IF(S4="S2",0,IF('Registrar expedidas_ingresos'!X4="","",ROUND('Registrar expedidas_ingresos'!X4,2)))</f>
        <v/>
      </c>
      <c r="Y4" s="60" t="str">
        <f>IF('Registrar expedidas_ingresos'!Y4="","",'Registrar expedidas_ingresos'!Y4)</f>
        <v/>
      </c>
      <c r="Z4" s="60" t="str">
        <f>IF('Registrar expedidas_ingresos'!Z4="","",ROUND('Registrar expedidas_ingresos'!Z4,2))</f>
        <v/>
      </c>
      <c r="AA4" s="64" t="str">
        <f>IF(R4&lt;&gt;"07","",IF('Registrar expedidas_ingresos'!AA4="","",'Registrar expedidas_ingresos'!AA4))</f>
        <v/>
      </c>
      <c r="AB4" s="60" t="str">
        <f>IF(R4&lt;&gt;"07","",IF('Registrar expedidas_ingresos'!AB4="","",'Registrar expedidas_ingresos'!AB4))</f>
        <v/>
      </c>
      <c r="AC4" s="61" t="str">
        <f>IF(R4&lt;&gt;"07","",IF(ISERROR(VLOOKUP(CONCATENATE("MEDIO UTILIZADO",'Registrar expedidas_ingresos'!AC4),'CODIGO-LITERAL'!$C:$D,2,FALSE)),"",VLOOKUP(CONCATENATE("MEDIO UTILIZADO",'Registrar expedidas_ingresos'!AC4),'CODIGO-LITERAL'!$C:$D,2,FALSE)))</f>
        <v/>
      </c>
      <c r="AD4" s="60" t="str">
        <f>IF(R4&lt;&gt;"07","",IF('Registrar expedidas_ingresos'!AD4="","",'Registrar expedidas_ingresos'!AD4))</f>
        <v/>
      </c>
      <c r="AE4" s="65"/>
      <c r="AF4" s="65"/>
      <c r="AG4" s="60" t="str">
        <f>IF('Registrar expedidas_ingresos'!AG4="","",'Registrar expedidas_ingresos'!AG4)</f>
        <v/>
      </c>
      <c r="AH4" s="61" t="str">
        <f>IF(ISERROR(VLOOKUP(CONCATENATE("SITUACION",'Registrar expedidas_ingresos'!AH4),'CODIGO-LITERAL'!$C:$D,2,FALSE)),"",VLOOKUP(CONCATENATE("SITUACION",'Registrar expedidas_ingresos'!AH4),'CODIGO-LITERAL'!$C:$D,2,FALSE))</f>
        <v/>
      </c>
      <c r="AI4" s="60" t="str">
        <f>IF('Registrar expedidas_ingresos'!AI4="","",'Registrar expedidas_ingresos'!AI4)</f>
        <v/>
      </c>
      <c r="AJ4" s="60" t="str">
        <f>IF('Registrar expedidas_ingresos'!AJ4="","",'Registrar expedidas_ingresos'!AJ4)</f>
        <v/>
      </c>
    </row>
    <row r="5" spans="1:36" s="2" customFormat="1" x14ac:dyDescent="0.25">
      <c r="A5" s="59" t="str">
        <f>IF('Registrar expedidas_ingresos'!J5="",IF('Registrar expedidas_ingresos'!I5="","",YEAR('Registrar expedidas_ingresos'!I5)),YEAR('Registrar expedidas_ingresos'!J5))</f>
        <v/>
      </c>
      <c r="B5" s="60" t="str">
        <f>IF('Registrar expedidas_ingresos'!B5="","",'Registrar expedidas_ingresos'!B5)</f>
        <v/>
      </c>
      <c r="C5" s="60" t="str">
        <f>IF('Registrar expedidas_ingresos'!C5="","",VLOOKUP(CONCATENATE("ACTIVIDAD",'Registrar expedidas_ingresos'!C5),'CODIGO-LITERAL'!C:D,2,FALSE))</f>
        <v/>
      </c>
      <c r="D5" s="60" t="str">
        <f>IF(OR(C5="C",C5="D"),"",IF(ISERROR(VLOOKUP(CONCATENATE(C5,'Registrar expedidas_ingresos'!D5),'CODIGO-LITERAL'!$C:$D,2,FALSE)),"",VLOOKUP(CONCATENATE(C5,'Registrar expedidas_ingresos'!D5),'CODIGO-LITERAL'!$C:$D,2,FALSE)))</f>
        <v/>
      </c>
      <c r="E5" s="60" t="str">
        <f>IF('Registrar expedidas_ingresos'!E5="","",'Registrar expedidas_ingresos'!E5)</f>
        <v/>
      </c>
      <c r="F5" s="61" t="str">
        <f>IF(ISERROR(VLOOKUP(CONCATENATE("TIPO FACTURA",'Registrar expedidas_ingresos'!F5),'CODIGO-LITERAL'!$C:$D,2,FALSE)),"",VLOOKUP(CONCATENATE("TIPO FACTURA",'Registrar expedidas_ingresos'!F5),'CODIGO-LITERAL'!$C:$D,2,FALSE))</f>
        <v/>
      </c>
      <c r="G5" s="62"/>
      <c r="H5" s="63"/>
      <c r="I5" s="64" t="str">
        <f>IF('Registrar expedidas_ingresos'!I5="","",'Registrar expedidas_ingresos'!I5)</f>
        <v/>
      </c>
      <c r="J5" s="64" t="str">
        <f>IF('Registrar expedidas_ingresos'!J5="","",'Registrar expedidas_ingresos'!J5)</f>
        <v/>
      </c>
      <c r="K5" s="60" t="str">
        <f>IF('Registrar expedidas_ingresos'!K5="","",'Registrar expedidas_ingresos'!K5)</f>
        <v/>
      </c>
      <c r="L5" s="60" t="str">
        <f>IF('Registrar expedidas_ingresos'!L5="","",'Registrar expedidas_ingresos'!L5)</f>
        <v/>
      </c>
      <c r="M5" s="60" t="str">
        <f>IF('Registrar expedidas_ingresos'!M5="","",'Registrar expedidas_ingresos'!M5)</f>
        <v/>
      </c>
      <c r="N5" s="61" t="str">
        <f>IF(OR(F5="F2",LEFT('Registrar expedidas_ingresos'!N5,2)="01"),"",IF(ISERROR(VLOOKUP(CONCATENATE("TIPO NIF",'Registrar expedidas_ingresos'!N5),'CODIGO-LITERAL'!$C:$D,2,FALSE)),"",VLOOKUP(CONCATENATE("TIPO NIF",'Registrar expedidas_ingresos'!N5),'CODIGO-LITERAL'!$C:$D,2,FALSE)))</f>
        <v/>
      </c>
      <c r="O5" s="60" t="str">
        <f>IF(OR('Registrar expedidas_ingresos'!O5="",N5="02",F5="F2"),"",'Registrar expedidas_ingresos'!O5)</f>
        <v/>
      </c>
      <c r="P5" s="60" t="str">
        <f>IF('Registrar expedidas_ingresos'!P5="","",'Registrar expedidas_ingresos'!P5)</f>
        <v/>
      </c>
      <c r="Q5" s="60" t="str">
        <f>IF(F5="F2","VENTAS A CONSUMIDOR FINAL",IF('Registrar expedidas_ingresos'!Q5="","",'Registrar expedidas_ingresos'!Q5))</f>
        <v/>
      </c>
      <c r="R5" s="61" t="str">
        <f>IF(F5="DV","02",IF(ISERROR(VLOOKUP(CONCATENATE("CLAVE OPERACION",'Registrar expedidas_ingresos'!R5),'CODIGO-LITERAL'!$C:$D,2,FALSE)),"",VLOOKUP(CONCATENATE("CLAVE OPERACION",'Registrar expedidas_ingresos'!R5),'CODIGO-LITERAL'!$C:$D,2,FALSE)))</f>
        <v/>
      </c>
      <c r="S5" s="61" t="str">
        <f>IF(R5="03","S1",
 IF(R5="08","N2",
  IF(ISERROR(VLOOKUP(CONCATENATE("CALIFICACION OPERACION",'Registrar expedidas_ingresos'!S5),'CODIGO-LITERAL'!$C:$D,2,FALSE)),"",VLOOKUP(CONCATENATE("CALIFICACION OPERACION",'Registrar expedidas_ingresos'!S5),'CODIGO-LITERAL'!$C:$D,2,FALSE))))</f>
        <v/>
      </c>
      <c r="T5" s="61" t="str">
        <f>IF(R5="03","",IF(R5="08","",IF(ISERROR(VLOOKUP(CONCATENATE("OPERACION EXENTA",'Registrar expedidas_ingresos'!T5),'CODIGO-LITERAL'!$C:$D,2,FALSE)),"",VLOOKUP(CONCATENATE("OPERACION EXENTA",'Registrar expedidas_ingresos'!T5),'CODIGO-LITERAL'!$C:$D,2,FALSE))))</f>
        <v/>
      </c>
      <c r="U5" s="60" t="str">
        <f t="shared" ref="U5:U35" si="0">IF(AND(S5="",T5=""),"",IF(S5="S1",ROUND(SUM(V5,X5,Z5),2),ROUND(V5,2)))</f>
        <v/>
      </c>
      <c r="V5" s="60" t="str">
        <f>IF('Registrar expedidas_ingresos'!V5="","",ROUND('Registrar expedidas_ingresos'!V5,2))</f>
        <v/>
      </c>
      <c r="W5" s="60" t="str">
        <f>IF(S5="S2",0,IF('Registrar expedidas_ingresos'!W5="","",'Registrar expedidas_ingresos'!W5))</f>
        <v/>
      </c>
      <c r="X5" s="60" t="str">
        <f>IF(S5="S2",0,IF('Registrar expedidas_ingresos'!X5="","",ROUND('Registrar expedidas_ingresos'!X5,2)))</f>
        <v/>
      </c>
      <c r="Y5" s="60" t="str">
        <f>IF('Registrar expedidas_ingresos'!Y5="","",'Registrar expedidas_ingresos'!Y5)</f>
        <v/>
      </c>
      <c r="Z5" s="60" t="str">
        <f>IF('Registrar expedidas_ingresos'!Z5="","",ROUND('Registrar expedidas_ingresos'!Z5,2))</f>
        <v/>
      </c>
      <c r="AA5" s="64" t="str">
        <f>IF(R5&lt;&gt;"07","",IF('Registrar expedidas_ingresos'!AA5="","",'Registrar expedidas_ingresos'!AA5))</f>
        <v/>
      </c>
      <c r="AB5" s="60" t="str">
        <f>IF(R5&lt;&gt;"07","",IF('Registrar expedidas_ingresos'!AB5="","",'Registrar expedidas_ingresos'!AB5))</f>
        <v/>
      </c>
      <c r="AC5" s="61" t="str">
        <f>IF(R5&lt;&gt;"07","",IF(ISERROR(VLOOKUP(CONCATENATE("MEDIO UTILIZADO",'Registrar expedidas_ingresos'!AC5),'CODIGO-LITERAL'!$C:$D,2,FALSE)),"",VLOOKUP(CONCATENATE("MEDIO UTILIZADO",'Registrar expedidas_ingresos'!AC5),'CODIGO-LITERAL'!$C:$D,2,FALSE)))</f>
        <v/>
      </c>
      <c r="AD5" s="60" t="str">
        <f>IF(R5&lt;&gt;"07","",IF('Registrar expedidas_ingresos'!AD5="","",'Registrar expedidas_ingresos'!AD5))</f>
        <v/>
      </c>
      <c r="AE5" s="65"/>
      <c r="AF5" s="65"/>
      <c r="AG5" s="60" t="str">
        <f>IF('Registrar expedidas_ingresos'!AG5="","",'Registrar expedidas_ingresos'!AG5)</f>
        <v/>
      </c>
      <c r="AH5" s="61" t="str">
        <f>IF(ISERROR(VLOOKUP(CONCATENATE("SITUACION",'Registrar expedidas_ingresos'!AH5),'CODIGO-LITERAL'!$C:$D,2,FALSE)),"",VLOOKUP(CONCATENATE("SITUACION",'Registrar expedidas_ingresos'!AH5),'CODIGO-LITERAL'!$C:$D,2,FALSE))</f>
        <v/>
      </c>
      <c r="AI5" s="60" t="str">
        <f>IF('Registrar expedidas_ingresos'!AI5="","",'Registrar expedidas_ingresos'!AI5)</f>
        <v/>
      </c>
      <c r="AJ5" s="60" t="str">
        <f>IF('Registrar expedidas_ingresos'!AJ5="","",'Registrar expedidas_ingresos'!AJ5)</f>
        <v/>
      </c>
    </row>
    <row r="6" spans="1:36" s="2" customFormat="1" x14ac:dyDescent="0.25">
      <c r="A6" s="59" t="str">
        <f>IF('Registrar expedidas_ingresos'!J6="",IF('Registrar expedidas_ingresos'!I6="","",YEAR('Registrar expedidas_ingresos'!I6)),YEAR('Registrar expedidas_ingresos'!J6))</f>
        <v/>
      </c>
      <c r="B6" s="60" t="str">
        <f>IF('Registrar expedidas_ingresos'!B6="","",'Registrar expedidas_ingresos'!B6)</f>
        <v/>
      </c>
      <c r="C6" s="60" t="str">
        <f>IF('Registrar expedidas_ingresos'!C6="","",VLOOKUP(CONCATENATE("ACTIVIDAD",'Registrar expedidas_ingresos'!C6),'CODIGO-LITERAL'!C:D,2,FALSE))</f>
        <v/>
      </c>
      <c r="D6" s="60" t="str">
        <f>IF(OR(C6="C",C6="D"),"",IF(ISERROR(VLOOKUP(CONCATENATE(C6,'Registrar expedidas_ingresos'!D6),'CODIGO-LITERAL'!$C:$D,2,FALSE)),"",VLOOKUP(CONCATENATE(C6,'Registrar expedidas_ingresos'!D6),'CODIGO-LITERAL'!$C:$D,2,FALSE)))</f>
        <v/>
      </c>
      <c r="E6" s="60" t="str">
        <f>IF('Registrar expedidas_ingresos'!E6="","",'Registrar expedidas_ingresos'!E6)</f>
        <v/>
      </c>
      <c r="F6" s="61" t="str">
        <f>IF(ISERROR(VLOOKUP(CONCATENATE("TIPO FACTURA",'Registrar expedidas_ingresos'!F6),'CODIGO-LITERAL'!$C:$D,2,FALSE)),"",VLOOKUP(CONCATENATE("TIPO FACTURA",'Registrar expedidas_ingresos'!F6),'CODIGO-LITERAL'!$C:$D,2,FALSE))</f>
        <v/>
      </c>
      <c r="G6" s="62"/>
      <c r="H6" s="63"/>
      <c r="I6" s="64" t="str">
        <f>IF('Registrar expedidas_ingresos'!I6="","",'Registrar expedidas_ingresos'!I6)</f>
        <v/>
      </c>
      <c r="J6" s="64" t="str">
        <f>IF('Registrar expedidas_ingresos'!J6="","",'Registrar expedidas_ingresos'!J6)</f>
        <v/>
      </c>
      <c r="K6" s="60" t="str">
        <f>IF('Registrar expedidas_ingresos'!K6="","",'Registrar expedidas_ingresos'!K6)</f>
        <v/>
      </c>
      <c r="L6" s="60" t="str">
        <f>IF('Registrar expedidas_ingresos'!L6="","",'Registrar expedidas_ingresos'!L6)</f>
        <v/>
      </c>
      <c r="M6" s="60" t="str">
        <f>IF('Registrar expedidas_ingresos'!M6="","",'Registrar expedidas_ingresos'!M6)</f>
        <v/>
      </c>
      <c r="N6" s="61" t="str">
        <f>IF(OR(F6="F2",LEFT('Registrar expedidas_ingresos'!N6,2)="01"),"",IF(ISERROR(VLOOKUP(CONCATENATE("TIPO NIF",'Registrar expedidas_ingresos'!N6),'CODIGO-LITERAL'!$C:$D,2,FALSE)),"",VLOOKUP(CONCATENATE("TIPO NIF",'Registrar expedidas_ingresos'!N6),'CODIGO-LITERAL'!$C:$D,2,FALSE)))</f>
        <v/>
      </c>
      <c r="O6" s="60" t="str">
        <f>IF(OR('Registrar expedidas_ingresos'!O6="",N6="02",F6="F2"),"",'Registrar expedidas_ingresos'!O6)</f>
        <v/>
      </c>
      <c r="P6" s="60" t="str">
        <f>IF('Registrar expedidas_ingresos'!P6="","",'Registrar expedidas_ingresos'!P6)</f>
        <v/>
      </c>
      <c r="Q6" s="60" t="str">
        <f>IF(F6="F2","VENTAS A CONSUMIDOR FINAL",IF('Registrar expedidas_ingresos'!Q6="","",'Registrar expedidas_ingresos'!Q6))</f>
        <v/>
      </c>
      <c r="R6" s="61" t="str">
        <f>IF(F6="DV","02",IF(ISERROR(VLOOKUP(CONCATENATE("CLAVE OPERACION",'Registrar expedidas_ingresos'!R6),'CODIGO-LITERAL'!$C:$D,2,FALSE)),"",VLOOKUP(CONCATENATE("CLAVE OPERACION",'Registrar expedidas_ingresos'!R6),'CODIGO-LITERAL'!$C:$D,2,FALSE)))</f>
        <v/>
      </c>
      <c r="S6" s="61" t="str">
        <f>IF(R6="03","S1",
 IF(R6="08","N2",
  IF(ISERROR(VLOOKUP(CONCATENATE("CALIFICACION OPERACION",'Registrar expedidas_ingresos'!S6),'CODIGO-LITERAL'!$C:$D,2,FALSE)),"",VLOOKUP(CONCATENATE("CALIFICACION OPERACION",'Registrar expedidas_ingresos'!S6),'CODIGO-LITERAL'!$C:$D,2,FALSE))))</f>
        <v/>
      </c>
      <c r="T6" s="61" t="str">
        <f>IF(R6="03","",IF(R6="08","",IF(ISERROR(VLOOKUP(CONCATENATE("OPERACION EXENTA",'Registrar expedidas_ingresos'!T6),'CODIGO-LITERAL'!$C:$D,2,FALSE)),"",VLOOKUP(CONCATENATE("OPERACION EXENTA",'Registrar expedidas_ingresos'!T6),'CODIGO-LITERAL'!$C:$D,2,FALSE))))</f>
        <v/>
      </c>
      <c r="U6" s="60" t="str">
        <f t="shared" si="0"/>
        <v/>
      </c>
      <c r="V6" s="60" t="str">
        <f>IF('Registrar expedidas_ingresos'!V6="","",ROUND('Registrar expedidas_ingresos'!V6,2))</f>
        <v/>
      </c>
      <c r="W6" s="60" t="str">
        <f>IF(S6="S2",0,IF('Registrar expedidas_ingresos'!W6="","",'Registrar expedidas_ingresos'!W6))</f>
        <v/>
      </c>
      <c r="X6" s="60" t="str">
        <f>IF(S6="S2",0,IF('Registrar expedidas_ingresos'!X6="","",ROUND('Registrar expedidas_ingresos'!X6,2)))</f>
        <v/>
      </c>
      <c r="Y6" s="60" t="str">
        <f>IF('Registrar expedidas_ingresos'!Y6="","",'Registrar expedidas_ingresos'!Y6)</f>
        <v/>
      </c>
      <c r="Z6" s="60" t="str">
        <f>IF('Registrar expedidas_ingresos'!Z6="","",ROUND('Registrar expedidas_ingresos'!Z6,2))</f>
        <v/>
      </c>
      <c r="AA6" s="64" t="str">
        <f>IF(R6&lt;&gt;"07","",IF('Registrar expedidas_ingresos'!AA6="","",'Registrar expedidas_ingresos'!AA6))</f>
        <v/>
      </c>
      <c r="AB6" s="60" t="str">
        <f>IF(R6&lt;&gt;"07","",IF('Registrar expedidas_ingresos'!AB6="","",'Registrar expedidas_ingresos'!AB6))</f>
        <v/>
      </c>
      <c r="AC6" s="61" t="str">
        <f>IF(R6&lt;&gt;"07","",IF(ISERROR(VLOOKUP(CONCATENATE("MEDIO UTILIZADO",'Registrar expedidas_ingresos'!AC6),'CODIGO-LITERAL'!$C:$D,2,FALSE)),"",VLOOKUP(CONCATENATE("MEDIO UTILIZADO",'Registrar expedidas_ingresos'!AC6),'CODIGO-LITERAL'!$C:$D,2,FALSE)))</f>
        <v/>
      </c>
      <c r="AD6" s="60" t="str">
        <f>IF(R6&lt;&gt;"07","",IF('Registrar expedidas_ingresos'!AD6="","",'Registrar expedidas_ingresos'!AD6))</f>
        <v/>
      </c>
      <c r="AE6" s="65"/>
      <c r="AF6" s="65"/>
      <c r="AG6" s="60" t="str">
        <f>IF('Registrar expedidas_ingresos'!AG6="","",'Registrar expedidas_ingresos'!AG6)</f>
        <v/>
      </c>
      <c r="AH6" s="61" t="str">
        <f>IF(ISERROR(VLOOKUP(CONCATENATE("SITUACION",'Registrar expedidas_ingresos'!AH6),'CODIGO-LITERAL'!$C:$D,2,FALSE)),"",VLOOKUP(CONCATENATE("SITUACION",'Registrar expedidas_ingresos'!AH6),'CODIGO-LITERAL'!$C:$D,2,FALSE))</f>
        <v/>
      </c>
      <c r="AI6" s="60" t="str">
        <f>IF('Registrar expedidas_ingresos'!AI6="","",'Registrar expedidas_ingresos'!AI6)</f>
        <v/>
      </c>
      <c r="AJ6" s="60" t="str">
        <f>IF('Registrar expedidas_ingresos'!AJ6="","",'Registrar expedidas_ingresos'!AJ6)</f>
        <v/>
      </c>
    </row>
    <row r="7" spans="1:36" s="2" customFormat="1" x14ac:dyDescent="0.25">
      <c r="A7" s="59" t="str">
        <f>IF('Registrar expedidas_ingresos'!J7="",IF('Registrar expedidas_ingresos'!I7="","",YEAR('Registrar expedidas_ingresos'!I7)),YEAR('Registrar expedidas_ingresos'!J7))</f>
        <v/>
      </c>
      <c r="B7" s="60" t="str">
        <f>IF('Registrar expedidas_ingresos'!B7="","",'Registrar expedidas_ingresos'!B7)</f>
        <v/>
      </c>
      <c r="C7" s="60" t="str">
        <f>IF('Registrar expedidas_ingresos'!C7="","",VLOOKUP(CONCATENATE("ACTIVIDAD",'Registrar expedidas_ingresos'!C7),'CODIGO-LITERAL'!C:D,2,FALSE))</f>
        <v/>
      </c>
      <c r="D7" s="60" t="str">
        <f>IF(OR(C7="C",C7="D"),"",IF(ISERROR(VLOOKUP(CONCATENATE(C7,'Registrar expedidas_ingresos'!D7),'CODIGO-LITERAL'!$C:$D,2,FALSE)),"",VLOOKUP(CONCATENATE(C7,'Registrar expedidas_ingresos'!D7),'CODIGO-LITERAL'!$C:$D,2,FALSE)))</f>
        <v/>
      </c>
      <c r="E7" s="60" t="str">
        <f>IF('Registrar expedidas_ingresos'!E7="","",'Registrar expedidas_ingresos'!E7)</f>
        <v/>
      </c>
      <c r="F7" s="61" t="str">
        <f>IF(ISERROR(VLOOKUP(CONCATENATE("TIPO FACTURA",'Registrar expedidas_ingresos'!F7),'CODIGO-LITERAL'!$C:$D,2,FALSE)),"",VLOOKUP(CONCATENATE("TIPO FACTURA",'Registrar expedidas_ingresos'!F7),'CODIGO-LITERAL'!$C:$D,2,FALSE))</f>
        <v/>
      </c>
      <c r="G7" s="62"/>
      <c r="H7" s="63"/>
      <c r="I7" s="64" t="str">
        <f>IF('Registrar expedidas_ingresos'!I7="","",'Registrar expedidas_ingresos'!I7)</f>
        <v/>
      </c>
      <c r="J7" s="64" t="str">
        <f>IF('Registrar expedidas_ingresos'!J7="","",'Registrar expedidas_ingresos'!J7)</f>
        <v/>
      </c>
      <c r="K7" s="60" t="str">
        <f>IF('Registrar expedidas_ingresos'!K7="","",'Registrar expedidas_ingresos'!K7)</f>
        <v/>
      </c>
      <c r="L7" s="60" t="str">
        <f>IF('Registrar expedidas_ingresos'!L7="","",'Registrar expedidas_ingresos'!L7)</f>
        <v/>
      </c>
      <c r="M7" s="60" t="str">
        <f>IF('Registrar expedidas_ingresos'!M7="","",'Registrar expedidas_ingresos'!M7)</f>
        <v/>
      </c>
      <c r="N7" s="61" t="str">
        <f>IF(OR(F7="F2",LEFT('Registrar expedidas_ingresos'!N7,2)="01"),"",IF(ISERROR(VLOOKUP(CONCATENATE("TIPO NIF",'Registrar expedidas_ingresos'!N7),'CODIGO-LITERAL'!$C:$D,2,FALSE)),"",VLOOKUP(CONCATENATE("TIPO NIF",'Registrar expedidas_ingresos'!N7),'CODIGO-LITERAL'!$C:$D,2,FALSE)))</f>
        <v/>
      </c>
      <c r="O7" s="60" t="str">
        <f>IF(OR('Registrar expedidas_ingresos'!O7="",N7="02",F7="F2"),"",'Registrar expedidas_ingresos'!O7)</f>
        <v/>
      </c>
      <c r="P7" s="60" t="str">
        <f>IF('Registrar expedidas_ingresos'!P7="","",'Registrar expedidas_ingresos'!P7)</f>
        <v/>
      </c>
      <c r="Q7" s="60" t="str">
        <f>IF(F7="F2","VENTAS A CONSUMIDOR FINAL",IF('Registrar expedidas_ingresos'!Q7="","",'Registrar expedidas_ingresos'!Q7))</f>
        <v/>
      </c>
      <c r="R7" s="61" t="str">
        <f>IF(F7="DV","02",IF(ISERROR(VLOOKUP(CONCATENATE("CLAVE OPERACION",'Registrar expedidas_ingresos'!R7),'CODIGO-LITERAL'!$C:$D,2,FALSE)),"",VLOOKUP(CONCATENATE("CLAVE OPERACION",'Registrar expedidas_ingresos'!R7),'CODIGO-LITERAL'!$C:$D,2,FALSE)))</f>
        <v/>
      </c>
      <c r="S7" s="61" t="str">
        <f>IF(R7="03","S1",
 IF(R7="08","N2",
  IF(ISERROR(VLOOKUP(CONCATENATE("CALIFICACION OPERACION",'Registrar expedidas_ingresos'!S7),'CODIGO-LITERAL'!$C:$D,2,FALSE)),"",VLOOKUP(CONCATENATE("CALIFICACION OPERACION",'Registrar expedidas_ingresos'!S7),'CODIGO-LITERAL'!$C:$D,2,FALSE))))</f>
        <v/>
      </c>
      <c r="T7" s="61" t="str">
        <f>IF(R7="03","",IF(R7="08","",IF(ISERROR(VLOOKUP(CONCATENATE("OPERACION EXENTA",'Registrar expedidas_ingresos'!T7),'CODIGO-LITERAL'!$C:$D,2,FALSE)),"",VLOOKUP(CONCATENATE("OPERACION EXENTA",'Registrar expedidas_ingresos'!T7),'CODIGO-LITERAL'!$C:$D,2,FALSE))))</f>
        <v/>
      </c>
      <c r="U7" s="60" t="str">
        <f t="shared" si="0"/>
        <v/>
      </c>
      <c r="V7" s="60" t="str">
        <f>IF('Registrar expedidas_ingresos'!V7="","",ROUND('Registrar expedidas_ingresos'!V7,2))</f>
        <v/>
      </c>
      <c r="W7" s="60" t="str">
        <f>IF(S7="S2",0,IF('Registrar expedidas_ingresos'!W7="","",'Registrar expedidas_ingresos'!W7))</f>
        <v/>
      </c>
      <c r="X7" s="60" t="str">
        <f>IF(S7="S2",0,IF('Registrar expedidas_ingresos'!X7="","",ROUND('Registrar expedidas_ingresos'!X7,2)))</f>
        <v/>
      </c>
      <c r="Y7" s="60" t="str">
        <f>IF('Registrar expedidas_ingresos'!Y7="","",'Registrar expedidas_ingresos'!Y7)</f>
        <v/>
      </c>
      <c r="Z7" s="60" t="str">
        <f>IF('Registrar expedidas_ingresos'!Z7="","",ROUND('Registrar expedidas_ingresos'!Z7,2))</f>
        <v/>
      </c>
      <c r="AA7" s="64" t="str">
        <f>IF(R7&lt;&gt;"07","",IF('Registrar expedidas_ingresos'!AA7="","",'Registrar expedidas_ingresos'!AA7))</f>
        <v/>
      </c>
      <c r="AB7" s="60" t="str">
        <f>IF(R7&lt;&gt;"07","",IF('Registrar expedidas_ingresos'!AB7="","",'Registrar expedidas_ingresos'!AB7))</f>
        <v/>
      </c>
      <c r="AC7" s="61" t="str">
        <f>IF(R7&lt;&gt;"07","",IF(ISERROR(VLOOKUP(CONCATENATE("MEDIO UTILIZADO",'Registrar expedidas_ingresos'!AC7),'CODIGO-LITERAL'!$C:$D,2,FALSE)),"",VLOOKUP(CONCATENATE("MEDIO UTILIZADO",'Registrar expedidas_ingresos'!AC7),'CODIGO-LITERAL'!$C:$D,2,FALSE)))</f>
        <v/>
      </c>
      <c r="AD7" s="60" t="str">
        <f>IF(R7&lt;&gt;"07","",IF('Registrar expedidas_ingresos'!AD7="","",'Registrar expedidas_ingresos'!AD7))</f>
        <v/>
      </c>
      <c r="AE7" s="65"/>
      <c r="AF7" s="65"/>
      <c r="AG7" s="60" t="str">
        <f>IF('Registrar expedidas_ingresos'!AG7="","",'Registrar expedidas_ingresos'!AG7)</f>
        <v/>
      </c>
      <c r="AH7" s="61" t="str">
        <f>IF(ISERROR(VLOOKUP(CONCATENATE("SITUACION",'Registrar expedidas_ingresos'!AH7),'CODIGO-LITERAL'!$C:$D,2,FALSE)),"",VLOOKUP(CONCATENATE("SITUACION",'Registrar expedidas_ingresos'!AH7),'CODIGO-LITERAL'!$C:$D,2,FALSE))</f>
        <v/>
      </c>
      <c r="AI7" s="60" t="str">
        <f>IF('Registrar expedidas_ingresos'!AI7="","",'Registrar expedidas_ingresos'!AI7)</f>
        <v/>
      </c>
      <c r="AJ7" s="60" t="str">
        <f>IF('Registrar expedidas_ingresos'!AJ7="","",'Registrar expedidas_ingresos'!AJ7)</f>
        <v/>
      </c>
    </row>
    <row r="8" spans="1:36" s="2" customFormat="1" x14ac:dyDescent="0.25">
      <c r="A8" s="59" t="str">
        <f>IF('Registrar expedidas_ingresos'!J8="",IF('Registrar expedidas_ingresos'!I8="","",YEAR('Registrar expedidas_ingresos'!I8)),YEAR('Registrar expedidas_ingresos'!J8))</f>
        <v/>
      </c>
      <c r="B8" s="60" t="str">
        <f>IF('Registrar expedidas_ingresos'!B8="","",'Registrar expedidas_ingresos'!B8)</f>
        <v/>
      </c>
      <c r="C8" s="60" t="str">
        <f>IF('Registrar expedidas_ingresos'!C8="","",VLOOKUP(CONCATENATE("ACTIVIDAD",'Registrar expedidas_ingresos'!C8),'CODIGO-LITERAL'!C:D,2,FALSE))</f>
        <v/>
      </c>
      <c r="D8" s="60" t="str">
        <f>IF(OR(C8="C",C8="D"),"",IF(ISERROR(VLOOKUP(CONCATENATE(C8,'Registrar expedidas_ingresos'!D8),'CODIGO-LITERAL'!$C:$D,2,FALSE)),"",VLOOKUP(CONCATENATE(C8,'Registrar expedidas_ingresos'!D8),'CODIGO-LITERAL'!$C:$D,2,FALSE)))</f>
        <v/>
      </c>
      <c r="E8" s="60" t="str">
        <f>IF('Registrar expedidas_ingresos'!E8="","",'Registrar expedidas_ingresos'!E8)</f>
        <v/>
      </c>
      <c r="F8" s="61" t="str">
        <f>IF(ISERROR(VLOOKUP(CONCATENATE("TIPO FACTURA",'Registrar expedidas_ingresos'!F8),'CODIGO-LITERAL'!$C:$D,2,FALSE)),"",VLOOKUP(CONCATENATE("TIPO FACTURA",'Registrar expedidas_ingresos'!F8),'CODIGO-LITERAL'!$C:$D,2,FALSE))</f>
        <v/>
      </c>
      <c r="G8" s="62"/>
      <c r="H8" s="63"/>
      <c r="I8" s="64" t="str">
        <f>IF('Registrar expedidas_ingresos'!I8="","",'Registrar expedidas_ingresos'!I8)</f>
        <v/>
      </c>
      <c r="J8" s="64" t="str">
        <f>IF('Registrar expedidas_ingresos'!J8="","",'Registrar expedidas_ingresos'!J8)</f>
        <v/>
      </c>
      <c r="K8" s="60" t="str">
        <f>IF('Registrar expedidas_ingresos'!K8="","",'Registrar expedidas_ingresos'!K8)</f>
        <v/>
      </c>
      <c r="L8" s="60" t="str">
        <f>IF('Registrar expedidas_ingresos'!L8="","",'Registrar expedidas_ingresos'!L8)</f>
        <v/>
      </c>
      <c r="M8" s="60" t="str">
        <f>IF('Registrar expedidas_ingresos'!M8="","",'Registrar expedidas_ingresos'!M8)</f>
        <v/>
      </c>
      <c r="N8" s="61" t="str">
        <f>IF(OR(F8="F2",LEFT('Registrar expedidas_ingresos'!N8,2)="01"),"",IF(ISERROR(VLOOKUP(CONCATENATE("TIPO NIF",'Registrar expedidas_ingresos'!N8),'CODIGO-LITERAL'!$C:$D,2,FALSE)),"",VLOOKUP(CONCATENATE("TIPO NIF",'Registrar expedidas_ingresos'!N8),'CODIGO-LITERAL'!$C:$D,2,FALSE)))</f>
        <v/>
      </c>
      <c r="O8" s="60" t="str">
        <f>IF(OR('Registrar expedidas_ingresos'!O8="",N8="02",F8="F2"),"",'Registrar expedidas_ingresos'!O8)</f>
        <v/>
      </c>
      <c r="P8" s="60" t="str">
        <f>IF('Registrar expedidas_ingresos'!P8="","",'Registrar expedidas_ingresos'!P8)</f>
        <v/>
      </c>
      <c r="Q8" s="60" t="str">
        <f>IF(F8="F2","VENTAS A CONSUMIDOR FINAL",IF('Registrar expedidas_ingresos'!Q8="","",'Registrar expedidas_ingresos'!Q8))</f>
        <v/>
      </c>
      <c r="R8" s="61" t="str">
        <f>IF(F8="DV","02",IF(ISERROR(VLOOKUP(CONCATENATE("CLAVE OPERACION",'Registrar expedidas_ingresos'!R8),'CODIGO-LITERAL'!$C:$D,2,FALSE)),"",VLOOKUP(CONCATENATE("CLAVE OPERACION",'Registrar expedidas_ingresos'!R8),'CODIGO-LITERAL'!$C:$D,2,FALSE)))</f>
        <v/>
      </c>
      <c r="S8" s="61" t="str">
        <f>IF(R8="03","S1",
 IF(R8="08","N2",
  IF(ISERROR(VLOOKUP(CONCATENATE("CALIFICACION OPERACION",'Registrar expedidas_ingresos'!S8),'CODIGO-LITERAL'!$C:$D,2,FALSE)),"",VLOOKUP(CONCATENATE("CALIFICACION OPERACION",'Registrar expedidas_ingresos'!S8),'CODIGO-LITERAL'!$C:$D,2,FALSE))))</f>
        <v/>
      </c>
      <c r="T8" s="61" t="str">
        <f>IF(R8="03","",IF(R8="08","",IF(ISERROR(VLOOKUP(CONCATENATE("OPERACION EXENTA",'Registrar expedidas_ingresos'!T8),'CODIGO-LITERAL'!$C:$D,2,FALSE)),"",VLOOKUP(CONCATENATE("OPERACION EXENTA",'Registrar expedidas_ingresos'!T8),'CODIGO-LITERAL'!$C:$D,2,FALSE))))</f>
        <v/>
      </c>
      <c r="U8" s="60" t="str">
        <f t="shared" si="0"/>
        <v/>
      </c>
      <c r="V8" s="60" t="str">
        <f>IF('Registrar expedidas_ingresos'!V8="","",ROUND('Registrar expedidas_ingresos'!V8,2))</f>
        <v/>
      </c>
      <c r="W8" s="60" t="str">
        <f>IF(S8="S2",0,IF('Registrar expedidas_ingresos'!W8="","",'Registrar expedidas_ingresos'!W8))</f>
        <v/>
      </c>
      <c r="X8" s="60" t="str">
        <f>IF(S8="S2",0,IF('Registrar expedidas_ingresos'!X8="","",ROUND('Registrar expedidas_ingresos'!X8,2)))</f>
        <v/>
      </c>
      <c r="Y8" s="60" t="str">
        <f>IF('Registrar expedidas_ingresos'!Y8="","",'Registrar expedidas_ingresos'!Y8)</f>
        <v/>
      </c>
      <c r="Z8" s="60" t="str">
        <f>IF('Registrar expedidas_ingresos'!Z8="","",ROUND('Registrar expedidas_ingresos'!Z8,2))</f>
        <v/>
      </c>
      <c r="AA8" s="64" t="str">
        <f>IF(R8&lt;&gt;"07","",IF('Registrar expedidas_ingresos'!AA8="","",'Registrar expedidas_ingresos'!AA8))</f>
        <v/>
      </c>
      <c r="AB8" s="60" t="str">
        <f>IF(R8&lt;&gt;"07","",IF('Registrar expedidas_ingresos'!AB8="","",'Registrar expedidas_ingresos'!AB8))</f>
        <v/>
      </c>
      <c r="AC8" s="61" t="str">
        <f>IF(R8&lt;&gt;"07","",IF(ISERROR(VLOOKUP(CONCATENATE("MEDIO UTILIZADO",'Registrar expedidas_ingresos'!AC8),'CODIGO-LITERAL'!$C:$D,2,FALSE)),"",VLOOKUP(CONCATENATE("MEDIO UTILIZADO",'Registrar expedidas_ingresos'!AC8),'CODIGO-LITERAL'!$C:$D,2,FALSE)))</f>
        <v/>
      </c>
      <c r="AD8" s="60" t="str">
        <f>IF(R8&lt;&gt;"07","",IF('Registrar expedidas_ingresos'!AD8="","",'Registrar expedidas_ingresos'!AD8))</f>
        <v/>
      </c>
      <c r="AE8" s="65"/>
      <c r="AF8" s="65"/>
      <c r="AG8" s="60" t="str">
        <f>IF('Registrar expedidas_ingresos'!AG8="","",'Registrar expedidas_ingresos'!AG8)</f>
        <v/>
      </c>
      <c r="AH8" s="61" t="str">
        <f>IF(ISERROR(VLOOKUP(CONCATENATE("SITUACION",'Registrar expedidas_ingresos'!AH8),'CODIGO-LITERAL'!$C:$D,2,FALSE)),"",VLOOKUP(CONCATENATE("SITUACION",'Registrar expedidas_ingresos'!AH8),'CODIGO-LITERAL'!$C:$D,2,FALSE))</f>
        <v/>
      </c>
      <c r="AI8" s="60" t="str">
        <f>IF('Registrar expedidas_ingresos'!AI8="","",'Registrar expedidas_ingresos'!AI8)</f>
        <v/>
      </c>
      <c r="AJ8" s="60" t="str">
        <f>IF('Registrar expedidas_ingresos'!AJ8="","",'Registrar expedidas_ingresos'!AJ8)</f>
        <v/>
      </c>
    </row>
    <row r="9" spans="1:36" s="2" customFormat="1" x14ac:dyDescent="0.25">
      <c r="A9" s="59" t="str">
        <f>IF('Registrar expedidas_ingresos'!J9="",IF('Registrar expedidas_ingresos'!I9="","",YEAR('Registrar expedidas_ingresos'!I9)),YEAR('Registrar expedidas_ingresos'!J9))</f>
        <v/>
      </c>
      <c r="B9" s="60" t="str">
        <f>IF('Registrar expedidas_ingresos'!B9="","",'Registrar expedidas_ingresos'!B9)</f>
        <v/>
      </c>
      <c r="C9" s="60" t="str">
        <f>IF('Registrar expedidas_ingresos'!C9="","",VLOOKUP(CONCATENATE("ACTIVIDAD",'Registrar expedidas_ingresos'!C9),'CODIGO-LITERAL'!C:D,2,FALSE))</f>
        <v/>
      </c>
      <c r="D9" s="60" t="str">
        <f>IF(OR(C9="C",C9="D"),"",IF(ISERROR(VLOOKUP(CONCATENATE(C9,'Registrar expedidas_ingresos'!D9),'CODIGO-LITERAL'!$C:$D,2,FALSE)),"",VLOOKUP(CONCATENATE(C9,'Registrar expedidas_ingresos'!D9),'CODIGO-LITERAL'!$C:$D,2,FALSE)))</f>
        <v/>
      </c>
      <c r="E9" s="60" t="str">
        <f>IF('Registrar expedidas_ingresos'!E9="","",'Registrar expedidas_ingresos'!E9)</f>
        <v/>
      </c>
      <c r="F9" s="61" t="str">
        <f>IF(ISERROR(VLOOKUP(CONCATENATE("TIPO FACTURA",'Registrar expedidas_ingresos'!F9),'CODIGO-LITERAL'!$C:$D,2,FALSE)),"",VLOOKUP(CONCATENATE("TIPO FACTURA",'Registrar expedidas_ingresos'!F9),'CODIGO-LITERAL'!$C:$D,2,FALSE))</f>
        <v/>
      </c>
      <c r="G9" s="62"/>
      <c r="H9" s="63"/>
      <c r="I9" s="64" t="str">
        <f>IF('Registrar expedidas_ingresos'!I9="","",'Registrar expedidas_ingresos'!I9)</f>
        <v/>
      </c>
      <c r="J9" s="64" t="str">
        <f>IF('Registrar expedidas_ingresos'!J9="","",'Registrar expedidas_ingresos'!J9)</f>
        <v/>
      </c>
      <c r="K9" s="60" t="str">
        <f>IF('Registrar expedidas_ingresos'!K9="","",'Registrar expedidas_ingresos'!K9)</f>
        <v/>
      </c>
      <c r="L9" s="60" t="str">
        <f>IF('Registrar expedidas_ingresos'!L9="","",'Registrar expedidas_ingresos'!L9)</f>
        <v/>
      </c>
      <c r="M9" s="60" t="str">
        <f>IF('Registrar expedidas_ingresos'!M9="","",'Registrar expedidas_ingresos'!M9)</f>
        <v/>
      </c>
      <c r="N9" s="61" t="str">
        <f>IF(OR(F9="F2",LEFT('Registrar expedidas_ingresos'!N9,2)="01"),"",IF(ISERROR(VLOOKUP(CONCATENATE("TIPO NIF",'Registrar expedidas_ingresos'!N9),'CODIGO-LITERAL'!$C:$D,2,FALSE)),"",VLOOKUP(CONCATENATE("TIPO NIF",'Registrar expedidas_ingresos'!N9),'CODIGO-LITERAL'!$C:$D,2,FALSE)))</f>
        <v/>
      </c>
      <c r="O9" s="60" t="str">
        <f>IF(OR('Registrar expedidas_ingresos'!O9="",N9="02",F9="F2"),"",'Registrar expedidas_ingresos'!O9)</f>
        <v/>
      </c>
      <c r="P9" s="60" t="str">
        <f>IF('Registrar expedidas_ingresos'!P9="","",'Registrar expedidas_ingresos'!P9)</f>
        <v/>
      </c>
      <c r="Q9" s="60" t="str">
        <f>IF(F9="F2","VENTAS A CONSUMIDOR FINAL",IF('Registrar expedidas_ingresos'!Q9="","",'Registrar expedidas_ingresos'!Q9))</f>
        <v/>
      </c>
      <c r="R9" s="61" t="str">
        <f>IF(F9="DV","02",IF(ISERROR(VLOOKUP(CONCATENATE("CLAVE OPERACION",'Registrar expedidas_ingresos'!R9),'CODIGO-LITERAL'!$C:$D,2,FALSE)),"",VLOOKUP(CONCATENATE("CLAVE OPERACION",'Registrar expedidas_ingresos'!R9),'CODIGO-LITERAL'!$C:$D,2,FALSE)))</f>
        <v/>
      </c>
      <c r="S9" s="61" t="str">
        <f>IF(R9="03","S1",
 IF(R9="08","N2",
  IF(ISERROR(VLOOKUP(CONCATENATE("CALIFICACION OPERACION",'Registrar expedidas_ingresos'!S9),'CODIGO-LITERAL'!$C:$D,2,FALSE)),"",VLOOKUP(CONCATENATE("CALIFICACION OPERACION",'Registrar expedidas_ingresos'!S9),'CODIGO-LITERAL'!$C:$D,2,FALSE))))</f>
        <v/>
      </c>
      <c r="T9" s="61" t="str">
        <f>IF(R9="03","",IF(R9="08","",IF(ISERROR(VLOOKUP(CONCATENATE("OPERACION EXENTA",'Registrar expedidas_ingresos'!T9),'CODIGO-LITERAL'!$C:$D,2,FALSE)),"",VLOOKUP(CONCATENATE("OPERACION EXENTA",'Registrar expedidas_ingresos'!T9),'CODIGO-LITERAL'!$C:$D,2,FALSE))))</f>
        <v/>
      </c>
      <c r="U9" s="60" t="str">
        <f t="shared" si="0"/>
        <v/>
      </c>
      <c r="V9" s="60" t="str">
        <f>IF('Registrar expedidas_ingresos'!V9="","",ROUND('Registrar expedidas_ingresos'!V9,2))</f>
        <v/>
      </c>
      <c r="W9" s="60" t="str">
        <f>IF(S9="S2",0,IF('Registrar expedidas_ingresos'!W9="","",'Registrar expedidas_ingresos'!W9))</f>
        <v/>
      </c>
      <c r="X9" s="60" t="str">
        <f>IF(S9="S2",0,IF('Registrar expedidas_ingresos'!X9="","",ROUND('Registrar expedidas_ingresos'!X9,2)))</f>
        <v/>
      </c>
      <c r="Y9" s="60" t="str">
        <f>IF('Registrar expedidas_ingresos'!Y9="","",'Registrar expedidas_ingresos'!Y9)</f>
        <v/>
      </c>
      <c r="Z9" s="60" t="str">
        <f>IF('Registrar expedidas_ingresos'!Z9="","",ROUND('Registrar expedidas_ingresos'!Z9,2))</f>
        <v/>
      </c>
      <c r="AA9" s="64" t="str">
        <f>IF(R9&lt;&gt;"07","",IF('Registrar expedidas_ingresos'!AA9="","",'Registrar expedidas_ingresos'!AA9))</f>
        <v/>
      </c>
      <c r="AB9" s="60" t="str">
        <f>IF(R9&lt;&gt;"07","",IF('Registrar expedidas_ingresos'!AB9="","",'Registrar expedidas_ingresos'!AB9))</f>
        <v/>
      </c>
      <c r="AC9" s="61" t="str">
        <f>IF(R9&lt;&gt;"07","",IF(ISERROR(VLOOKUP(CONCATENATE("MEDIO UTILIZADO",'Registrar expedidas_ingresos'!AC9),'CODIGO-LITERAL'!$C:$D,2,FALSE)),"",VLOOKUP(CONCATENATE("MEDIO UTILIZADO",'Registrar expedidas_ingresos'!AC9),'CODIGO-LITERAL'!$C:$D,2,FALSE)))</f>
        <v/>
      </c>
      <c r="AD9" s="60" t="str">
        <f>IF(R9&lt;&gt;"07","",IF('Registrar expedidas_ingresos'!AD9="","",'Registrar expedidas_ingresos'!AD9))</f>
        <v/>
      </c>
      <c r="AE9" s="65"/>
      <c r="AF9" s="65"/>
      <c r="AG9" s="60" t="str">
        <f>IF('Registrar expedidas_ingresos'!AG9="","",'Registrar expedidas_ingresos'!AG9)</f>
        <v/>
      </c>
      <c r="AH9" s="61" t="str">
        <f>IF(ISERROR(VLOOKUP(CONCATENATE("SITUACION",'Registrar expedidas_ingresos'!AH9),'CODIGO-LITERAL'!$C:$D,2,FALSE)),"",VLOOKUP(CONCATENATE("SITUACION",'Registrar expedidas_ingresos'!AH9),'CODIGO-LITERAL'!$C:$D,2,FALSE))</f>
        <v/>
      </c>
      <c r="AI9" s="60" t="str">
        <f>IF('Registrar expedidas_ingresos'!AI9="","",'Registrar expedidas_ingresos'!AI9)</f>
        <v/>
      </c>
      <c r="AJ9" s="60" t="str">
        <f>IF('Registrar expedidas_ingresos'!AJ9="","",'Registrar expedidas_ingresos'!AJ9)</f>
        <v/>
      </c>
    </row>
    <row r="10" spans="1:36" s="2" customFormat="1" x14ac:dyDescent="0.25">
      <c r="A10" s="59" t="str">
        <f>IF('Registrar expedidas_ingresos'!J10="",IF('Registrar expedidas_ingresos'!I10="","",YEAR('Registrar expedidas_ingresos'!I10)),YEAR('Registrar expedidas_ingresos'!J10))</f>
        <v/>
      </c>
      <c r="B10" s="60" t="str">
        <f>IF('Registrar expedidas_ingresos'!B10="","",'Registrar expedidas_ingresos'!B10)</f>
        <v/>
      </c>
      <c r="C10" s="60" t="str">
        <f>IF('Registrar expedidas_ingresos'!C10="","",VLOOKUP(CONCATENATE("ACTIVIDAD",'Registrar expedidas_ingresos'!C10),'CODIGO-LITERAL'!C:D,2,FALSE))</f>
        <v/>
      </c>
      <c r="D10" s="60" t="str">
        <f>IF(OR(C10="C",C10="D"),"",IF(ISERROR(VLOOKUP(CONCATENATE(C10,'Registrar expedidas_ingresos'!D10),'CODIGO-LITERAL'!$C:$D,2,FALSE)),"",VLOOKUP(CONCATENATE(C10,'Registrar expedidas_ingresos'!D10),'CODIGO-LITERAL'!$C:$D,2,FALSE)))</f>
        <v/>
      </c>
      <c r="E10" s="60" t="str">
        <f>IF('Registrar expedidas_ingresos'!E10="","",'Registrar expedidas_ingresos'!E10)</f>
        <v/>
      </c>
      <c r="F10" s="61" t="str">
        <f>IF(ISERROR(VLOOKUP(CONCATENATE("TIPO FACTURA",'Registrar expedidas_ingresos'!F10),'CODIGO-LITERAL'!$C:$D,2,FALSE)),"",VLOOKUP(CONCATENATE("TIPO FACTURA",'Registrar expedidas_ingresos'!F10),'CODIGO-LITERAL'!$C:$D,2,FALSE))</f>
        <v/>
      </c>
      <c r="G10" s="62"/>
      <c r="H10" s="63"/>
      <c r="I10" s="64" t="str">
        <f>IF('Registrar expedidas_ingresos'!I10="","",'Registrar expedidas_ingresos'!I10)</f>
        <v/>
      </c>
      <c r="J10" s="64" t="str">
        <f>IF('Registrar expedidas_ingresos'!J10="","",'Registrar expedidas_ingresos'!J10)</f>
        <v/>
      </c>
      <c r="K10" s="60" t="str">
        <f>IF('Registrar expedidas_ingresos'!K10="","",'Registrar expedidas_ingresos'!K10)</f>
        <v/>
      </c>
      <c r="L10" s="60" t="str">
        <f>IF('Registrar expedidas_ingresos'!L10="","",'Registrar expedidas_ingresos'!L10)</f>
        <v/>
      </c>
      <c r="M10" s="60" t="str">
        <f>IF('Registrar expedidas_ingresos'!M10="","",'Registrar expedidas_ingresos'!M10)</f>
        <v/>
      </c>
      <c r="N10" s="61" t="str">
        <f>IF(OR(F10="F2",LEFT('Registrar expedidas_ingresos'!N10,2)="01"),"",IF(ISERROR(VLOOKUP(CONCATENATE("TIPO NIF",'Registrar expedidas_ingresos'!N10),'CODIGO-LITERAL'!$C:$D,2,FALSE)),"",VLOOKUP(CONCATENATE("TIPO NIF",'Registrar expedidas_ingresos'!N10),'CODIGO-LITERAL'!$C:$D,2,FALSE)))</f>
        <v/>
      </c>
      <c r="O10" s="60" t="str">
        <f>IF(OR('Registrar expedidas_ingresos'!O10="",N10="02",F10="F2"),"",'Registrar expedidas_ingresos'!O10)</f>
        <v/>
      </c>
      <c r="P10" s="60" t="str">
        <f>IF('Registrar expedidas_ingresos'!P10="","",'Registrar expedidas_ingresos'!P10)</f>
        <v/>
      </c>
      <c r="Q10" s="60" t="str">
        <f>IF(F10="F2","VENTAS A CONSUMIDOR FINAL",IF('Registrar expedidas_ingresos'!Q10="","",'Registrar expedidas_ingresos'!Q10))</f>
        <v/>
      </c>
      <c r="R10" s="61" t="str">
        <f>IF(F10="DV","02",IF(ISERROR(VLOOKUP(CONCATENATE("CLAVE OPERACION",'Registrar expedidas_ingresos'!R10),'CODIGO-LITERAL'!$C:$D,2,FALSE)),"",VLOOKUP(CONCATENATE("CLAVE OPERACION",'Registrar expedidas_ingresos'!R10),'CODIGO-LITERAL'!$C:$D,2,FALSE)))</f>
        <v/>
      </c>
      <c r="S10" s="61" t="str">
        <f>IF(R10="03","S1",
 IF(R10="08","N2",
  IF(ISERROR(VLOOKUP(CONCATENATE("CALIFICACION OPERACION",'Registrar expedidas_ingresos'!S10),'CODIGO-LITERAL'!$C:$D,2,FALSE)),"",VLOOKUP(CONCATENATE("CALIFICACION OPERACION",'Registrar expedidas_ingresos'!S10),'CODIGO-LITERAL'!$C:$D,2,FALSE))))</f>
        <v/>
      </c>
      <c r="T10" s="61" t="str">
        <f>IF(R10="03","",IF(R10="08","",IF(ISERROR(VLOOKUP(CONCATENATE("OPERACION EXENTA",'Registrar expedidas_ingresos'!T10),'CODIGO-LITERAL'!$C:$D,2,FALSE)),"",VLOOKUP(CONCATENATE("OPERACION EXENTA",'Registrar expedidas_ingresos'!T10),'CODIGO-LITERAL'!$C:$D,2,FALSE))))</f>
        <v/>
      </c>
      <c r="U10" s="60" t="str">
        <f t="shared" si="0"/>
        <v/>
      </c>
      <c r="V10" s="60" t="str">
        <f>IF('Registrar expedidas_ingresos'!V10="","",ROUND('Registrar expedidas_ingresos'!V10,2))</f>
        <v/>
      </c>
      <c r="W10" s="60" t="str">
        <f>IF(S10="S2",0,IF('Registrar expedidas_ingresos'!W10="","",'Registrar expedidas_ingresos'!W10))</f>
        <v/>
      </c>
      <c r="X10" s="60" t="str">
        <f>IF(S10="S2",0,IF('Registrar expedidas_ingresos'!X10="","",ROUND('Registrar expedidas_ingresos'!X10,2)))</f>
        <v/>
      </c>
      <c r="Y10" s="60" t="str">
        <f>IF('Registrar expedidas_ingresos'!Y10="","",'Registrar expedidas_ingresos'!Y10)</f>
        <v/>
      </c>
      <c r="Z10" s="60" t="str">
        <f>IF('Registrar expedidas_ingresos'!Z10="","",ROUND('Registrar expedidas_ingresos'!Z10,2))</f>
        <v/>
      </c>
      <c r="AA10" s="64" t="str">
        <f>IF(R10&lt;&gt;"07","",IF('Registrar expedidas_ingresos'!AA10="","",'Registrar expedidas_ingresos'!AA10))</f>
        <v/>
      </c>
      <c r="AB10" s="60" t="str">
        <f>IF(R10&lt;&gt;"07","",IF('Registrar expedidas_ingresos'!AB10="","",'Registrar expedidas_ingresos'!AB10))</f>
        <v/>
      </c>
      <c r="AC10" s="61" t="str">
        <f>IF(R10&lt;&gt;"07","",IF(ISERROR(VLOOKUP(CONCATENATE("MEDIO UTILIZADO",'Registrar expedidas_ingresos'!AC10),'CODIGO-LITERAL'!$C:$D,2,FALSE)),"",VLOOKUP(CONCATENATE("MEDIO UTILIZADO",'Registrar expedidas_ingresos'!AC10),'CODIGO-LITERAL'!$C:$D,2,FALSE)))</f>
        <v/>
      </c>
      <c r="AD10" s="60" t="str">
        <f>IF(R10&lt;&gt;"07","",IF('Registrar expedidas_ingresos'!AD10="","",'Registrar expedidas_ingresos'!AD10))</f>
        <v/>
      </c>
      <c r="AE10" s="65"/>
      <c r="AF10" s="65"/>
      <c r="AG10" s="60" t="str">
        <f>IF('Registrar expedidas_ingresos'!AG10="","",'Registrar expedidas_ingresos'!AG10)</f>
        <v/>
      </c>
      <c r="AH10" s="61" t="str">
        <f>IF(ISERROR(VLOOKUP(CONCATENATE("SITUACION",'Registrar expedidas_ingresos'!AH10),'CODIGO-LITERAL'!$C:$D,2,FALSE)),"",VLOOKUP(CONCATENATE("SITUACION",'Registrar expedidas_ingresos'!AH10),'CODIGO-LITERAL'!$C:$D,2,FALSE))</f>
        <v/>
      </c>
      <c r="AI10" s="60" t="str">
        <f>IF('Registrar expedidas_ingresos'!AI10="","",'Registrar expedidas_ingresos'!AI10)</f>
        <v/>
      </c>
      <c r="AJ10" s="60" t="str">
        <f>IF('Registrar expedidas_ingresos'!AJ10="","",'Registrar expedidas_ingresos'!AJ10)</f>
        <v/>
      </c>
    </row>
    <row r="11" spans="1:36" s="2" customFormat="1" x14ac:dyDescent="0.25">
      <c r="A11" s="59" t="str">
        <f>IF('Registrar expedidas_ingresos'!J11="",IF('Registrar expedidas_ingresos'!I11="","",YEAR('Registrar expedidas_ingresos'!I11)),YEAR('Registrar expedidas_ingresos'!J11))</f>
        <v/>
      </c>
      <c r="B11" s="60" t="str">
        <f>IF('Registrar expedidas_ingresos'!B11="","",'Registrar expedidas_ingresos'!B11)</f>
        <v/>
      </c>
      <c r="C11" s="60" t="str">
        <f>IF('Registrar expedidas_ingresos'!C11="","",VLOOKUP(CONCATENATE("ACTIVIDAD",'Registrar expedidas_ingresos'!C11),'CODIGO-LITERAL'!C:D,2,FALSE))</f>
        <v/>
      </c>
      <c r="D11" s="60" t="str">
        <f>IF(OR(C11="C",C11="D"),"",IF(ISERROR(VLOOKUP(CONCATENATE(C11,'Registrar expedidas_ingresos'!D11),'CODIGO-LITERAL'!$C:$D,2,FALSE)),"",VLOOKUP(CONCATENATE(C11,'Registrar expedidas_ingresos'!D11),'CODIGO-LITERAL'!$C:$D,2,FALSE)))</f>
        <v/>
      </c>
      <c r="E11" s="60" t="str">
        <f>IF('Registrar expedidas_ingresos'!E11="","",'Registrar expedidas_ingresos'!E11)</f>
        <v/>
      </c>
      <c r="F11" s="61" t="str">
        <f>IF(ISERROR(VLOOKUP(CONCATENATE("TIPO FACTURA",'Registrar expedidas_ingresos'!F11),'CODIGO-LITERAL'!$C:$D,2,FALSE)),"",VLOOKUP(CONCATENATE("TIPO FACTURA",'Registrar expedidas_ingresos'!F11),'CODIGO-LITERAL'!$C:$D,2,FALSE))</f>
        <v/>
      </c>
      <c r="G11" s="62"/>
      <c r="H11" s="63"/>
      <c r="I11" s="64" t="str">
        <f>IF('Registrar expedidas_ingresos'!I11="","",'Registrar expedidas_ingresos'!I11)</f>
        <v/>
      </c>
      <c r="J11" s="64" t="str">
        <f>IF('Registrar expedidas_ingresos'!J11="","",'Registrar expedidas_ingresos'!J11)</f>
        <v/>
      </c>
      <c r="K11" s="60" t="str">
        <f>IF('Registrar expedidas_ingresos'!K11="","",'Registrar expedidas_ingresos'!K11)</f>
        <v/>
      </c>
      <c r="L11" s="60" t="str">
        <f>IF('Registrar expedidas_ingresos'!L11="","",'Registrar expedidas_ingresos'!L11)</f>
        <v/>
      </c>
      <c r="M11" s="60" t="str">
        <f>IF('Registrar expedidas_ingresos'!M11="","",'Registrar expedidas_ingresos'!M11)</f>
        <v/>
      </c>
      <c r="N11" s="61" t="str">
        <f>IF(OR(F11="F2",LEFT('Registrar expedidas_ingresos'!N11,2)="01"),"",IF(ISERROR(VLOOKUP(CONCATENATE("TIPO NIF",'Registrar expedidas_ingresos'!N11),'CODIGO-LITERAL'!$C:$D,2,FALSE)),"",VLOOKUP(CONCATENATE("TIPO NIF",'Registrar expedidas_ingresos'!N11),'CODIGO-LITERAL'!$C:$D,2,FALSE)))</f>
        <v/>
      </c>
      <c r="O11" s="60" t="str">
        <f>IF(OR('Registrar expedidas_ingresos'!O11="",N11="02",F11="F2"),"",'Registrar expedidas_ingresos'!O11)</f>
        <v/>
      </c>
      <c r="P11" s="60" t="str">
        <f>IF('Registrar expedidas_ingresos'!P11="","",'Registrar expedidas_ingresos'!P11)</f>
        <v/>
      </c>
      <c r="Q11" s="60" t="str">
        <f>IF(F11="F2","VENTAS A CONSUMIDOR FINAL",IF('Registrar expedidas_ingresos'!Q11="","",'Registrar expedidas_ingresos'!Q11))</f>
        <v/>
      </c>
      <c r="R11" s="61" t="str">
        <f>IF(F11="DV","02",IF(ISERROR(VLOOKUP(CONCATENATE("CLAVE OPERACION",'Registrar expedidas_ingresos'!R11),'CODIGO-LITERAL'!$C:$D,2,FALSE)),"",VLOOKUP(CONCATENATE("CLAVE OPERACION",'Registrar expedidas_ingresos'!R11),'CODIGO-LITERAL'!$C:$D,2,FALSE)))</f>
        <v/>
      </c>
      <c r="S11" s="61" t="str">
        <f>IF(R11="03","S1",
 IF(R11="08","N2",
  IF(ISERROR(VLOOKUP(CONCATENATE("CALIFICACION OPERACION",'Registrar expedidas_ingresos'!S11),'CODIGO-LITERAL'!$C:$D,2,FALSE)),"",VLOOKUP(CONCATENATE("CALIFICACION OPERACION",'Registrar expedidas_ingresos'!S11),'CODIGO-LITERAL'!$C:$D,2,FALSE))))</f>
        <v/>
      </c>
      <c r="T11" s="61" t="str">
        <f>IF(R11="03","",IF(R11="08","",IF(ISERROR(VLOOKUP(CONCATENATE("OPERACION EXENTA",'Registrar expedidas_ingresos'!T11),'CODIGO-LITERAL'!$C:$D,2,FALSE)),"",VLOOKUP(CONCATENATE("OPERACION EXENTA",'Registrar expedidas_ingresos'!T11),'CODIGO-LITERAL'!$C:$D,2,FALSE))))</f>
        <v/>
      </c>
      <c r="U11" s="60" t="str">
        <f t="shared" si="0"/>
        <v/>
      </c>
      <c r="V11" s="60" t="str">
        <f>IF('Registrar expedidas_ingresos'!V11="","",ROUND('Registrar expedidas_ingresos'!V11,2))</f>
        <v/>
      </c>
      <c r="W11" s="60" t="str">
        <f>IF(S11="S2",0,IF('Registrar expedidas_ingresos'!W11="","",'Registrar expedidas_ingresos'!W11))</f>
        <v/>
      </c>
      <c r="X11" s="60" t="str">
        <f>IF(S11="S2",0,IF('Registrar expedidas_ingresos'!X11="","",ROUND('Registrar expedidas_ingresos'!X11,2)))</f>
        <v/>
      </c>
      <c r="Y11" s="60" t="str">
        <f>IF('Registrar expedidas_ingresos'!Y11="","",'Registrar expedidas_ingresos'!Y11)</f>
        <v/>
      </c>
      <c r="Z11" s="60" t="str">
        <f>IF('Registrar expedidas_ingresos'!Z11="","",ROUND('Registrar expedidas_ingresos'!Z11,2))</f>
        <v/>
      </c>
      <c r="AA11" s="64" t="str">
        <f>IF(R11&lt;&gt;"07","",IF('Registrar expedidas_ingresos'!AA11="","",'Registrar expedidas_ingresos'!AA11))</f>
        <v/>
      </c>
      <c r="AB11" s="60" t="str">
        <f>IF(R11&lt;&gt;"07","",IF('Registrar expedidas_ingresos'!AB11="","",'Registrar expedidas_ingresos'!AB11))</f>
        <v/>
      </c>
      <c r="AC11" s="61" t="str">
        <f>IF(R11&lt;&gt;"07","",IF(ISERROR(VLOOKUP(CONCATENATE("MEDIO UTILIZADO",'Registrar expedidas_ingresos'!AC11),'CODIGO-LITERAL'!$C:$D,2,FALSE)),"",VLOOKUP(CONCATENATE("MEDIO UTILIZADO",'Registrar expedidas_ingresos'!AC11),'CODIGO-LITERAL'!$C:$D,2,FALSE)))</f>
        <v/>
      </c>
      <c r="AD11" s="60" t="str">
        <f>IF(R11&lt;&gt;"07","",IF('Registrar expedidas_ingresos'!AD11="","",'Registrar expedidas_ingresos'!AD11))</f>
        <v/>
      </c>
      <c r="AE11" s="65"/>
      <c r="AF11" s="65"/>
      <c r="AG11" s="60" t="str">
        <f>IF('Registrar expedidas_ingresos'!AG11="","",'Registrar expedidas_ingresos'!AG11)</f>
        <v/>
      </c>
      <c r="AH11" s="61" t="str">
        <f>IF(ISERROR(VLOOKUP(CONCATENATE("SITUACION",'Registrar expedidas_ingresos'!AH11),'CODIGO-LITERAL'!$C:$D,2,FALSE)),"",VLOOKUP(CONCATENATE("SITUACION",'Registrar expedidas_ingresos'!AH11),'CODIGO-LITERAL'!$C:$D,2,FALSE))</f>
        <v/>
      </c>
      <c r="AI11" s="60" t="str">
        <f>IF('Registrar expedidas_ingresos'!AI11="","",'Registrar expedidas_ingresos'!AI11)</f>
        <v/>
      </c>
      <c r="AJ11" s="60" t="str">
        <f>IF('Registrar expedidas_ingresos'!AJ11="","",'Registrar expedidas_ingresos'!AJ11)</f>
        <v/>
      </c>
    </row>
    <row r="12" spans="1:36" s="2" customFormat="1" x14ac:dyDescent="0.25">
      <c r="A12" s="59" t="str">
        <f>IF('Registrar expedidas_ingresos'!J12="",IF('Registrar expedidas_ingresos'!I12="","",YEAR('Registrar expedidas_ingresos'!I12)),YEAR('Registrar expedidas_ingresos'!J12))</f>
        <v/>
      </c>
      <c r="B12" s="60" t="str">
        <f>IF('Registrar expedidas_ingresos'!B12="","",'Registrar expedidas_ingresos'!B12)</f>
        <v/>
      </c>
      <c r="C12" s="60" t="str">
        <f>IF('Registrar expedidas_ingresos'!C12="","",VLOOKUP(CONCATENATE("ACTIVIDAD",'Registrar expedidas_ingresos'!C12),'CODIGO-LITERAL'!C:D,2,FALSE))</f>
        <v/>
      </c>
      <c r="D12" s="60" t="str">
        <f>IF(OR(C12="C",C12="D"),"",IF(ISERROR(VLOOKUP(CONCATENATE(C12,'Registrar expedidas_ingresos'!D12),'CODIGO-LITERAL'!$C:$D,2,FALSE)),"",VLOOKUP(CONCATENATE(C12,'Registrar expedidas_ingresos'!D12),'CODIGO-LITERAL'!$C:$D,2,FALSE)))</f>
        <v/>
      </c>
      <c r="E12" s="60" t="str">
        <f>IF('Registrar expedidas_ingresos'!E12="","",'Registrar expedidas_ingresos'!E12)</f>
        <v/>
      </c>
      <c r="F12" s="61" t="str">
        <f>IF(ISERROR(VLOOKUP(CONCATENATE("TIPO FACTURA",'Registrar expedidas_ingresos'!F12),'CODIGO-LITERAL'!$C:$D,2,FALSE)),"",VLOOKUP(CONCATENATE("TIPO FACTURA",'Registrar expedidas_ingresos'!F12),'CODIGO-LITERAL'!$C:$D,2,FALSE))</f>
        <v/>
      </c>
      <c r="G12" s="62"/>
      <c r="H12" s="63"/>
      <c r="I12" s="64" t="str">
        <f>IF('Registrar expedidas_ingresos'!I12="","",'Registrar expedidas_ingresos'!I12)</f>
        <v/>
      </c>
      <c r="J12" s="64" t="str">
        <f>IF('Registrar expedidas_ingresos'!J12="","",'Registrar expedidas_ingresos'!J12)</f>
        <v/>
      </c>
      <c r="K12" s="60" t="str">
        <f>IF('Registrar expedidas_ingresos'!K12="","",'Registrar expedidas_ingresos'!K12)</f>
        <v/>
      </c>
      <c r="L12" s="60" t="str">
        <f>IF('Registrar expedidas_ingresos'!L12="","",'Registrar expedidas_ingresos'!L12)</f>
        <v/>
      </c>
      <c r="M12" s="60" t="str">
        <f>IF('Registrar expedidas_ingresos'!M12="","",'Registrar expedidas_ingresos'!M12)</f>
        <v/>
      </c>
      <c r="N12" s="61" t="str">
        <f>IF(OR(F12="F2",LEFT('Registrar expedidas_ingresos'!N12,2)="01"),"",IF(ISERROR(VLOOKUP(CONCATENATE("TIPO NIF",'Registrar expedidas_ingresos'!N12),'CODIGO-LITERAL'!$C:$D,2,FALSE)),"",VLOOKUP(CONCATENATE("TIPO NIF",'Registrar expedidas_ingresos'!N12),'CODIGO-LITERAL'!$C:$D,2,FALSE)))</f>
        <v/>
      </c>
      <c r="O12" s="60" t="str">
        <f>IF(OR('Registrar expedidas_ingresos'!O12="",N12="02",F12="F2"),"",'Registrar expedidas_ingresos'!O12)</f>
        <v/>
      </c>
      <c r="P12" s="60" t="str">
        <f>IF('Registrar expedidas_ingresos'!P12="","",'Registrar expedidas_ingresos'!P12)</f>
        <v/>
      </c>
      <c r="Q12" s="60" t="str">
        <f>IF(F12="F2","VENTAS A CONSUMIDOR FINAL",IF('Registrar expedidas_ingresos'!Q12="","",'Registrar expedidas_ingresos'!Q12))</f>
        <v/>
      </c>
      <c r="R12" s="61" t="str">
        <f>IF(F12="DV","02",IF(ISERROR(VLOOKUP(CONCATENATE("CLAVE OPERACION",'Registrar expedidas_ingresos'!R12),'CODIGO-LITERAL'!$C:$D,2,FALSE)),"",VLOOKUP(CONCATENATE("CLAVE OPERACION",'Registrar expedidas_ingresos'!R12),'CODIGO-LITERAL'!$C:$D,2,FALSE)))</f>
        <v/>
      </c>
      <c r="S12" s="61" t="str">
        <f>IF(R12="03","S1",
 IF(R12="08","N2",
  IF(ISERROR(VLOOKUP(CONCATENATE("CALIFICACION OPERACION",'Registrar expedidas_ingresos'!S12),'CODIGO-LITERAL'!$C:$D,2,FALSE)),"",VLOOKUP(CONCATENATE("CALIFICACION OPERACION",'Registrar expedidas_ingresos'!S12),'CODIGO-LITERAL'!$C:$D,2,FALSE))))</f>
        <v/>
      </c>
      <c r="T12" s="61" t="str">
        <f>IF(R12="03","",IF(R12="08","",IF(ISERROR(VLOOKUP(CONCATENATE("OPERACION EXENTA",'Registrar expedidas_ingresos'!T12),'CODIGO-LITERAL'!$C:$D,2,FALSE)),"",VLOOKUP(CONCATENATE("OPERACION EXENTA",'Registrar expedidas_ingresos'!T12),'CODIGO-LITERAL'!$C:$D,2,FALSE))))</f>
        <v/>
      </c>
      <c r="U12" s="60" t="str">
        <f t="shared" si="0"/>
        <v/>
      </c>
      <c r="V12" s="60" t="str">
        <f>IF('Registrar expedidas_ingresos'!V12="","",ROUND('Registrar expedidas_ingresos'!V12,2))</f>
        <v/>
      </c>
      <c r="W12" s="60" t="str">
        <f>IF(S12="S2",0,IF('Registrar expedidas_ingresos'!W12="","",'Registrar expedidas_ingresos'!W12))</f>
        <v/>
      </c>
      <c r="X12" s="60" t="str">
        <f>IF(S12="S2",0,IF('Registrar expedidas_ingresos'!X12="","",ROUND('Registrar expedidas_ingresos'!X12,2)))</f>
        <v/>
      </c>
      <c r="Y12" s="60" t="str">
        <f>IF('Registrar expedidas_ingresos'!Y12="","",'Registrar expedidas_ingresos'!Y12)</f>
        <v/>
      </c>
      <c r="Z12" s="60" t="str">
        <f>IF('Registrar expedidas_ingresos'!Z12="","",ROUND('Registrar expedidas_ingresos'!Z12,2))</f>
        <v/>
      </c>
      <c r="AA12" s="64" t="str">
        <f>IF(R12&lt;&gt;"07","",IF('Registrar expedidas_ingresos'!AA12="","",'Registrar expedidas_ingresos'!AA12))</f>
        <v/>
      </c>
      <c r="AB12" s="60" t="str">
        <f>IF(R12&lt;&gt;"07","",IF('Registrar expedidas_ingresos'!AB12="","",'Registrar expedidas_ingresos'!AB12))</f>
        <v/>
      </c>
      <c r="AC12" s="61" t="str">
        <f>IF(R12&lt;&gt;"07","",IF(ISERROR(VLOOKUP(CONCATENATE("MEDIO UTILIZADO",'Registrar expedidas_ingresos'!AC12),'CODIGO-LITERAL'!$C:$D,2,FALSE)),"",VLOOKUP(CONCATENATE("MEDIO UTILIZADO",'Registrar expedidas_ingresos'!AC12),'CODIGO-LITERAL'!$C:$D,2,FALSE)))</f>
        <v/>
      </c>
      <c r="AD12" s="60" t="str">
        <f>IF(R12&lt;&gt;"07","",IF('Registrar expedidas_ingresos'!AD12="","",'Registrar expedidas_ingresos'!AD12))</f>
        <v/>
      </c>
      <c r="AE12" s="65"/>
      <c r="AF12" s="65"/>
      <c r="AG12" s="60" t="str">
        <f>IF('Registrar expedidas_ingresos'!AG12="","",'Registrar expedidas_ingresos'!AG12)</f>
        <v/>
      </c>
      <c r="AH12" s="61" t="str">
        <f>IF(ISERROR(VLOOKUP(CONCATENATE("SITUACION",'Registrar expedidas_ingresos'!AH12),'CODIGO-LITERAL'!$C:$D,2,FALSE)),"",VLOOKUP(CONCATENATE("SITUACION",'Registrar expedidas_ingresos'!AH12),'CODIGO-LITERAL'!$C:$D,2,FALSE))</f>
        <v/>
      </c>
      <c r="AI12" s="60" t="str">
        <f>IF('Registrar expedidas_ingresos'!AI12="","",'Registrar expedidas_ingresos'!AI12)</f>
        <v/>
      </c>
      <c r="AJ12" s="60" t="str">
        <f>IF('Registrar expedidas_ingresos'!AJ12="","",'Registrar expedidas_ingresos'!AJ12)</f>
        <v/>
      </c>
    </row>
    <row r="13" spans="1:36" s="2" customFormat="1" x14ac:dyDescent="0.25">
      <c r="A13" s="59" t="str">
        <f>IF('Registrar expedidas_ingresos'!J13="",IF('Registrar expedidas_ingresos'!I13="","",YEAR('Registrar expedidas_ingresos'!I13)),YEAR('Registrar expedidas_ingresos'!J13))</f>
        <v/>
      </c>
      <c r="B13" s="60" t="str">
        <f>IF('Registrar expedidas_ingresos'!B13="","",'Registrar expedidas_ingresos'!B13)</f>
        <v/>
      </c>
      <c r="C13" s="60" t="str">
        <f>IF('Registrar expedidas_ingresos'!C13="","",VLOOKUP(CONCATENATE("ACTIVIDAD",'Registrar expedidas_ingresos'!C13),'CODIGO-LITERAL'!C:D,2,FALSE))</f>
        <v/>
      </c>
      <c r="D13" s="60" t="str">
        <f>IF(OR(C13="C",C13="D"),"",IF(ISERROR(VLOOKUP(CONCATENATE(C13,'Registrar expedidas_ingresos'!D13),'CODIGO-LITERAL'!$C:$D,2,FALSE)),"",VLOOKUP(CONCATENATE(C13,'Registrar expedidas_ingresos'!D13),'CODIGO-LITERAL'!$C:$D,2,FALSE)))</f>
        <v/>
      </c>
      <c r="E13" s="60" t="str">
        <f>IF('Registrar expedidas_ingresos'!E13="","",'Registrar expedidas_ingresos'!E13)</f>
        <v/>
      </c>
      <c r="F13" s="61" t="str">
        <f>IF(ISERROR(VLOOKUP(CONCATENATE("TIPO FACTURA",'Registrar expedidas_ingresos'!F13),'CODIGO-LITERAL'!$C:$D,2,FALSE)),"",VLOOKUP(CONCATENATE("TIPO FACTURA",'Registrar expedidas_ingresos'!F13),'CODIGO-LITERAL'!$C:$D,2,FALSE))</f>
        <v/>
      </c>
      <c r="G13" s="62"/>
      <c r="H13" s="63"/>
      <c r="I13" s="64" t="str">
        <f>IF('Registrar expedidas_ingresos'!I13="","",'Registrar expedidas_ingresos'!I13)</f>
        <v/>
      </c>
      <c r="J13" s="64" t="str">
        <f>IF('Registrar expedidas_ingresos'!J13="","",'Registrar expedidas_ingresos'!J13)</f>
        <v/>
      </c>
      <c r="K13" s="60" t="str">
        <f>IF('Registrar expedidas_ingresos'!K13="","",'Registrar expedidas_ingresos'!K13)</f>
        <v/>
      </c>
      <c r="L13" s="60" t="str">
        <f>IF('Registrar expedidas_ingresos'!L13="","",'Registrar expedidas_ingresos'!L13)</f>
        <v/>
      </c>
      <c r="M13" s="60" t="str">
        <f>IF('Registrar expedidas_ingresos'!M13="","",'Registrar expedidas_ingresos'!M13)</f>
        <v/>
      </c>
      <c r="N13" s="61" t="str">
        <f>IF(OR(F13="F2",LEFT('Registrar expedidas_ingresos'!N13,2)="01"),"",IF(ISERROR(VLOOKUP(CONCATENATE("TIPO NIF",'Registrar expedidas_ingresos'!N13),'CODIGO-LITERAL'!$C:$D,2,FALSE)),"",VLOOKUP(CONCATENATE("TIPO NIF",'Registrar expedidas_ingresos'!N13),'CODIGO-LITERAL'!$C:$D,2,FALSE)))</f>
        <v/>
      </c>
      <c r="O13" s="60" t="str">
        <f>IF(OR('Registrar expedidas_ingresos'!O13="",N13="02",F13="F2"),"",'Registrar expedidas_ingresos'!O13)</f>
        <v/>
      </c>
      <c r="P13" s="60" t="str">
        <f>IF('Registrar expedidas_ingresos'!P13="","",'Registrar expedidas_ingresos'!P13)</f>
        <v/>
      </c>
      <c r="Q13" s="60" t="str">
        <f>IF(F13="F2","VENTAS A CONSUMIDOR FINAL",IF('Registrar expedidas_ingresos'!Q13="","",'Registrar expedidas_ingresos'!Q13))</f>
        <v/>
      </c>
      <c r="R13" s="61" t="str">
        <f>IF(F13="DV","02",IF(ISERROR(VLOOKUP(CONCATENATE("CLAVE OPERACION",'Registrar expedidas_ingresos'!R13),'CODIGO-LITERAL'!$C:$D,2,FALSE)),"",VLOOKUP(CONCATENATE("CLAVE OPERACION",'Registrar expedidas_ingresos'!R13),'CODIGO-LITERAL'!$C:$D,2,FALSE)))</f>
        <v/>
      </c>
      <c r="S13" s="61" t="str">
        <f>IF(R13="03","S1",
 IF(R13="08","N2",
  IF(ISERROR(VLOOKUP(CONCATENATE("CALIFICACION OPERACION",'Registrar expedidas_ingresos'!S13),'CODIGO-LITERAL'!$C:$D,2,FALSE)),"",VLOOKUP(CONCATENATE("CALIFICACION OPERACION",'Registrar expedidas_ingresos'!S13),'CODIGO-LITERAL'!$C:$D,2,FALSE))))</f>
        <v/>
      </c>
      <c r="T13" s="61" t="str">
        <f>IF(R13="03","",IF(R13="08","",IF(ISERROR(VLOOKUP(CONCATENATE("OPERACION EXENTA",'Registrar expedidas_ingresos'!T13),'CODIGO-LITERAL'!$C:$D,2,FALSE)),"",VLOOKUP(CONCATENATE("OPERACION EXENTA",'Registrar expedidas_ingresos'!T13),'CODIGO-LITERAL'!$C:$D,2,FALSE))))</f>
        <v/>
      </c>
      <c r="U13" s="60" t="str">
        <f t="shared" si="0"/>
        <v/>
      </c>
      <c r="V13" s="60" t="str">
        <f>IF('Registrar expedidas_ingresos'!V13="","",ROUND('Registrar expedidas_ingresos'!V13,2))</f>
        <v/>
      </c>
      <c r="W13" s="60" t="str">
        <f>IF(S13="S2",0,IF('Registrar expedidas_ingresos'!W13="","",'Registrar expedidas_ingresos'!W13))</f>
        <v/>
      </c>
      <c r="X13" s="60" t="str">
        <f>IF(S13="S2",0,IF('Registrar expedidas_ingresos'!X13="","",ROUND('Registrar expedidas_ingresos'!X13,2)))</f>
        <v/>
      </c>
      <c r="Y13" s="60" t="str">
        <f>IF('Registrar expedidas_ingresos'!Y13="","",'Registrar expedidas_ingresos'!Y13)</f>
        <v/>
      </c>
      <c r="Z13" s="60" t="str">
        <f>IF('Registrar expedidas_ingresos'!Z13="","",ROUND('Registrar expedidas_ingresos'!Z13,2))</f>
        <v/>
      </c>
      <c r="AA13" s="64" t="str">
        <f>IF(R13&lt;&gt;"07","",IF('Registrar expedidas_ingresos'!AA13="","",'Registrar expedidas_ingresos'!AA13))</f>
        <v/>
      </c>
      <c r="AB13" s="60" t="str">
        <f>IF(R13&lt;&gt;"07","",IF('Registrar expedidas_ingresos'!AB13="","",'Registrar expedidas_ingresos'!AB13))</f>
        <v/>
      </c>
      <c r="AC13" s="61" t="str">
        <f>IF(R13&lt;&gt;"07","",IF(ISERROR(VLOOKUP(CONCATENATE("MEDIO UTILIZADO",'Registrar expedidas_ingresos'!AC13),'CODIGO-LITERAL'!$C:$D,2,FALSE)),"",VLOOKUP(CONCATENATE("MEDIO UTILIZADO",'Registrar expedidas_ingresos'!AC13),'CODIGO-LITERAL'!$C:$D,2,FALSE)))</f>
        <v/>
      </c>
      <c r="AD13" s="60" t="str">
        <f>IF(R13&lt;&gt;"07","",IF('Registrar expedidas_ingresos'!AD13="","",'Registrar expedidas_ingresos'!AD13))</f>
        <v/>
      </c>
      <c r="AE13" s="65"/>
      <c r="AF13" s="65"/>
      <c r="AG13" s="60" t="str">
        <f>IF('Registrar expedidas_ingresos'!AG13="","",'Registrar expedidas_ingresos'!AG13)</f>
        <v/>
      </c>
      <c r="AH13" s="61" t="str">
        <f>IF(ISERROR(VLOOKUP(CONCATENATE("SITUACION",'Registrar expedidas_ingresos'!AH13),'CODIGO-LITERAL'!$C:$D,2,FALSE)),"",VLOOKUP(CONCATENATE("SITUACION",'Registrar expedidas_ingresos'!AH13),'CODIGO-LITERAL'!$C:$D,2,FALSE))</f>
        <v/>
      </c>
      <c r="AI13" s="60" t="str">
        <f>IF('Registrar expedidas_ingresos'!AI13="","",'Registrar expedidas_ingresos'!AI13)</f>
        <v/>
      </c>
      <c r="AJ13" s="60" t="str">
        <f>IF('Registrar expedidas_ingresos'!AJ13="","",'Registrar expedidas_ingresos'!AJ13)</f>
        <v/>
      </c>
    </row>
    <row r="14" spans="1:36" s="2" customFormat="1" x14ac:dyDescent="0.25">
      <c r="A14" s="59" t="str">
        <f>IF('Registrar expedidas_ingresos'!J14="",IF('Registrar expedidas_ingresos'!I14="","",YEAR('Registrar expedidas_ingresos'!I14)),YEAR('Registrar expedidas_ingresos'!J14))</f>
        <v/>
      </c>
      <c r="B14" s="60" t="str">
        <f>IF('Registrar expedidas_ingresos'!B14="","",'Registrar expedidas_ingresos'!B14)</f>
        <v/>
      </c>
      <c r="C14" s="60" t="str">
        <f>IF('Registrar expedidas_ingresos'!C14="","",VLOOKUP(CONCATENATE("ACTIVIDAD",'Registrar expedidas_ingresos'!C14),'CODIGO-LITERAL'!C:D,2,FALSE))</f>
        <v/>
      </c>
      <c r="D14" s="60" t="str">
        <f>IF(OR(C14="C",C14="D"),"",IF(ISERROR(VLOOKUP(CONCATENATE(C14,'Registrar expedidas_ingresos'!D14),'CODIGO-LITERAL'!$C:$D,2,FALSE)),"",VLOOKUP(CONCATENATE(C14,'Registrar expedidas_ingresos'!D14),'CODIGO-LITERAL'!$C:$D,2,FALSE)))</f>
        <v/>
      </c>
      <c r="E14" s="60" t="str">
        <f>IF('Registrar expedidas_ingresos'!E14="","",'Registrar expedidas_ingresos'!E14)</f>
        <v/>
      </c>
      <c r="F14" s="61" t="str">
        <f>IF(ISERROR(VLOOKUP(CONCATENATE("TIPO FACTURA",'Registrar expedidas_ingresos'!F14),'CODIGO-LITERAL'!$C:$D,2,FALSE)),"",VLOOKUP(CONCATENATE("TIPO FACTURA",'Registrar expedidas_ingresos'!F14),'CODIGO-LITERAL'!$C:$D,2,FALSE))</f>
        <v/>
      </c>
      <c r="G14" s="62"/>
      <c r="H14" s="63"/>
      <c r="I14" s="64" t="str">
        <f>IF('Registrar expedidas_ingresos'!I14="","",'Registrar expedidas_ingresos'!I14)</f>
        <v/>
      </c>
      <c r="J14" s="64" t="str">
        <f>IF('Registrar expedidas_ingresos'!J14="","",'Registrar expedidas_ingresos'!J14)</f>
        <v/>
      </c>
      <c r="K14" s="60" t="str">
        <f>IF('Registrar expedidas_ingresos'!K14="","",'Registrar expedidas_ingresos'!K14)</f>
        <v/>
      </c>
      <c r="L14" s="60" t="str">
        <f>IF('Registrar expedidas_ingresos'!L14="","",'Registrar expedidas_ingresos'!L14)</f>
        <v/>
      </c>
      <c r="M14" s="60" t="str">
        <f>IF('Registrar expedidas_ingresos'!M14="","",'Registrar expedidas_ingresos'!M14)</f>
        <v/>
      </c>
      <c r="N14" s="61" t="str">
        <f>IF(OR(F14="F2",LEFT('Registrar expedidas_ingresos'!N14,2)="01"),"",IF(ISERROR(VLOOKUP(CONCATENATE("TIPO NIF",'Registrar expedidas_ingresos'!N14),'CODIGO-LITERAL'!$C:$D,2,FALSE)),"",VLOOKUP(CONCATENATE("TIPO NIF",'Registrar expedidas_ingresos'!N14),'CODIGO-LITERAL'!$C:$D,2,FALSE)))</f>
        <v/>
      </c>
      <c r="O14" s="60" t="str">
        <f>IF(OR('Registrar expedidas_ingresos'!O14="",N14="02",F14="F2"),"",'Registrar expedidas_ingresos'!O14)</f>
        <v/>
      </c>
      <c r="P14" s="60" t="str">
        <f>IF('Registrar expedidas_ingresos'!P14="","",'Registrar expedidas_ingresos'!P14)</f>
        <v/>
      </c>
      <c r="Q14" s="60" t="str">
        <f>IF(F14="F2","VENTAS A CONSUMIDOR FINAL",IF('Registrar expedidas_ingresos'!Q14="","",'Registrar expedidas_ingresos'!Q14))</f>
        <v/>
      </c>
      <c r="R14" s="61" t="str">
        <f>IF(F14="DV","02",IF(ISERROR(VLOOKUP(CONCATENATE("CLAVE OPERACION",'Registrar expedidas_ingresos'!R14),'CODIGO-LITERAL'!$C:$D,2,FALSE)),"",VLOOKUP(CONCATENATE("CLAVE OPERACION",'Registrar expedidas_ingresos'!R14),'CODIGO-LITERAL'!$C:$D,2,FALSE)))</f>
        <v/>
      </c>
      <c r="S14" s="61" t="str">
        <f>IF(R14="03","S1",
 IF(R14="08","N2",
  IF(ISERROR(VLOOKUP(CONCATENATE("CALIFICACION OPERACION",'Registrar expedidas_ingresos'!S14),'CODIGO-LITERAL'!$C:$D,2,FALSE)),"",VLOOKUP(CONCATENATE("CALIFICACION OPERACION",'Registrar expedidas_ingresos'!S14),'CODIGO-LITERAL'!$C:$D,2,FALSE))))</f>
        <v/>
      </c>
      <c r="T14" s="61" t="str">
        <f>IF(R14="03","",IF(R14="08","",IF(ISERROR(VLOOKUP(CONCATENATE("OPERACION EXENTA",'Registrar expedidas_ingresos'!T14),'CODIGO-LITERAL'!$C:$D,2,FALSE)),"",VLOOKUP(CONCATENATE("OPERACION EXENTA",'Registrar expedidas_ingresos'!T14),'CODIGO-LITERAL'!$C:$D,2,FALSE))))</f>
        <v/>
      </c>
      <c r="U14" s="60" t="str">
        <f t="shared" si="0"/>
        <v/>
      </c>
      <c r="V14" s="60" t="str">
        <f>IF('Registrar expedidas_ingresos'!V14="","",ROUND('Registrar expedidas_ingresos'!V14,2))</f>
        <v/>
      </c>
      <c r="W14" s="60" t="str">
        <f>IF(S14="S2",0,IF('Registrar expedidas_ingresos'!W14="","",'Registrar expedidas_ingresos'!W14))</f>
        <v/>
      </c>
      <c r="X14" s="60" t="str">
        <f>IF(S14="S2",0,IF('Registrar expedidas_ingresos'!X14="","",ROUND('Registrar expedidas_ingresos'!X14,2)))</f>
        <v/>
      </c>
      <c r="Y14" s="60" t="str">
        <f>IF('Registrar expedidas_ingresos'!Y14="","",'Registrar expedidas_ingresos'!Y14)</f>
        <v/>
      </c>
      <c r="Z14" s="60" t="str">
        <f>IF('Registrar expedidas_ingresos'!Z14="","",ROUND('Registrar expedidas_ingresos'!Z14,2))</f>
        <v/>
      </c>
      <c r="AA14" s="64" t="str">
        <f>IF(R14&lt;&gt;"07","",IF('Registrar expedidas_ingresos'!AA14="","",'Registrar expedidas_ingresos'!AA14))</f>
        <v/>
      </c>
      <c r="AB14" s="60" t="str">
        <f>IF(R14&lt;&gt;"07","",IF('Registrar expedidas_ingresos'!AB14="","",'Registrar expedidas_ingresos'!AB14))</f>
        <v/>
      </c>
      <c r="AC14" s="61" t="str">
        <f>IF(R14&lt;&gt;"07","",IF(ISERROR(VLOOKUP(CONCATENATE("MEDIO UTILIZADO",'Registrar expedidas_ingresos'!AC14),'CODIGO-LITERAL'!$C:$D,2,FALSE)),"",VLOOKUP(CONCATENATE("MEDIO UTILIZADO",'Registrar expedidas_ingresos'!AC14),'CODIGO-LITERAL'!$C:$D,2,FALSE)))</f>
        <v/>
      </c>
      <c r="AD14" s="60" t="str">
        <f>IF(R14&lt;&gt;"07","",IF('Registrar expedidas_ingresos'!AD14="","",'Registrar expedidas_ingresos'!AD14))</f>
        <v/>
      </c>
      <c r="AE14" s="65"/>
      <c r="AF14" s="65"/>
      <c r="AG14" s="60" t="str">
        <f>IF('Registrar expedidas_ingresos'!AG14="","",'Registrar expedidas_ingresos'!AG14)</f>
        <v/>
      </c>
      <c r="AH14" s="61" t="str">
        <f>IF(ISERROR(VLOOKUP(CONCATENATE("SITUACION",'Registrar expedidas_ingresos'!AH14),'CODIGO-LITERAL'!$C:$D,2,FALSE)),"",VLOOKUP(CONCATENATE("SITUACION",'Registrar expedidas_ingresos'!AH14),'CODIGO-LITERAL'!$C:$D,2,FALSE))</f>
        <v/>
      </c>
      <c r="AI14" s="60" t="str">
        <f>IF('Registrar expedidas_ingresos'!AI14="","",'Registrar expedidas_ingresos'!AI14)</f>
        <v/>
      </c>
      <c r="AJ14" s="60" t="str">
        <f>IF('Registrar expedidas_ingresos'!AJ14="","",'Registrar expedidas_ingresos'!AJ14)</f>
        <v/>
      </c>
    </row>
    <row r="15" spans="1:36" s="2" customFormat="1" x14ac:dyDescent="0.25">
      <c r="A15" s="59" t="str">
        <f>IF('Registrar expedidas_ingresos'!J15="",IF('Registrar expedidas_ingresos'!I15="","",YEAR('Registrar expedidas_ingresos'!I15)),YEAR('Registrar expedidas_ingresos'!J15))</f>
        <v/>
      </c>
      <c r="B15" s="60" t="str">
        <f>IF('Registrar expedidas_ingresos'!B15="","",'Registrar expedidas_ingresos'!B15)</f>
        <v/>
      </c>
      <c r="C15" s="60" t="str">
        <f>IF('Registrar expedidas_ingresos'!C15="","",VLOOKUP(CONCATENATE("ACTIVIDAD",'Registrar expedidas_ingresos'!C15),'CODIGO-LITERAL'!C:D,2,FALSE))</f>
        <v/>
      </c>
      <c r="D15" s="60" t="str">
        <f>IF(OR(C15="C",C15="D"),"",IF(ISERROR(VLOOKUP(CONCATENATE(C15,'Registrar expedidas_ingresos'!D15),'CODIGO-LITERAL'!$C:$D,2,FALSE)),"",VLOOKUP(CONCATENATE(C15,'Registrar expedidas_ingresos'!D15),'CODIGO-LITERAL'!$C:$D,2,FALSE)))</f>
        <v/>
      </c>
      <c r="E15" s="60" t="str">
        <f>IF('Registrar expedidas_ingresos'!E15="","",'Registrar expedidas_ingresos'!E15)</f>
        <v/>
      </c>
      <c r="F15" s="61" t="str">
        <f>IF(ISERROR(VLOOKUP(CONCATENATE("TIPO FACTURA",'Registrar expedidas_ingresos'!F15),'CODIGO-LITERAL'!$C:$D,2,FALSE)),"",VLOOKUP(CONCATENATE("TIPO FACTURA",'Registrar expedidas_ingresos'!F15),'CODIGO-LITERAL'!$C:$D,2,FALSE))</f>
        <v/>
      </c>
      <c r="G15" s="62"/>
      <c r="H15" s="63"/>
      <c r="I15" s="64" t="str">
        <f>IF('Registrar expedidas_ingresos'!I15="","",'Registrar expedidas_ingresos'!I15)</f>
        <v/>
      </c>
      <c r="J15" s="64" t="str">
        <f>IF('Registrar expedidas_ingresos'!J15="","",'Registrar expedidas_ingresos'!J15)</f>
        <v/>
      </c>
      <c r="K15" s="60" t="str">
        <f>IF('Registrar expedidas_ingresos'!K15="","",'Registrar expedidas_ingresos'!K15)</f>
        <v/>
      </c>
      <c r="L15" s="60" t="str">
        <f>IF('Registrar expedidas_ingresos'!L15="","",'Registrar expedidas_ingresos'!L15)</f>
        <v/>
      </c>
      <c r="M15" s="60" t="str">
        <f>IF('Registrar expedidas_ingresos'!M15="","",'Registrar expedidas_ingresos'!M15)</f>
        <v/>
      </c>
      <c r="N15" s="61" t="str">
        <f>IF(OR(F15="F2",LEFT('Registrar expedidas_ingresos'!N15,2)="01"),"",IF(ISERROR(VLOOKUP(CONCATENATE("TIPO NIF",'Registrar expedidas_ingresos'!N15),'CODIGO-LITERAL'!$C:$D,2,FALSE)),"",VLOOKUP(CONCATENATE("TIPO NIF",'Registrar expedidas_ingresos'!N15),'CODIGO-LITERAL'!$C:$D,2,FALSE)))</f>
        <v/>
      </c>
      <c r="O15" s="60" t="str">
        <f>IF(OR('Registrar expedidas_ingresos'!O15="",N15="02",F15="F2"),"",'Registrar expedidas_ingresos'!O15)</f>
        <v/>
      </c>
      <c r="P15" s="60" t="str">
        <f>IF('Registrar expedidas_ingresos'!P15="","",'Registrar expedidas_ingresos'!P15)</f>
        <v/>
      </c>
      <c r="Q15" s="60" t="str">
        <f>IF(F15="F2","VENTAS A CONSUMIDOR FINAL",IF('Registrar expedidas_ingresos'!Q15="","",'Registrar expedidas_ingresos'!Q15))</f>
        <v/>
      </c>
      <c r="R15" s="61" t="str">
        <f>IF(F15="DV","02",IF(ISERROR(VLOOKUP(CONCATENATE("CLAVE OPERACION",'Registrar expedidas_ingresos'!R15),'CODIGO-LITERAL'!$C:$D,2,FALSE)),"",VLOOKUP(CONCATENATE("CLAVE OPERACION",'Registrar expedidas_ingresos'!R15),'CODIGO-LITERAL'!$C:$D,2,FALSE)))</f>
        <v/>
      </c>
      <c r="S15" s="61" t="str">
        <f>IF(R15="03","S1",
 IF(R15="08","N2",
  IF(ISERROR(VLOOKUP(CONCATENATE("CALIFICACION OPERACION",'Registrar expedidas_ingresos'!S15),'CODIGO-LITERAL'!$C:$D,2,FALSE)),"",VLOOKUP(CONCATENATE("CALIFICACION OPERACION",'Registrar expedidas_ingresos'!S15),'CODIGO-LITERAL'!$C:$D,2,FALSE))))</f>
        <v/>
      </c>
      <c r="T15" s="61" t="str">
        <f>IF(R15="03","",IF(R15="08","",IF(ISERROR(VLOOKUP(CONCATENATE("OPERACION EXENTA",'Registrar expedidas_ingresos'!T15),'CODIGO-LITERAL'!$C:$D,2,FALSE)),"",VLOOKUP(CONCATENATE("OPERACION EXENTA",'Registrar expedidas_ingresos'!T15),'CODIGO-LITERAL'!$C:$D,2,FALSE))))</f>
        <v/>
      </c>
      <c r="U15" s="60" t="str">
        <f t="shared" si="0"/>
        <v/>
      </c>
      <c r="V15" s="60" t="str">
        <f>IF('Registrar expedidas_ingresos'!V15="","",ROUND('Registrar expedidas_ingresos'!V15,2))</f>
        <v/>
      </c>
      <c r="W15" s="60" t="str">
        <f>IF(S15="S2",0,IF('Registrar expedidas_ingresos'!W15="","",'Registrar expedidas_ingresos'!W15))</f>
        <v/>
      </c>
      <c r="X15" s="60" t="str">
        <f>IF(S15="S2",0,IF('Registrar expedidas_ingresos'!X15="","",ROUND('Registrar expedidas_ingresos'!X15,2)))</f>
        <v/>
      </c>
      <c r="Y15" s="60" t="str">
        <f>IF('Registrar expedidas_ingresos'!Y15="","",'Registrar expedidas_ingresos'!Y15)</f>
        <v/>
      </c>
      <c r="Z15" s="60" t="str">
        <f>IF('Registrar expedidas_ingresos'!Z15="","",ROUND('Registrar expedidas_ingresos'!Z15,2))</f>
        <v/>
      </c>
      <c r="AA15" s="64" t="str">
        <f>IF(R15&lt;&gt;"07","",IF('Registrar expedidas_ingresos'!AA15="","",'Registrar expedidas_ingresos'!AA15))</f>
        <v/>
      </c>
      <c r="AB15" s="60" t="str">
        <f>IF(R15&lt;&gt;"07","",IF('Registrar expedidas_ingresos'!AB15="","",'Registrar expedidas_ingresos'!AB15))</f>
        <v/>
      </c>
      <c r="AC15" s="61" t="str">
        <f>IF(R15&lt;&gt;"07","",IF(ISERROR(VLOOKUP(CONCATENATE("MEDIO UTILIZADO",'Registrar expedidas_ingresos'!AC15),'CODIGO-LITERAL'!$C:$D,2,FALSE)),"",VLOOKUP(CONCATENATE("MEDIO UTILIZADO",'Registrar expedidas_ingresos'!AC15),'CODIGO-LITERAL'!$C:$D,2,FALSE)))</f>
        <v/>
      </c>
      <c r="AD15" s="60" t="str">
        <f>IF(R15&lt;&gt;"07","",IF('Registrar expedidas_ingresos'!AD15="","",'Registrar expedidas_ingresos'!AD15))</f>
        <v/>
      </c>
      <c r="AE15" s="65"/>
      <c r="AF15" s="65"/>
      <c r="AG15" s="60" t="str">
        <f>IF('Registrar expedidas_ingresos'!AG15="","",'Registrar expedidas_ingresos'!AG15)</f>
        <v/>
      </c>
      <c r="AH15" s="61" t="str">
        <f>IF(ISERROR(VLOOKUP(CONCATENATE("SITUACION",'Registrar expedidas_ingresos'!AH15),'CODIGO-LITERAL'!$C:$D,2,FALSE)),"",VLOOKUP(CONCATENATE("SITUACION",'Registrar expedidas_ingresos'!AH15),'CODIGO-LITERAL'!$C:$D,2,FALSE))</f>
        <v/>
      </c>
      <c r="AI15" s="60" t="str">
        <f>IF('Registrar expedidas_ingresos'!AI15="","",'Registrar expedidas_ingresos'!AI15)</f>
        <v/>
      </c>
      <c r="AJ15" s="60" t="str">
        <f>IF('Registrar expedidas_ingresos'!AJ15="","",'Registrar expedidas_ingresos'!AJ15)</f>
        <v/>
      </c>
    </row>
    <row r="16" spans="1:36" s="2" customFormat="1" x14ac:dyDescent="0.25">
      <c r="A16" s="59" t="str">
        <f>IF('Registrar expedidas_ingresos'!J16="",IF('Registrar expedidas_ingresos'!I16="","",YEAR('Registrar expedidas_ingresos'!I16)),YEAR('Registrar expedidas_ingresos'!J16))</f>
        <v/>
      </c>
      <c r="B16" s="60" t="str">
        <f>IF('Registrar expedidas_ingresos'!B16="","",'Registrar expedidas_ingresos'!B16)</f>
        <v/>
      </c>
      <c r="C16" s="60" t="str">
        <f>IF('Registrar expedidas_ingresos'!C16="","",VLOOKUP(CONCATENATE("ACTIVIDAD",'Registrar expedidas_ingresos'!C16),'CODIGO-LITERAL'!C:D,2,FALSE))</f>
        <v/>
      </c>
      <c r="D16" s="60" t="str">
        <f>IF(OR(C16="C",C16="D"),"",IF(ISERROR(VLOOKUP(CONCATENATE(C16,'Registrar expedidas_ingresos'!D16),'CODIGO-LITERAL'!$C:$D,2,FALSE)),"",VLOOKUP(CONCATENATE(C16,'Registrar expedidas_ingresos'!D16),'CODIGO-LITERAL'!$C:$D,2,FALSE)))</f>
        <v/>
      </c>
      <c r="E16" s="60" t="str">
        <f>IF('Registrar expedidas_ingresos'!E16="","",'Registrar expedidas_ingresos'!E16)</f>
        <v/>
      </c>
      <c r="F16" s="61" t="str">
        <f>IF(ISERROR(VLOOKUP(CONCATENATE("TIPO FACTURA",'Registrar expedidas_ingresos'!F16),'CODIGO-LITERAL'!$C:$D,2,FALSE)),"",VLOOKUP(CONCATENATE("TIPO FACTURA",'Registrar expedidas_ingresos'!F16),'CODIGO-LITERAL'!$C:$D,2,FALSE))</f>
        <v/>
      </c>
      <c r="G16" s="62"/>
      <c r="H16" s="63"/>
      <c r="I16" s="64" t="str">
        <f>IF('Registrar expedidas_ingresos'!I16="","",'Registrar expedidas_ingresos'!I16)</f>
        <v/>
      </c>
      <c r="J16" s="64" t="str">
        <f>IF('Registrar expedidas_ingresos'!J16="","",'Registrar expedidas_ingresos'!J16)</f>
        <v/>
      </c>
      <c r="K16" s="60" t="str">
        <f>IF('Registrar expedidas_ingresos'!K16="","",'Registrar expedidas_ingresos'!K16)</f>
        <v/>
      </c>
      <c r="L16" s="60" t="str">
        <f>IF('Registrar expedidas_ingresos'!L16="","",'Registrar expedidas_ingresos'!L16)</f>
        <v/>
      </c>
      <c r="M16" s="60" t="str">
        <f>IF('Registrar expedidas_ingresos'!M16="","",'Registrar expedidas_ingresos'!M16)</f>
        <v/>
      </c>
      <c r="N16" s="61" t="str">
        <f>IF(OR(F16="F2",LEFT('Registrar expedidas_ingresos'!N16,2)="01"),"",IF(ISERROR(VLOOKUP(CONCATENATE("TIPO NIF",'Registrar expedidas_ingresos'!N16),'CODIGO-LITERAL'!$C:$D,2,FALSE)),"",VLOOKUP(CONCATENATE("TIPO NIF",'Registrar expedidas_ingresos'!N16),'CODIGO-LITERAL'!$C:$D,2,FALSE)))</f>
        <v/>
      </c>
      <c r="O16" s="60" t="str">
        <f>IF(OR('Registrar expedidas_ingresos'!O16="",N16="02",F16="F2"),"",'Registrar expedidas_ingresos'!O16)</f>
        <v/>
      </c>
      <c r="P16" s="60" t="str">
        <f>IF('Registrar expedidas_ingresos'!P16="","",'Registrar expedidas_ingresos'!P16)</f>
        <v/>
      </c>
      <c r="Q16" s="60" t="str">
        <f>IF(F16="F2","VENTAS A CONSUMIDOR FINAL",IF('Registrar expedidas_ingresos'!Q16="","",'Registrar expedidas_ingresos'!Q16))</f>
        <v/>
      </c>
      <c r="R16" s="61" t="str">
        <f>IF(F16="DV","02",IF(ISERROR(VLOOKUP(CONCATENATE("CLAVE OPERACION",'Registrar expedidas_ingresos'!R16),'CODIGO-LITERAL'!$C:$D,2,FALSE)),"",VLOOKUP(CONCATENATE("CLAVE OPERACION",'Registrar expedidas_ingresos'!R16),'CODIGO-LITERAL'!$C:$D,2,FALSE)))</f>
        <v/>
      </c>
      <c r="S16" s="61" t="str">
        <f>IF(R16="03","S1",
 IF(R16="08","N2",
  IF(ISERROR(VLOOKUP(CONCATENATE("CALIFICACION OPERACION",'Registrar expedidas_ingresos'!S16),'CODIGO-LITERAL'!$C:$D,2,FALSE)),"",VLOOKUP(CONCATENATE("CALIFICACION OPERACION",'Registrar expedidas_ingresos'!S16),'CODIGO-LITERAL'!$C:$D,2,FALSE))))</f>
        <v/>
      </c>
      <c r="T16" s="61" t="str">
        <f>IF(R16="03","",IF(R16="08","",IF(ISERROR(VLOOKUP(CONCATENATE("OPERACION EXENTA",'Registrar expedidas_ingresos'!T16),'CODIGO-LITERAL'!$C:$D,2,FALSE)),"",VLOOKUP(CONCATENATE("OPERACION EXENTA",'Registrar expedidas_ingresos'!T16),'CODIGO-LITERAL'!$C:$D,2,FALSE))))</f>
        <v/>
      </c>
      <c r="U16" s="60" t="str">
        <f t="shared" si="0"/>
        <v/>
      </c>
      <c r="V16" s="60" t="str">
        <f>IF('Registrar expedidas_ingresos'!V16="","",ROUND('Registrar expedidas_ingresos'!V16,2))</f>
        <v/>
      </c>
      <c r="W16" s="60" t="str">
        <f>IF(S16="S2",0,IF('Registrar expedidas_ingresos'!W16="","",'Registrar expedidas_ingresos'!W16))</f>
        <v/>
      </c>
      <c r="X16" s="60" t="str">
        <f>IF(S16="S2",0,IF('Registrar expedidas_ingresos'!X16="","",ROUND('Registrar expedidas_ingresos'!X16,2)))</f>
        <v/>
      </c>
      <c r="Y16" s="60" t="str">
        <f>IF('Registrar expedidas_ingresos'!Y16="","",'Registrar expedidas_ingresos'!Y16)</f>
        <v/>
      </c>
      <c r="Z16" s="60" t="str">
        <f>IF('Registrar expedidas_ingresos'!Z16="","",ROUND('Registrar expedidas_ingresos'!Z16,2))</f>
        <v/>
      </c>
      <c r="AA16" s="64" t="str">
        <f>IF(R16&lt;&gt;"07","",IF('Registrar expedidas_ingresos'!AA16="","",'Registrar expedidas_ingresos'!AA16))</f>
        <v/>
      </c>
      <c r="AB16" s="60" t="str">
        <f>IF(R16&lt;&gt;"07","",IF('Registrar expedidas_ingresos'!AB16="","",'Registrar expedidas_ingresos'!AB16))</f>
        <v/>
      </c>
      <c r="AC16" s="61" t="str">
        <f>IF(R16&lt;&gt;"07","",IF(ISERROR(VLOOKUP(CONCATENATE("MEDIO UTILIZADO",'Registrar expedidas_ingresos'!AC16),'CODIGO-LITERAL'!$C:$D,2,FALSE)),"",VLOOKUP(CONCATENATE("MEDIO UTILIZADO",'Registrar expedidas_ingresos'!AC16),'CODIGO-LITERAL'!$C:$D,2,FALSE)))</f>
        <v/>
      </c>
      <c r="AD16" s="60" t="str">
        <f>IF(R16&lt;&gt;"07","",IF('Registrar expedidas_ingresos'!AD16="","",'Registrar expedidas_ingresos'!AD16))</f>
        <v/>
      </c>
      <c r="AE16" s="65"/>
      <c r="AF16" s="65"/>
      <c r="AG16" s="60" t="str">
        <f>IF('Registrar expedidas_ingresos'!AG16="","",'Registrar expedidas_ingresos'!AG16)</f>
        <v/>
      </c>
      <c r="AH16" s="61" t="str">
        <f>IF(ISERROR(VLOOKUP(CONCATENATE("SITUACION",'Registrar expedidas_ingresos'!AH16),'CODIGO-LITERAL'!$C:$D,2,FALSE)),"",VLOOKUP(CONCATENATE("SITUACION",'Registrar expedidas_ingresos'!AH16),'CODIGO-LITERAL'!$C:$D,2,FALSE))</f>
        <v/>
      </c>
      <c r="AI16" s="60" t="str">
        <f>IF('Registrar expedidas_ingresos'!AI16="","",'Registrar expedidas_ingresos'!AI16)</f>
        <v/>
      </c>
      <c r="AJ16" s="60" t="str">
        <f>IF('Registrar expedidas_ingresos'!AJ16="","",'Registrar expedidas_ingresos'!AJ16)</f>
        <v/>
      </c>
    </row>
    <row r="17" spans="1:36" s="2" customFormat="1" x14ac:dyDescent="0.25">
      <c r="A17" s="59" t="str">
        <f>IF('Registrar expedidas_ingresos'!J17="",IF('Registrar expedidas_ingresos'!I17="","",YEAR('Registrar expedidas_ingresos'!I17)),YEAR('Registrar expedidas_ingresos'!J17))</f>
        <v/>
      </c>
      <c r="B17" s="60" t="str">
        <f>IF('Registrar expedidas_ingresos'!B17="","",'Registrar expedidas_ingresos'!B17)</f>
        <v/>
      </c>
      <c r="C17" s="60" t="str">
        <f>IF('Registrar expedidas_ingresos'!C17="","",VLOOKUP(CONCATENATE("ACTIVIDAD",'Registrar expedidas_ingresos'!C17),'CODIGO-LITERAL'!C:D,2,FALSE))</f>
        <v/>
      </c>
      <c r="D17" s="60" t="str">
        <f>IF(OR(C17="C",C17="D"),"",IF(ISERROR(VLOOKUP(CONCATENATE(C17,'Registrar expedidas_ingresos'!D17),'CODIGO-LITERAL'!$C:$D,2,FALSE)),"",VLOOKUP(CONCATENATE(C17,'Registrar expedidas_ingresos'!D17),'CODIGO-LITERAL'!$C:$D,2,FALSE)))</f>
        <v/>
      </c>
      <c r="E17" s="60" t="str">
        <f>IF('Registrar expedidas_ingresos'!E17="","",'Registrar expedidas_ingresos'!E17)</f>
        <v/>
      </c>
      <c r="F17" s="61" t="str">
        <f>IF(ISERROR(VLOOKUP(CONCATENATE("TIPO FACTURA",'Registrar expedidas_ingresos'!F17),'CODIGO-LITERAL'!$C:$D,2,FALSE)),"",VLOOKUP(CONCATENATE("TIPO FACTURA",'Registrar expedidas_ingresos'!F17),'CODIGO-LITERAL'!$C:$D,2,FALSE))</f>
        <v/>
      </c>
      <c r="G17" s="62"/>
      <c r="H17" s="63"/>
      <c r="I17" s="64" t="str">
        <f>IF('Registrar expedidas_ingresos'!I17="","",'Registrar expedidas_ingresos'!I17)</f>
        <v/>
      </c>
      <c r="J17" s="64" t="str">
        <f>IF('Registrar expedidas_ingresos'!J17="","",'Registrar expedidas_ingresos'!J17)</f>
        <v/>
      </c>
      <c r="K17" s="60" t="str">
        <f>IF('Registrar expedidas_ingresos'!K17="","",'Registrar expedidas_ingresos'!K17)</f>
        <v/>
      </c>
      <c r="L17" s="60" t="str">
        <f>IF('Registrar expedidas_ingresos'!L17="","",'Registrar expedidas_ingresos'!L17)</f>
        <v/>
      </c>
      <c r="M17" s="60" t="str">
        <f>IF('Registrar expedidas_ingresos'!M17="","",'Registrar expedidas_ingresos'!M17)</f>
        <v/>
      </c>
      <c r="N17" s="61" t="str">
        <f>IF(OR(F17="F2",LEFT('Registrar expedidas_ingresos'!N17,2)="01"),"",IF(ISERROR(VLOOKUP(CONCATENATE("TIPO NIF",'Registrar expedidas_ingresos'!N17),'CODIGO-LITERAL'!$C:$D,2,FALSE)),"",VLOOKUP(CONCATENATE("TIPO NIF",'Registrar expedidas_ingresos'!N17),'CODIGO-LITERAL'!$C:$D,2,FALSE)))</f>
        <v/>
      </c>
      <c r="O17" s="60" t="str">
        <f>IF(OR('Registrar expedidas_ingresos'!O17="",N17="02",F17="F2"),"",'Registrar expedidas_ingresos'!O17)</f>
        <v/>
      </c>
      <c r="P17" s="60" t="str">
        <f>IF('Registrar expedidas_ingresos'!P17="","",'Registrar expedidas_ingresos'!P17)</f>
        <v/>
      </c>
      <c r="Q17" s="60" t="str">
        <f>IF(F17="F2","VENTAS A CONSUMIDOR FINAL",IF('Registrar expedidas_ingresos'!Q17="","",'Registrar expedidas_ingresos'!Q17))</f>
        <v/>
      </c>
      <c r="R17" s="61" t="str">
        <f>IF(F17="DV","02",IF(ISERROR(VLOOKUP(CONCATENATE("CLAVE OPERACION",'Registrar expedidas_ingresos'!R17),'CODIGO-LITERAL'!$C:$D,2,FALSE)),"",VLOOKUP(CONCATENATE("CLAVE OPERACION",'Registrar expedidas_ingresos'!R17),'CODIGO-LITERAL'!$C:$D,2,FALSE)))</f>
        <v/>
      </c>
      <c r="S17" s="61" t="str">
        <f>IF(R17="03","S1",
 IF(R17="08","N2",
  IF(ISERROR(VLOOKUP(CONCATENATE("CALIFICACION OPERACION",'Registrar expedidas_ingresos'!S17),'CODIGO-LITERAL'!$C:$D,2,FALSE)),"",VLOOKUP(CONCATENATE("CALIFICACION OPERACION",'Registrar expedidas_ingresos'!S17),'CODIGO-LITERAL'!$C:$D,2,FALSE))))</f>
        <v/>
      </c>
      <c r="T17" s="61" t="str">
        <f>IF(R17="03","",IF(R17="08","",IF(ISERROR(VLOOKUP(CONCATENATE("OPERACION EXENTA",'Registrar expedidas_ingresos'!T17),'CODIGO-LITERAL'!$C:$D,2,FALSE)),"",VLOOKUP(CONCATENATE("OPERACION EXENTA",'Registrar expedidas_ingresos'!T17),'CODIGO-LITERAL'!$C:$D,2,FALSE))))</f>
        <v/>
      </c>
      <c r="U17" s="60" t="str">
        <f t="shared" si="0"/>
        <v/>
      </c>
      <c r="V17" s="60" t="str">
        <f>IF('Registrar expedidas_ingresos'!V17="","",ROUND('Registrar expedidas_ingresos'!V17,2))</f>
        <v/>
      </c>
      <c r="W17" s="60" t="str">
        <f>IF(S17="S2",0,IF('Registrar expedidas_ingresos'!W17="","",'Registrar expedidas_ingresos'!W17))</f>
        <v/>
      </c>
      <c r="X17" s="60" t="str">
        <f>IF(S17="S2",0,IF('Registrar expedidas_ingresos'!X17="","",ROUND('Registrar expedidas_ingresos'!X17,2)))</f>
        <v/>
      </c>
      <c r="Y17" s="60" t="str">
        <f>IF('Registrar expedidas_ingresos'!Y17="","",'Registrar expedidas_ingresos'!Y17)</f>
        <v/>
      </c>
      <c r="Z17" s="60" t="str">
        <f>IF('Registrar expedidas_ingresos'!Z17="","",ROUND('Registrar expedidas_ingresos'!Z17,2))</f>
        <v/>
      </c>
      <c r="AA17" s="64" t="str">
        <f>IF(R17&lt;&gt;"07","",IF('Registrar expedidas_ingresos'!AA17="","",'Registrar expedidas_ingresos'!AA17))</f>
        <v/>
      </c>
      <c r="AB17" s="60" t="str">
        <f>IF(R17&lt;&gt;"07","",IF('Registrar expedidas_ingresos'!AB17="","",'Registrar expedidas_ingresos'!AB17))</f>
        <v/>
      </c>
      <c r="AC17" s="61" t="str">
        <f>IF(R17&lt;&gt;"07","",IF(ISERROR(VLOOKUP(CONCATENATE("MEDIO UTILIZADO",'Registrar expedidas_ingresos'!AC17),'CODIGO-LITERAL'!$C:$D,2,FALSE)),"",VLOOKUP(CONCATENATE("MEDIO UTILIZADO",'Registrar expedidas_ingresos'!AC17),'CODIGO-LITERAL'!$C:$D,2,FALSE)))</f>
        <v/>
      </c>
      <c r="AD17" s="60" t="str">
        <f>IF(R17&lt;&gt;"07","",IF('Registrar expedidas_ingresos'!AD17="","",'Registrar expedidas_ingresos'!AD17))</f>
        <v/>
      </c>
      <c r="AE17" s="65"/>
      <c r="AF17" s="65"/>
      <c r="AG17" s="60" t="str">
        <f>IF('Registrar expedidas_ingresos'!AG17="","",'Registrar expedidas_ingresos'!AG17)</f>
        <v/>
      </c>
      <c r="AH17" s="61" t="str">
        <f>IF(ISERROR(VLOOKUP(CONCATENATE("SITUACION",'Registrar expedidas_ingresos'!AH17),'CODIGO-LITERAL'!$C:$D,2,FALSE)),"",VLOOKUP(CONCATENATE("SITUACION",'Registrar expedidas_ingresos'!AH17),'CODIGO-LITERAL'!$C:$D,2,FALSE))</f>
        <v/>
      </c>
      <c r="AI17" s="60" t="str">
        <f>IF('Registrar expedidas_ingresos'!AI17="","",'Registrar expedidas_ingresos'!AI17)</f>
        <v/>
      </c>
      <c r="AJ17" s="60" t="str">
        <f>IF('Registrar expedidas_ingresos'!AJ17="","",'Registrar expedidas_ingresos'!AJ17)</f>
        <v/>
      </c>
    </row>
    <row r="18" spans="1:36" s="2" customFormat="1" x14ac:dyDescent="0.25">
      <c r="A18" s="59" t="str">
        <f>IF('Registrar expedidas_ingresos'!J18="",IF('Registrar expedidas_ingresos'!I18="","",YEAR('Registrar expedidas_ingresos'!I18)),YEAR('Registrar expedidas_ingresos'!J18))</f>
        <v/>
      </c>
      <c r="B18" s="60" t="str">
        <f>IF('Registrar expedidas_ingresos'!B18="","",'Registrar expedidas_ingresos'!B18)</f>
        <v/>
      </c>
      <c r="C18" s="60" t="str">
        <f>IF('Registrar expedidas_ingresos'!C18="","",VLOOKUP(CONCATENATE("ACTIVIDAD",'Registrar expedidas_ingresos'!C18),'CODIGO-LITERAL'!C:D,2,FALSE))</f>
        <v/>
      </c>
      <c r="D18" s="60" t="str">
        <f>IF(OR(C18="C",C18="D"),"",IF(ISERROR(VLOOKUP(CONCATENATE(C18,'Registrar expedidas_ingresos'!D18),'CODIGO-LITERAL'!$C:$D,2,FALSE)),"",VLOOKUP(CONCATENATE(C18,'Registrar expedidas_ingresos'!D18),'CODIGO-LITERAL'!$C:$D,2,FALSE)))</f>
        <v/>
      </c>
      <c r="E18" s="60" t="str">
        <f>IF('Registrar expedidas_ingresos'!E18="","",'Registrar expedidas_ingresos'!E18)</f>
        <v/>
      </c>
      <c r="F18" s="61" t="str">
        <f>IF(ISERROR(VLOOKUP(CONCATENATE("TIPO FACTURA",'Registrar expedidas_ingresos'!F18),'CODIGO-LITERAL'!$C:$D,2,FALSE)),"",VLOOKUP(CONCATENATE("TIPO FACTURA",'Registrar expedidas_ingresos'!F18),'CODIGO-LITERAL'!$C:$D,2,FALSE))</f>
        <v/>
      </c>
      <c r="G18" s="62"/>
      <c r="H18" s="63"/>
      <c r="I18" s="64" t="str">
        <f>IF('Registrar expedidas_ingresos'!I18="","",'Registrar expedidas_ingresos'!I18)</f>
        <v/>
      </c>
      <c r="J18" s="64" t="str">
        <f>IF('Registrar expedidas_ingresos'!J18="","",'Registrar expedidas_ingresos'!J18)</f>
        <v/>
      </c>
      <c r="K18" s="60" t="str">
        <f>IF('Registrar expedidas_ingresos'!K18="","",'Registrar expedidas_ingresos'!K18)</f>
        <v/>
      </c>
      <c r="L18" s="60" t="str">
        <f>IF('Registrar expedidas_ingresos'!L18="","",'Registrar expedidas_ingresos'!L18)</f>
        <v/>
      </c>
      <c r="M18" s="60" t="str">
        <f>IF('Registrar expedidas_ingresos'!M18="","",'Registrar expedidas_ingresos'!M18)</f>
        <v/>
      </c>
      <c r="N18" s="61" t="str">
        <f>IF(OR(F18="F2",LEFT('Registrar expedidas_ingresos'!N18,2)="01"),"",IF(ISERROR(VLOOKUP(CONCATENATE("TIPO NIF",'Registrar expedidas_ingresos'!N18),'CODIGO-LITERAL'!$C:$D,2,FALSE)),"",VLOOKUP(CONCATENATE("TIPO NIF",'Registrar expedidas_ingresos'!N18),'CODIGO-LITERAL'!$C:$D,2,FALSE)))</f>
        <v/>
      </c>
      <c r="O18" s="60" t="str">
        <f>IF(OR('Registrar expedidas_ingresos'!O18="",N18="02",F18="F2"),"",'Registrar expedidas_ingresos'!O18)</f>
        <v/>
      </c>
      <c r="P18" s="60" t="str">
        <f>IF('Registrar expedidas_ingresos'!P18="","",'Registrar expedidas_ingresos'!P18)</f>
        <v/>
      </c>
      <c r="Q18" s="60" t="str">
        <f>IF(F18="F2","VENTAS A CONSUMIDOR FINAL",IF('Registrar expedidas_ingresos'!Q18="","",'Registrar expedidas_ingresos'!Q18))</f>
        <v/>
      </c>
      <c r="R18" s="61" t="str">
        <f>IF(F18="DV","02",IF(ISERROR(VLOOKUP(CONCATENATE("CLAVE OPERACION",'Registrar expedidas_ingresos'!R18),'CODIGO-LITERAL'!$C:$D,2,FALSE)),"",VLOOKUP(CONCATENATE("CLAVE OPERACION",'Registrar expedidas_ingresos'!R18),'CODIGO-LITERAL'!$C:$D,2,FALSE)))</f>
        <v/>
      </c>
      <c r="S18" s="61" t="str">
        <f>IF(R18="03","S1",
 IF(R18="08","N2",
  IF(ISERROR(VLOOKUP(CONCATENATE("CALIFICACION OPERACION",'Registrar expedidas_ingresos'!S18),'CODIGO-LITERAL'!$C:$D,2,FALSE)),"",VLOOKUP(CONCATENATE("CALIFICACION OPERACION",'Registrar expedidas_ingresos'!S18),'CODIGO-LITERAL'!$C:$D,2,FALSE))))</f>
        <v/>
      </c>
      <c r="T18" s="61" t="str">
        <f>IF(R18="03","",IF(R18="08","",IF(ISERROR(VLOOKUP(CONCATENATE("OPERACION EXENTA",'Registrar expedidas_ingresos'!T18),'CODIGO-LITERAL'!$C:$D,2,FALSE)),"",VLOOKUP(CONCATENATE("OPERACION EXENTA",'Registrar expedidas_ingresos'!T18),'CODIGO-LITERAL'!$C:$D,2,FALSE))))</f>
        <v/>
      </c>
      <c r="U18" s="60" t="str">
        <f t="shared" si="0"/>
        <v/>
      </c>
      <c r="V18" s="60" t="str">
        <f>IF('Registrar expedidas_ingresos'!V18="","",ROUND('Registrar expedidas_ingresos'!V18,2))</f>
        <v/>
      </c>
      <c r="W18" s="60" t="str">
        <f>IF(S18="S2",0,IF('Registrar expedidas_ingresos'!W18="","",'Registrar expedidas_ingresos'!W18))</f>
        <v/>
      </c>
      <c r="X18" s="60" t="str">
        <f>IF(S18="S2",0,IF('Registrar expedidas_ingresos'!X18="","",ROUND('Registrar expedidas_ingresos'!X18,2)))</f>
        <v/>
      </c>
      <c r="Y18" s="60" t="str">
        <f>IF('Registrar expedidas_ingresos'!Y18="","",'Registrar expedidas_ingresos'!Y18)</f>
        <v/>
      </c>
      <c r="Z18" s="60" t="str">
        <f>IF('Registrar expedidas_ingresos'!Z18="","",ROUND('Registrar expedidas_ingresos'!Z18,2))</f>
        <v/>
      </c>
      <c r="AA18" s="64" t="str">
        <f>IF(R18&lt;&gt;"07","",IF('Registrar expedidas_ingresos'!AA18="","",'Registrar expedidas_ingresos'!AA18))</f>
        <v/>
      </c>
      <c r="AB18" s="60" t="str">
        <f>IF(R18&lt;&gt;"07","",IF('Registrar expedidas_ingresos'!AB18="","",'Registrar expedidas_ingresos'!AB18))</f>
        <v/>
      </c>
      <c r="AC18" s="61" t="str">
        <f>IF(R18&lt;&gt;"07","",IF(ISERROR(VLOOKUP(CONCATENATE("MEDIO UTILIZADO",'Registrar expedidas_ingresos'!AC18),'CODIGO-LITERAL'!$C:$D,2,FALSE)),"",VLOOKUP(CONCATENATE("MEDIO UTILIZADO",'Registrar expedidas_ingresos'!AC18),'CODIGO-LITERAL'!$C:$D,2,FALSE)))</f>
        <v/>
      </c>
      <c r="AD18" s="60" t="str">
        <f>IF(R18&lt;&gt;"07","",IF('Registrar expedidas_ingresos'!AD18="","",'Registrar expedidas_ingresos'!AD18))</f>
        <v/>
      </c>
      <c r="AE18" s="65"/>
      <c r="AF18" s="65"/>
      <c r="AG18" s="60" t="str">
        <f>IF('Registrar expedidas_ingresos'!AG18="","",'Registrar expedidas_ingresos'!AG18)</f>
        <v/>
      </c>
      <c r="AH18" s="61" t="str">
        <f>IF(ISERROR(VLOOKUP(CONCATENATE("SITUACION",'Registrar expedidas_ingresos'!AH18),'CODIGO-LITERAL'!$C:$D,2,FALSE)),"",VLOOKUP(CONCATENATE("SITUACION",'Registrar expedidas_ingresos'!AH18),'CODIGO-LITERAL'!$C:$D,2,FALSE))</f>
        <v/>
      </c>
      <c r="AI18" s="60" t="str">
        <f>IF('Registrar expedidas_ingresos'!AI18="","",'Registrar expedidas_ingresos'!AI18)</f>
        <v/>
      </c>
      <c r="AJ18" s="60" t="str">
        <f>IF('Registrar expedidas_ingresos'!AJ18="","",'Registrar expedidas_ingresos'!AJ18)</f>
        <v/>
      </c>
    </row>
    <row r="19" spans="1:36" s="2" customFormat="1" x14ac:dyDescent="0.25">
      <c r="A19" s="59" t="str">
        <f>IF('Registrar expedidas_ingresos'!J19="",IF('Registrar expedidas_ingresos'!I19="","",YEAR('Registrar expedidas_ingresos'!I19)),YEAR('Registrar expedidas_ingresos'!J19))</f>
        <v/>
      </c>
      <c r="B19" s="60" t="str">
        <f>IF('Registrar expedidas_ingresos'!B19="","",'Registrar expedidas_ingresos'!B19)</f>
        <v/>
      </c>
      <c r="C19" s="60" t="str">
        <f>IF('Registrar expedidas_ingresos'!C19="","",VLOOKUP(CONCATENATE("ACTIVIDAD",'Registrar expedidas_ingresos'!C19),'CODIGO-LITERAL'!C:D,2,FALSE))</f>
        <v/>
      </c>
      <c r="D19" s="60" t="str">
        <f>IF(OR(C19="C",C19="D"),"",IF(ISERROR(VLOOKUP(CONCATENATE(C19,'Registrar expedidas_ingresos'!D19),'CODIGO-LITERAL'!$C:$D,2,FALSE)),"",VLOOKUP(CONCATENATE(C19,'Registrar expedidas_ingresos'!D19),'CODIGO-LITERAL'!$C:$D,2,FALSE)))</f>
        <v/>
      </c>
      <c r="E19" s="60" t="str">
        <f>IF('Registrar expedidas_ingresos'!E19="","",'Registrar expedidas_ingresos'!E19)</f>
        <v/>
      </c>
      <c r="F19" s="61" t="str">
        <f>IF(ISERROR(VLOOKUP(CONCATENATE("TIPO FACTURA",'Registrar expedidas_ingresos'!F19),'CODIGO-LITERAL'!$C:$D,2,FALSE)),"",VLOOKUP(CONCATENATE("TIPO FACTURA",'Registrar expedidas_ingresos'!F19),'CODIGO-LITERAL'!$C:$D,2,FALSE))</f>
        <v/>
      </c>
      <c r="G19" s="62"/>
      <c r="H19" s="63"/>
      <c r="I19" s="64" t="str">
        <f>IF('Registrar expedidas_ingresos'!I19="","",'Registrar expedidas_ingresos'!I19)</f>
        <v/>
      </c>
      <c r="J19" s="64" t="str">
        <f>IF('Registrar expedidas_ingresos'!J19="","",'Registrar expedidas_ingresos'!J19)</f>
        <v/>
      </c>
      <c r="K19" s="60" t="str">
        <f>IF('Registrar expedidas_ingresos'!K19="","",'Registrar expedidas_ingresos'!K19)</f>
        <v/>
      </c>
      <c r="L19" s="60" t="str">
        <f>IF('Registrar expedidas_ingresos'!L19="","",'Registrar expedidas_ingresos'!L19)</f>
        <v/>
      </c>
      <c r="M19" s="60" t="str">
        <f>IF('Registrar expedidas_ingresos'!M19="","",'Registrar expedidas_ingresos'!M19)</f>
        <v/>
      </c>
      <c r="N19" s="61" t="str">
        <f>IF(OR(F19="F2",LEFT('Registrar expedidas_ingresos'!N19,2)="01"),"",IF(ISERROR(VLOOKUP(CONCATENATE("TIPO NIF",'Registrar expedidas_ingresos'!N19),'CODIGO-LITERAL'!$C:$D,2,FALSE)),"",VLOOKUP(CONCATENATE("TIPO NIF",'Registrar expedidas_ingresos'!N19),'CODIGO-LITERAL'!$C:$D,2,FALSE)))</f>
        <v/>
      </c>
      <c r="O19" s="60" t="str">
        <f>IF(OR('Registrar expedidas_ingresos'!O19="",N19="02",F19="F2"),"",'Registrar expedidas_ingresos'!O19)</f>
        <v/>
      </c>
      <c r="P19" s="60" t="str">
        <f>IF('Registrar expedidas_ingresos'!P19="","",'Registrar expedidas_ingresos'!P19)</f>
        <v/>
      </c>
      <c r="Q19" s="60" t="str">
        <f>IF(F19="F2","VENTAS A CONSUMIDOR FINAL",IF('Registrar expedidas_ingresos'!Q19="","",'Registrar expedidas_ingresos'!Q19))</f>
        <v/>
      </c>
      <c r="R19" s="61" t="str">
        <f>IF(F19="DV","02",IF(ISERROR(VLOOKUP(CONCATENATE("CLAVE OPERACION",'Registrar expedidas_ingresos'!R19),'CODIGO-LITERAL'!$C:$D,2,FALSE)),"",VLOOKUP(CONCATENATE("CLAVE OPERACION",'Registrar expedidas_ingresos'!R19),'CODIGO-LITERAL'!$C:$D,2,FALSE)))</f>
        <v/>
      </c>
      <c r="S19" s="61" t="str">
        <f>IF(R19="03","S1",
 IF(R19="08","N2",
  IF(ISERROR(VLOOKUP(CONCATENATE("CALIFICACION OPERACION",'Registrar expedidas_ingresos'!S19),'CODIGO-LITERAL'!$C:$D,2,FALSE)),"",VLOOKUP(CONCATENATE("CALIFICACION OPERACION",'Registrar expedidas_ingresos'!S19),'CODIGO-LITERAL'!$C:$D,2,FALSE))))</f>
        <v/>
      </c>
      <c r="T19" s="61" t="str">
        <f>IF(R19="03","",IF(R19="08","",IF(ISERROR(VLOOKUP(CONCATENATE("OPERACION EXENTA",'Registrar expedidas_ingresos'!T19),'CODIGO-LITERAL'!$C:$D,2,FALSE)),"",VLOOKUP(CONCATENATE("OPERACION EXENTA",'Registrar expedidas_ingresos'!T19),'CODIGO-LITERAL'!$C:$D,2,FALSE))))</f>
        <v/>
      </c>
      <c r="U19" s="60" t="str">
        <f t="shared" si="0"/>
        <v/>
      </c>
      <c r="V19" s="60" t="str">
        <f>IF('Registrar expedidas_ingresos'!V19="","",ROUND('Registrar expedidas_ingresos'!V19,2))</f>
        <v/>
      </c>
      <c r="W19" s="60" t="str">
        <f>IF(S19="S2",0,IF('Registrar expedidas_ingresos'!W19="","",'Registrar expedidas_ingresos'!W19))</f>
        <v/>
      </c>
      <c r="X19" s="60" t="str">
        <f>IF(S19="S2",0,IF('Registrar expedidas_ingresos'!X19="","",ROUND('Registrar expedidas_ingresos'!X19,2)))</f>
        <v/>
      </c>
      <c r="Y19" s="60" t="str">
        <f>IF('Registrar expedidas_ingresos'!Y19="","",'Registrar expedidas_ingresos'!Y19)</f>
        <v/>
      </c>
      <c r="Z19" s="60" t="str">
        <f>IF('Registrar expedidas_ingresos'!Z19="","",ROUND('Registrar expedidas_ingresos'!Z19,2))</f>
        <v/>
      </c>
      <c r="AA19" s="64" t="str">
        <f>IF(R19&lt;&gt;"07","",IF('Registrar expedidas_ingresos'!AA19="","",'Registrar expedidas_ingresos'!AA19))</f>
        <v/>
      </c>
      <c r="AB19" s="60" t="str">
        <f>IF(R19&lt;&gt;"07","",IF('Registrar expedidas_ingresos'!AB19="","",'Registrar expedidas_ingresos'!AB19))</f>
        <v/>
      </c>
      <c r="AC19" s="61" t="str">
        <f>IF(R19&lt;&gt;"07","",IF(ISERROR(VLOOKUP(CONCATENATE("MEDIO UTILIZADO",'Registrar expedidas_ingresos'!AC19),'CODIGO-LITERAL'!$C:$D,2,FALSE)),"",VLOOKUP(CONCATENATE("MEDIO UTILIZADO",'Registrar expedidas_ingresos'!AC19),'CODIGO-LITERAL'!$C:$D,2,FALSE)))</f>
        <v/>
      </c>
      <c r="AD19" s="60" t="str">
        <f>IF(R19&lt;&gt;"07","",IF('Registrar expedidas_ingresos'!AD19="","",'Registrar expedidas_ingresos'!AD19))</f>
        <v/>
      </c>
      <c r="AE19" s="65"/>
      <c r="AF19" s="65"/>
      <c r="AG19" s="60" t="str">
        <f>IF('Registrar expedidas_ingresos'!AG19="","",'Registrar expedidas_ingresos'!AG19)</f>
        <v/>
      </c>
      <c r="AH19" s="61" t="str">
        <f>IF(ISERROR(VLOOKUP(CONCATENATE("SITUACION",'Registrar expedidas_ingresos'!AH19),'CODIGO-LITERAL'!$C:$D,2,FALSE)),"",VLOOKUP(CONCATENATE("SITUACION",'Registrar expedidas_ingresos'!AH19),'CODIGO-LITERAL'!$C:$D,2,FALSE))</f>
        <v/>
      </c>
      <c r="AI19" s="60" t="str">
        <f>IF('Registrar expedidas_ingresos'!AI19="","",'Registrar expedidas_ingresos'!AI19)</f>
        <v/>
      </c>
      <c r="AJ19" s="60" t="str">
        <f>IF('Registrar expedidas_ingresos'!AJ19="","",'Registrar expedidas_ingresos'!AJ19)</f>
        <v/>
      </c>
    </row>
    <row r="20" spans="1:36" s="2" customFormat="1" x14ac:dyDescent="0.25">
      <c r="A20" s="59" t="str">
        <f>IF('Registrar expedidas_ingresos'!J20="",IF('Registrar expedidas_ingresos'!I20="","",YEAR('Registrar expedidas_ingresos'!I20)),YEAR('Registrar expedidas_ingresos'!J20))</f>
        <v/>
      </c>
      <c r="B20" s="60" t="str">
        <f>IF('Registrar expedidas_ingresos'!B20="","",'Registrar expedidas_ingresos'!B20)</f>
        <v/>
      </c>
      <c r="C20" s="60" t="str">
        <f>IF('Registrar expedidas_ingresos'!C20="","",VLOOKUP(CONCATENATE("ACTIVIDAD",'Registrar expedidas_ingresos'!C20),'CODIGO-LITERAL'!C:D,2,FALSE))</f>
        <v/>
      </c>
      <c r="D20" s="60" t="str">
        <f>IF(OR(C20="C",C20="D"),"",IF(ISERROR(VLOOKUP(CONCATENATE(C20,'Registrar expedidas_ingresos'!D20),'CODIGO-LITERAL'!$C:$D,2,FALSE)),"",VLOOKUP(CONCATENATE(C20,'Registrar expedidas_ingresos'!D20),'CODIGO-LITERAL'!$C:$D,2,FALSE)))</f>
        <v/>
      </c>
      <c r="E20" s="60" t="str">
        <f>IF('Registrar expedidas_ingresos'!E20="","",'Registrar expedidas_ingresos'!E20)</f>
        <v/>
      </c>
      <c r="F20" s="61" t="str">
        <f>IF(ISERROR(VLOOKUP(CONCATENATE("TIPO FACTURA",'Registrar expedidas_ingresos'!F20),'CODIGO-LITERAL'!$C:$D,2,FALSE)),"",VLOOKUP(CONCATENATE("TIPO FACTURA",'Registrar expedidas_ingresos'!F20),'CODIGO-LITERAL'!$C:$D,2,FALSE))</f>
        <v/>
      </c>
      <c r="G20" s="62"/>
      <c r="H20" s="63"/>
      <c r="I20" s="64" t="str">
        <f>IF('Registrar expedidas_ingresos'!I20="","",'Registrar expedidas_ingresos'!I20)</f>
        <v/>
      </c>
      <c r="J20" s="64" t="str">
        <f>IF('Registrar expedidas_ingresos'!J20="","",'Registrar expedidas_ingresos'!J20)</f>
        <v/>
      </c>
      <c r="K20" s="60" t="str">
        <f>IF('Registrar expedidas_ingresos'!K20="","",'Registrar expedidas_ingresos'!K20)</f>
        <v/>
      </c>
      <c r="L20" s="60" t="str">
        <f>IF('Registrar expedidas_ingresos'!L20="","",'Registrar expedidas_ingresos'!L20)</f>
        <v/>
      </c>
      <c r="M20" s="60" t="str">
        <f>IF('Registrar expedidas_ingresos'!M20="","",'Registrar expedidas_ingresos'!M20)</f>
        <v/>
      </c>
      <c r="N20" s="61" t="str">
        <f>IF(OR(F20="F2",LEFT('Registrar expedidas_ingresos'!N20,2)="01"),"",IF(ISERROR(VLOOKUP(CONCATENATE("TIPO NIF",'Registrar expedidas_ingresos'!N20),'CODIGO-LITERAL'!$C:$D,2,FALSE)),"",VLOOKUP(CONCATENATE("TIPO NIF",'Registrar expedidas_ingresos'!N20),'CODIGO-LITERAL'!$C:$D,2,FALSE)))</f>
        <v/>
      </c>
      <c r="O20" s="60" t="str">
        <f>IF(OR('Registrar expedidas_ingresos'!O20="",N20="02",F20="F2"),"",'Registrar expedidas_ingresos'!O20)</f>
        <v/>
      </c>
      <c r="P20" s="60" t="str">
        <f>IF('Registrar expedidas_ingresos'!P20="","",'Registrar expedidas_ingresos'!P20)</f>
        <v/>
      </c>
      <c r="Q20" s="60" t="str">
        <f>IF(F20="F2","VENTAS A CONSUMIDOR FINAL",IF('Registrar expedidas_ingresos'!Q20="","",'Registrar expedidas_ingresos'!Q20))</f>
        <v/>
      </c>
      <c r="R20" s="61" t="str">
        <f>IF(F20="DV","02",IF(ISERROR(VLOOKUP(CONCATENATE("CLAVE OPERACION",'Registrar expedidas_ingresos'!R20),'CODIGO-LITERAL'!$C:$D,2,FALSE)),"",VLOOKUP(CONCATENATE("CLAVE OPERACION",'Registrar expedidas_ingresos'!R20),'CODIGO-LITERAL'!$C:$D,2,FALSE)))</f>
        <v/>
      </c>
      <c r="S20" s="61" t="str">
        <f>IF(R20="03","S1",
 IF(R20="08","N2",
  IF(ISERROR(VLOOKUP(CONCATENATE("CALIFICACION OPERACION",'Registrar expedidas_ingresos'!S20),'CODIGO-LITERAL'!$C:$D,2,FALSE)),"",VLOOKUP(CONCATENATE("CALIFICACION OPERACION",'Registrar expedidas_ingresos'!S20),'CODIGO-LITERAL'!$C:$D,2,FALSE))))</f>
        <v/>
      </c>
      <c r="T20" s="61" t="str">
        <f>IF(R20="03","",IF(R20="08","",IF(ISERROR(VLOOKUP(CONCATENATE("OPERACION EXENTA",'Registrar expedidas_ingresos'!T20),'CODIGO-LITERAL'!$C:$D,2,FALSE)),"",VLOOKUP(CONCATENATE("OPERACION EXENTA",'Registrar expedidas_ingresos'!T20),'CODIGO-LITERAL'!$C:$D,2,FALSE))))</f>
        <v/>
      </c>
      <c r="U20" s="60" t="str">
        <f t="shared" si="0"/>
        <v/>
      </c>
      <c r="V20" s="60" t="str">
        <f>IF('Registrar expedidas_ingresos'!V20="","",ROUND('Registrar expedidas_ingresos'!V20,2))</f>
        <v/>
      </c>
      <c r="W20" s="60" t="str">
        <f>IF(S20="S2",0,IF('Registrar expedidas_ingresos'!W20="","",'Registrar expedidas_ingresos'!W20))</f>
        <v/>
      </c>
      <c r="X20" s="60" t="str">
        <f>IF(S20="S2",0,IF('Registrar expedidas_ingresos'!X20="","",ROUND('Registrar expedidas_ingresos'!X20,2)))</f>
        <v/>
      </c>
      <c r="Y20" s="60" t="str">
        <f>IF('Registrar expedidas_ingresos'!Y20="","",'Registrar expedidas_ingresos'!Y20)</f>
        <v/>
      </c>
      <c r="Z20" s="60" t="str">
        <f>IF('Registrar expedidas_ingresos'!Z20="","",ROUND('Registrar expedidas_ingresos'!Z20,2))</f>
        <v/>
      </c>
      <c r="AA20" s="64" t="str">
        <f>IF(R20&lt;&gt;"07","",IF('Registrar expedidas_ingresos'!AA20="","",'Registrar expedidas_ingresos'!AA20))</f>
        <v/>
      </c>
      <c r="AB20" s="60" t="str">
        <f>IF(R20&lt;&gt;"07","",IF('Registrar expedidas_ingresos'!AB20="","",'Registrar expedidas_ingresos'!AB20))</f>
        <v/>
      </c>
      <c r="AC20" s="61" t="str">
        <f>IF(R20&lt;&gt;"07","",IF(ISERROR(VLOOKUP(CONCATENATE("MEDIO UTILIZADO",'Registrar expedidas_ingresos'!AC20),'CODIGO-LITERAL'!$C:$D,2,FALSE)),"",VLOOKUP(CONCATENATE("MEDIO UTILIZADO",'Registrar expedidas_ingresos'!AC20),'CODIGO-LITERAL'!$C:$D,2,FALSE)))</f>
        <v/>
      </c>
      <c r="AD20" s="60" t="str">
        <f>IF(R20&lt;&gt;"07","",IF('Registrar expedidas_ingresos'!AD20="","",'Registrar expedidas_ingresos'!AD20))</f>
        <v/>
      </c>
      <c r="AE20" s="65"/>
      <c r="AF20" s="65"/>
      <c r="AG20" s="60" t="str">
        <f>IF('Registrar expedidas_ingresos'!AG20="","",'Registrar expedidas_ingresos'!AG20)</f>
        <v/>
      </c>
      <c r="AH20" s="61" t="str">
        <f>IF(ISERROR(VLOOKUP(CONCATENATE("SITUACION",'Registrar expedidas_ingresos'!AH20),'CODIGO-LITERAL'!$C:$D,2,FALSE)),"",VLOOKUP(CONCATENATE("SITUACION",'Registrar expedidas_ingresos'!AH20),'CODIGO-LITERAL'!$C:$D,2,FALSE))</f>
        <v/>
      </c>
      <c r="AI20" s="60" t="str">
        <f>IF('Registrar expedidas_ingresos'!AI20="","",'Registrar expedidas_ingresos'!AI20)</f>
        <v/>
      </c>
      <c r="AJ20" s="60" t="str">
        <f>IF('Registrar expedidas_ingresos'!AJ20="","",'Registrar expedidas_ingresos'!AJ20)</f>
        <v/>
      </c>
    </row>
    <row r="21" spans="1:36" s="2" customFormat="1" x14ac:dyDescent="0.25">
      <c r="A21" s="59" t="str">
        <f>IF('Registrar expedidas_ingresos'!J21="",IF('Registrar expedidas_ingresos'!I21="","",YEAR('Registrar expedidas_ingresos'!I21)),YEAR('Registrar expedidas_ingresos'!J21))</f>
        <v/>
      </c>
      <c r="B21" s="60" t="str">
        <f>IF('Registrar expedidas_ingresos'!B21="","",'Registrar expedidas_ingresos'!B21)</f>
        <v/>
      </c>
      <c r="C21" s="60" t="str">
        <f>IF('Registrar expedidas_ingresos'!C21="","",VLOOKUP(CONCATENATE("ACTIVIDAD",'Registrar expedidas_ingresos'!C21),'CODIGO-LITERAL'!C:D,2,FALSE))</f>
        <v/>
      </c>
      <c r="D21" s="60" t="str">
        <f>IF(OR(C21="C",C21="D"),"",IF(ISERROR(VLOOKUP(CONCATENATE(C21,'Registrar expedidas_ingresos'!D21),'CODIGO-LITERAL'!$C:$D,2,FALSE)),"",VLOOKUP(CONCATENATE(C21,'Registrar expedidas_ingresos'!D21),'CODIGO-LITERAL'!$C:$D,2,FALSE)))</f>
        <v/>
      </c>
      <c r="E21" s="60" t="str">
        <f>IF('Registrar expedidas_ingresos'!E21="","",'Registrar expedidas_ingresos'!E21)</f>
        <v/>
      </c>
      <c r="F21" s="61" t="str">
        <f>IF(ISERROR(VLOOKUP(CONCATENATE("TIPO FACTURA",'Registrar expedidas_ingresos'!F21),'CODIGO-LITERAL'!$C:$D,2,FALSE)),"",VLOOKUP(CONCATENATE("TIPO FACTURA",'Registrar expedidas_ingresos'!F21),'CODIGO-LITERAL'!$C:$D,2,FALSE))</f>
        <v/>
      </c>
      <c r="G21" s="62"/>
      <c r="H21" s="63"/>
      <c r="I21" s="64" t="str">
        <f>IF('Registrar expedidas_ingresos'!I21="","",'Registrar expedidas_ingresos'!I21)</f>
        <v/>
      </c>
      <c r="J21" s="64" t="str">
        <f>IF('Registrar expedidas_ingresos'!J21="","",'Registrar expedidas_ingresos'!J21)</f>
        <v/>
      </c>
      <c r="K21" s="60" t="str">
        <f>IF('Registrar expedidas_ingresos'!K21="","",'Registrar expedidas_ingresos'!K21)</f>
        <v/>
      </c>
      <c r="L21" s="60" t="str">
        <f>IF('Registrar expedidas_ingresos'!L21="","",'Registrar expedidas_ingresos'!L21)</f>
        <v/>
      </c>
      <c r="M21" s="60" t="str">
        <f>IF('Registrar expedidas_ingresos'!M21="","",'Registrar expedidas_ingresos'!M21)</f>
        <v/>
      </c>
      <c r="N21" s="61" t="str">
        <f>IF(OR(F21="F2",LEFT('Registrar expedidas_ingresos'!N21,2)="01"),"",IF(ISERROR(VLOOKUP(CONCATENATE("TIPO NIF",'Registrar expedidas_ingresos'!N21),'CODIGO-LITERAL'!$C:$D,2,FALSE)),"",VLOOKUP(CONCATENATE("TIPO NIF",'Registrar expedidas_ingresos'!N21),'CODIGO-LITERAL'!$C:$D,2,FALSE)))</f>
        <v/>
      </c>
      <c r="O21" s="60" t="str">
        <f>IF(OR('Registrar expedidas_ingresos'!O21="",N21="02",F21="F2"),"",'Registrar expedidas_ingresos'!O21)</f>
        <v/>
      </c>
      <c r="P21" s="60" t="str">
        <f>IF('Registrar expedidas_ingresos'!P21="","",'Registrar expedidas_ingresos'!P21)</f>
        <v/>
      </c>
      <c r="Q21" s="60" t="str">
        <f>IF(F21="F2","VENTAS A CONSUMIDOR FINAL",IF('Registrar expedidas_ingresos'!Q21="","",'Registrar expedidas_ingresos'!Q21))</f>
        <v/>
      </c>
      <c r="R21" s="61" t="str">
        <f>IF(F21="DV","02",IF(ISERROR(VLOOKUP(CONCATENATE("CLAVE OPERACION",'Registrar expedidas_ingresos'!R21),'CODIGO-LITERAL'!$C:$D,2,FALSE)),"",VLOOKUP(CONCATENATE("CLAVE OPERACION",'Registrar expedidas_ingresos'!R21),'CODIGO-LITERAL'!$C:$D,2,FALSE)))</f>
        <v/>
      </c>
      <c r="S21" s="61" t="str">
        <f>IF(R21="03","S1",
 IF(R21="08","N2",
  IF(ISERROR(VLOOKUP(CONCATENATE("CALIFICACION OPERACION",'Registrar expedidas_ingresos'!S21),'CODIGO-LITERAL'!$C:$D,2,FALSE)),"",VLOOKUP(CONCATENATE("CALIFICACION OPERACION",'Registrar expedidas_ingresos'!S21),'CODIGO-LITERAL'!$C:$D,2,FALSE))))</f>
        <v/>
      </c>
      <c r="T21" s="61" t="str">
        <f>IF(R21="03","",IF(R21="08","",IF(ISERROR(VLOOKUP(CONCATENATE("OPERACION EXENTA",'Registrar expedidas_ingresos'!T21),'CODIGO-LITERAL'!$C:$D,2,FALSE)),"",VLOOKUP(CONCATENATE("OPERACION EXENTA",'Registrar expedidas_ingresos'!T21),'CODIGO-LITERAL'!$C:$D,2,FALSE))))</f>
        <v/>
      </c>
      <c r="U21" s="60" t="str">
        <f t="shared" si="0"/>
        <v/>
      </c>
      <c r="V21" s="60" t="str">
        <f>IF('Registrar expedidas_ingresos'!V21="","",ROUND('Registrar expedidas_ingresos'!V21,2))</f>
        <v/>
      </c>
      <c r="W21" s="60" t="str">
        <f>IF(S21="S2",0,IF('Registrar expedidas_ingresos'!W21="","",'Registrar expedidas_ingresos'!W21))</f>
        <v/>
      </c>
      <c r="X21" s="60" t="str">
        <f>IF(S21="S2",0,IF('Registrar expedidas_ingresos'!X21="","",ROUND('Registrar expedidas_ingresos'!X21,2)))</f>
        <v/>
      </c>
      <c r="Y21" s="60" t="str">
        <f>IF('Registrar expedidas_ingresos'!Y21="","",'Registrar expedidas_ingresos'!Y21)</f>
        <v/>
      </c>
      <c r="Z21" s="60" t="str">
        <f>IF('Registrar expedidas_ingresos'!Z21="","",ROUND('Registrar expedidas_ingresos'!Z21,2))</f>
        <v/>
      </c>
      <c r="AA21" s="64" t="str">
        <f>IF(R21&lt;&gt;"07","",IF('Registrar expedidas_ingresos'!AA21="","",'Registrar expedidas_ingresos'!AA21))</f>
        <v/>
      </c>
      <c r="AB21" s="60" t="str">
        <f>IF(R21&lt;&gt;"07","",IF('Registrar expedidas_ingresos'!AB21="","",'Registrar expedidas_ingresos'!AB21))</f>
        <v/>
      </c>
      <c r="AC21" s="61" t="str">
        <f>IF(R21&lt;&gt;"07","",IF(ISERROR(VLOOKUP(CONCATENATE("MEDIO UTILIZADO",'Registrar expedidas_ingresos'!AC21),'CODIGO-LITERAL'!$C:$D,2,FALSE)),"",VLOOKUP(CONCATENATE("MEDIO UTILIZADO",'Registrar expedidas_ingresos'!AC21),'CODIGO-LITERAL'!$C:$D,2,FALSE)))</f>
        <v/>
      </c>
      <c r="AD21" s="60" t="str">
        <f>IF(R21&lt;&gt;"07","",IF('Registrar expedidas_ingresos'!AD21="","",'Registrar expedidas_ingresos'!AD21))</f>
        <v/>
      </c>
      <c r="AE21" s="65"/>
      <c r="AF21" s="65"/>
      <c r="AG21" s="60" t="str">
        <f>IF('Registrar expedidas_ingresos'!AG21="","",'Registrar expedidas_ingresos'!AG21)</f>
        <v/>
      </c>
      <c r="AH21" s="61" t="str">
        <f>IF(ISERROR(VLOOKUP(CONCATENATE("SITUACION",'Registrar expedidas_ingresos'!AH21),'CODIGO-LITERAL'!$C:$D,2,FALSE)),"",VLOOKUP(CONCATENATE("SITUACION",'Registrar expedidas_ingresos'!AH21),'CODIGO-LITERAL'!$C:$D,2,FALSE))</f>
        <v/>
      </c>
      <c r="AI21" s="60" t="str">
        <f>IF('Registrar expedidas_ingresos'!AI21="","",'Registrar expedidas_ingresos'!AI21)</f>
        <v/>
      </c>
      <c r="AJ21" s="60" t="str">
        <f>IF('Registrar expedidas_ingresos'!AJ21="","",'Registrar expedidas_ingresos'!AJ21)</f>
        <v/>
      </c>
    </row>
    <row r="22" spans="1:36" s="2" customFormat="1" x14ac:dyDescent="0.25">
      <c r="A22" s="59" t="str">
        <f>IF('Registrar expedidas_ingresos'!J22="",IF('Registrar expedidas_ingresos'!I22="","",YEAR('Registrar expedidas_ingresos'!I22)),YEAR('Registrar expedidas_ingresos'!J22))</f>
        <v/>
      </c>
      <c r="B22" s="60" t="str">
        <f>IF('Registrar expedidas_ingresos'!B22="","",'Registrar expedidas_ingresos'!B22)</f>
        <v/>
      </c>
      <c r="C22" s="60" t="str">
        <f>IF('Registrar expedidas_ingresos'!C22="","",VLOOKUP(CONCATENATE("ACTIVIDAD",'Registrar expedidas_ingresos'!C22),'CODIGO-LITERAL'!C:D,2,FALSE))</f>
        <v/>
      </c>
      <c r="D22" s="60" t="str">
        <f>IF(OR(C22="C",C22="D"),"",IF(ISERROR(VLOOKUP(CONCATENATE(C22,'Registrar expedidas_ingresos'!D22),'CODIGO-LITERAL'!$C:$D,2,FALSE)),"",VLOOKUP(CONCATENATE(C22,'Registrar expedidas_ingresos'!D22),'CODIGO-LITERAL'!$C:$D,2,FALSE)))</f>
        <v/>
      </c>
      <c r="E22" s="60" t="str">
        <f>IF('Registrar expedidas_ingresos'!E22="","",'Registrar expedidas_ingresos'!E22)</f>
        <v/>
      </c>
      <c r="F22" s="61" t="str">
        <f>IF(ISERROR(VLOOKUP(CONCATENATE("TIPO FACTURA",'Registrar expedidas_ingresos'!F22),'CODIGO-LITERAL'!$C:$D,2,FALSE)),"",VLOOKUP(CONCATENATE("TIPO FACTURA",'Registrar expedidas_ingresos'!F22),'CODIGO-LITERAL'!$C:$D,2,FALSE))</f>
        <v/>
      </c>
      <c r="G22" s="62"/>
      <c r="H22" s="63"/>
      <c r="I22" s="64" t="str">
        <f>IF('Registrar expedidas_ingresos'!I22="","",'Registrar expedidas_ingresos'!I22)</f>
        <v/>
      </c>
      <c r="J22" s="64" t="str">
        <f>IF('Registrar expedidas_ingresos'!J22="","",'Registrar expedidas_ingresos'!J22)</f>
        <v/>
      </c>
      <c r="K22" s="60" t="str">
        <f>IF('Registrar expedidas_ingresos'!K22="","",'Registrar expedidas_ingresos'!K22)</f>
        <v/>
      </c>
      <c r="L22" s="60" t="str">
        <f>IF('Registrar expedidas_ingresos'!L22="","",'Registrar expedidas_ingresos'!L22)</f>
        <v/>
      </c>
      <c r="M22" s="60" t="str">
        <f>IF('Registrar expedidas_ingresos'!M22="","",'Registrar expedidas_ingresos'!M22)</f>
        <v/>
      </c>
      <c r="N22" s="61" t="str">
        <f>IF(OR(F22="F2",LEFT('Registrar expedidas_ingresos'!N22,2)="01"),"",IF(ISERROR(VLOOKUP(CONCATENATE("TIPO NIF",'Registrar expedidas_ingresos'!N22),'CODIGO-LITERAL'!$C:$D,2,FALSE)),"",VLOOKUP(CONCATENATE("TIPO NIF",'Registrar expedidas_ingresos'!N22),'CODIGO-LITERAL'!$C:$D,2,FALSE)))</f>
        <v/>
      </c>
      <c r="O22" s="60" t="str">
        <f>IF(OR('Registrar expedidas_ingresos'!O22="",N22="02",F22="F2"),"",'Registrar expedidas_ingresos'!O22)</f>
        <v/>
      </c>
      <c r="P22" s="60" t="str">
        <f>IF('Registrar expedidas_ingresos'!P22="","",'Registrar expedidas_ingresos'!P22)</f>
        <v/>
      </c>
      <c r="Q22" s="60" t="str">
        <f>IF(F22="F2","VENTAS A CONSUMIDOR FINAL",IF('Registrar expedidas_ingresos'!Q22="","",'Registrar expedidas_ingresos'!Q22))</f>
        <v/>
      </c>
      <c r="R22" s="61" t="str">
        <f>IF(F22="DV","02",IF(ISERROR(VLOOKUP(CONCATENATE("CLAVE OPERACION",'Registrar expedidas_ingresos'!R22),'CODIGO-LITERAL'!$C:$D,2,FALSE)),"",VLOOKUP(CONCATENATE("CLAVE OPERACION",'Registrar expedidas_ingresos'!R22),'CODIGO-LITERAL'!$C:$D,2,FALSE)))</f>
        <v/>
      </c>
      <c r="S22" s="61" t="str">
        <f>IF(R22="03","S1",
 IF(R22="08","N2",
  IF(ISERROR(VLOOKUP(CONCATENATE("CALIFICACION OPERACION",'Registrar expedidas_ingresos'!S22),'CODIGO-LITERAL'!$C:$D,2,FALSE)),"",VLOOKUP(CONCATENATE("CALIFICACION OPERACION",'Registrar expedidas_ingresos'!S22),'CODIGO-LITERAL'!$C:$D,2,FALSE))))</f>
        <v/>
      </c>
      <c r="T22" s="61" t="str">
        <f>IF(R22="03","",IF(R22="08","",IF(ISERROR(VLOOKUP(CONCATENATE("OPERACION EXENTA",'Registrar expedidas_ingresos'!T22),'CODIGO-LITERAL'!$C:$D,2,FALSE)),"",VLOOKUP(CONCATENATE("OPERACION EXENTA",'Registrar expedidas_ingresos'!T22),'CODIGO-LITERAL'!$C:$D,2,FALSE))))</f>
        <v/>
      </c>
      <c r="U22" s="60" t="str">
        <f t="shared" si="0"/>
        <v/>
      </c>
      <c r="V22" s="60" t="str">
        <f>IF('Registrar expedidas_ingresos'!V22="","",ROUND('Registrar expedidas_ingresos'!V22,2))</f>
        <v/>
      </c>
      <c r="W22" s="60" t="str">
        <f>IF(S22="S2",0,IF('Registrar expedidas_ingresos'!W22="","",'Registrar expedidas_ingresos'!W22))</f>
        <v/>
      </c>
      <c r="X22" s="60" t="str">
        <f>IF(S22="S2",0,IF('Registrar expedidas_ingresos'!X22="","",ROUND('Registrar expedidas_ingresos'!X22,2)))</f>
        <v/>
      </c>
      <c r="Y22" s="60" t="str">
        <f>IF('Registrar expedidas_ingresos'!Y22="","",'Registrar expedidas_ingresos'!Y22)</f>
        <v/>
      </c>
      <c r="Z22" s="60" t="str">
        <f>IF('Registrar expedidas_ingresos'!Z22="","",ROUND('Registrar expedidas_ingresos'!Z22,2))</f>
        <v/>
      </c>
      <c r="AA22" s="64" t="str">
        <f>IF(R22&lt;&gt;"07","",IF('Registrar expedidas_ingresos'!AA22="","",'Registrar expedidas_ingresos'!AA22))</f>
        <v/>
      </c>
      <c r="AB22" s="60" t="str">
        <f>IF(R22&lt;&gt;"07","",IF('Registrar expedidas_ingresos'!AB22="","",'Registrar expedidas_ingresos'!AB22))</f>
        <v/>
      </c>
      <c r="AC22" s="61" t="str">
        <f>IF(R22&lt;&gt;"07","",IF(ISERROR(VLOOKUP(CONCATENATE("MEDIO UTILIZADO",'Registrar expedidas_ingresos'!AC22),'CODIGO-LITERAL'!$C:$D,2,FALSE)),"",VLOOKUP(CONCATENATE("MEDIO UTILIZADO",'Registrar expedidas_ingresos'!AC22),'CODIGO-LITERAL'!$C:$D,2,FALSE)))</f>
        <v/>
      </c>
      <c r="AD22" s="60" t="str">
        <f>IF(R22&lt;&gt;"07","",IF('Registrar expedidas_ingresos'!AD22="","",'Registrar expedidas_ingresos'!AD22))</f>
        <v/>
      </c>
      <c r="AE22" s="65"/>
      <c r="AF22" s="65"/>
      <c r="AG22" s="60" t="str">
        <f>IF('Registrar expedidas_ingresos'!AG22="","",'Registrar expedidas_ingresos'!AG22)</f>
        <v/>
      </c>
      <c r="AH22" s="61" t="str">
        <f>IF(ISERROR(VLOOKUP(CONCATENATE("SITUACION",'Registrar expedidas_ingresos'!AH22),'CODIGO-LITERAL'!$C:$D,2,FALSE)),"",VLOOKUP(CONCATENATE("SITUACION",'Registrar expedidas_ingresos'!AH22),'CODIGO-LITERAL'!$C:$D,2,FALSE))</f>
        <v/>
      </c>
      <c r="AI22" s="60" t="str">
        <f>IF('Registrar expedidas_ingresos'!AI22="","",'Registrar expedidas_ingresos'!AI22)</f>
        <v/>
      </c>
      <c r="AJ22" s="60" t="str">
        <f>IF('Registrar expedidas_ingresos'!AJ22="","",'Registrar expedidas_ingresos'!AJ22)</f>
        <v/>
      </c>
    </row>
    <row r="23" spans="1:36" s="2" customFormat="1" x14ac:dyDescent="0.25">
      <c r="A23" s="59" t="str">
        <f>IF('Registrar expedidas_ingresos'!J23="",IF('Registrar expedidas_ingresos'!I23="","",YEAR('Registrar expedidas_ingresos'!I23)),YEAR('Registrar expedidas_ingresos'!J23))</f>
        <v/>
      </c>
      <c r="B23" s="60" t="str">
        <f>IF('Registrar expedidas_ingresos'!B23="","",'Registrar expedidas_ingresos'!B23)</f>
        <v/>
      </c>
      <c r="C23" s="60" t="str">
        <f>IF('Registrar expedidas_ingresos'!C23="","",VLOOKUP(CONCATENATE("ACTIVIDAD",'Registrar expedidas_ingresos'!C23),'CODIGO-LITERAL'!C:D,2,FALSE))</f>
        <v/>
      </c>
      <c r="D23" s="60" t="str">
        <f>IF(OR(C23="C",C23="D"),"",IF(ISERROR(VLOOKUP(CONCATENATE(C23,'Registrar expedidas_ingresos'!D23),'CODIGO-LITERAL'!$C:$D,2,FALSE)),"",VLOOKUP(CONCATENATE(C23,'Registrar expedidas_ingresos'!D23),'CODIGO-LITERAL'!$C:$D,2,FALSE)))</f>
        <v/>
      </c>
      <c r="E23" s="60" t="str">
        <f>IF('Registrar expedidas_ingresos'!E23="","",'Registrar expedidas_ingresos'!E23)</f>
        <v/>
      </c>
      <c r="F23" s="61" t="str">
        <f>IF(ISERROR(VLOOKUP(CONCATENATE("TIPO FACTURA",'Registrar expedidas_ingresos'!F23),'CODIGO-LITERAL'!$C:$D,2,FALSE)),"",VLOOKUP(CONCATENATE("TIPO FACTURA",'Registrar expedidas_ingresos'!F23),'CODIGO-LITERAL'!$C:$D,2,FALSE))</f>
        <v/>
      </c>
      <c r="G23" s="62"/>
      <c r="H23" s="63"/>
      <c r="I23" s="64" t="str">
        <f>IF('Registrar expedidas_ingresos'!I23="","",'Registrar expedidas_ingresos'!I23)</f>
        <v/>
      </c>
      <c r="J23" s="64" t="str">
        <f>IF('Registrar expedidas_ingresos'!J23="","",'Registrar expedidas_ingresos'!J23)</f>
        <v/>
      </c>
      <c r="K23" s="60" t="str">
        <f>IF('Registrar expedidas_ingresos'!K23="","",'Registrar expedidas_ingresos'!K23)</f>
        <v/>
      </c>
      <c r="L23" s="60" t="str">
        <f>IF('Registrar expedidas_ingresos'!L23="","",'Registrar expedidas_ingresos'!L23)</f>
        <v/>
      </c>
      <c r="M23" s="60" t="str">
        <f>IF('Registrar expedidas_ingresos'!M23="","",'Registrar expedidas_ingresos'!M23)</f>
        <v/>
      </c>
      <c r="N23" s="61" t="str">
        <f>IF(OR(F23="F2",LEFT('Registrar expedidas_ingresos'!N23,2)="01"),"",IF(ISERROR(VLOOKUP(CONCATENATE("TIPO NIF",'Registrar expedidas_ingresos'!N23),'CODIGO-LITERAL'!$C:$D,2,FALSE)),"",VLOOKUP(CONCATENATE("TIPO NIF",'Registrar expedidas_ingresos'!N23),'CODIGO-LITERAL'!$C:$D,2,FALSE)))</f>
        <v/>
      </c>
      <c r="O23" s="60" t="str">
        <f>IF(OR('Registrar expedidas_ingresos'!O23="",N23="02",F23="F2"),"",'Registrar expedidas_ingresos'!O23)</f>
        <v/>
      </c>
      <c r="P23" s="60" t="str">
        <f>IF('Registrar expedidas_ingresos'!P23="","",'Registrar expedidas_ingresos'!P23)</f>
        <v/>
      </c>
      <c r="Q23" s="60" t="str">
        <f>IF(F23="F2","VENTAS A CONSUMIDOR FINAL",IF('Registrar expedidas_ingresos'!Q23="","",'Registrar expedidas_ingresos'!Q23))</f>
        <v/>
      </c>
      <c r="R23" s="61" t="str">
        <f>IF(F23="DV","02",IF(ISERROR(VLOOKUP(CONCATENATE("CLAVE OPERACION",'Registrar expedidas_ingresos'!R23),'CODIGO-LITERAL'!$C:$D,2,FALSE)),"",VLOOKUP(CONCATENATE("CLAVE OPERACION",'Registrar expedidas_ingresos'!R23),'CODIGO-LITERAL'!$C:$D,2,FALSE)))</f>
        <v/>
      </c>
      <c r="S23" s="61" t="str">
        <f>IF(R23="03","S1",
 IF(R23="08","N2",
  IF(ISERROR(VLOOKUP(CONCATENATE("CALIFICACION OPERACION",'Registrar expedidas_ingresos'!S23),'CODIGO-LITERAL'!$C:$D,2,FALSE)),"",VLOOKUP(CONCATENATE("CALIFICACION OPERACION",'Registrar expedidas_ingresos'!S23),'CODIGO-LITERAL'!$C:$D,2,FALSE))))</f>
        <v/>
      </c>
      <c r="T23" s="61" t="str">
        <f>IF(R23="03","",IF(R23="08","",IF(ISERROR(VLOOKUP(CONCATENATE("OPERACION EXENTA",'Registrar expedidas_ingresos'!T23),'CODIGO-LITERAL'!$C:$D,2,FALSE)),"",VLOOKUP(CONCATENATE("OPERACION EXENTA",'Registrar expedidas_ingresos'!T23),'CODIGO-LITERAL'!$C:$D,2,FALSE))))</f>
        <v/>
      </c>
      <c r="U23" s="60" t="str">
        <f t="shared" si="0"/>
        <v/>
      </c>
      <c r="V23" s="60" t="str">
        <f>IF('Registrar expedidas_ingresos'!V23="","",ROUND('Registrar expedidas_ingresos'!V23,2))</f>
        <v/>
      </c>
      <c r="W23" s="60" t="str">
        <f>IF(S23="S2",0,IF('Registrar expedidas_ingresos'!W23="","",'Registrar expedidas_ingresos'!W23))</f>
        <v/>
      </c>
      <c r="X23" s="60" t="str">
        <f>IF(S23="S2",0,IF('Registrar expedidas_ingresos'!X23="","",ROUND('Registrar expedidas_ingresos'!X23,2)))</f>
        <v/>
      </c>
      <c r="Y23" s="60" t="str">
        <f>IF('Registrar expedidas_ingresos'!Y23="","",'Registrar expedidas_ingresos'!Y23)</f>
        <v/>
      </c>
      <c r="Z23" s="60" t="str">
        <f>IF('Registrar expedidas_ingresos'!Z23="","",ROUND('Registrar expedidas_ingresos'!Z23,2))</f>
        <v/>
      </c>
      <c r="AA23" s="64" t="str">
        <f>IF(R23&lt;&gt;"07","",IF('Registrar expedidas_ingresos'!AA23="","",'Registrar expedidas_ingresos'!AA23))</f>
        <v/>
      </c>
      <c r="AB23" s="60" t="str">
        <f>IF(R23&lt;&gt;"07","",IF('Registrar expedidas_ingresos'!AB23="","",'Registrar expedidas_ingresos'!AB23))</f>
        <v/>
      </c>
      <c r="AC23" s="61" t="str">
        <f>IF(R23&lt;&gt;"07","",IF(ISERROR(VLOOKUP(CONCATENATE("MEDIO UTILIZADO",'Registrar expedidas_ingresos'!AC23),'CODIGO-LITERAL'!$C:$D,2,FALSE)),"",VLOOKUP(CONCATENATE("MEDIO UTILIZADO",'Registrar expedidas_ingresos'!AC23),'CODIGO-LITERAL'!$C:$D,2,FALSE)))</f>
        <v/>
      </c>
      <c r="AD23" s="60" t="str">
        <f>IF(R23&lt;&gt;"07","",IF('Registrar expedidas_ingresos'!AD23="","",'Registrar expedidas_ingresos'!AD23))</f>
        <v/>
      </c>
      <c r="AE23" s="65"/>
      <c r="AF23" s="65"/>
      <c r="AG23" s="60" t="str">
        <f>IF('Registrar expedidas_ingresos'!AG23="","",'Registrar expedidas_ingresos'!AG23)</f>
        <v/>
      </c>
      <c r="AH23" s="61" t="str">
        <f>IF(ISERROR(VLOOKUP(CONCATENATE("SITUACION",'Registrar expedidas_ingresos'!AH23),'CODIGO-LITERAL'!$C:$D,2,FALSE)),"",VLOOKUP(CONCATENATE("SITUACION",'Registrar expedidas_ingresos'!AH23),'CODIGO-LITERAL'!$C:$D,2,FALSE))</f>
        <v/>
      </c>
      <c r="AI23" s="60" t="str">
        <f>IF('Registrar expedidas_ingresos'!AI23="","",'Registrar expedidas_ingresos'!AI23)</f>
        <v/>
      </c>
      <c r="AJ23" s="60" t="str">
        <f>IF('Registrar expedidas_ingresos'!AJ23="","",'Registrar expedidas_ingresos'!AJ23)</f>
        <v/>
      </c>
    </row>
    <row r="24" spans="1:36" s="2" customFormat="1" x14ac:dyDescent="0.25">
      <c r="A24" s="59" t="str">
        <f>IF('Registrar expedidas_ingresos'!J24="",IF('Registrar expedidas_ingresos'!I24="","",YEAR('Registrar expedidas_ingresos'!I24)),YEAR('Registrar expedidas_ingresos'!J24))</f>
        <v/>
      </c>
      <c r="B24" s="60" t="str">
        <f>IF('Registrar expedidas_ingresos'!B24="","",'Registrar expedidas_ingresos'!B24)</f>
        <v/>
      </c>
      <c r="C24" s="60" t="str">
        <f>IF('Registrar expedidas_ingresos'!C24="","",VLOOKUP(CONCATENATE("ACTIVIDAD",'Registrar expedidas_ingresos'!C24),'CODIGO-LITERAL'!C:D,2,FALSE))</f>
        <v/>
      </c>
      <c r="D24" s="60" t="str">
        <f>IF(OR(C24="C",C24="D"),"",IF(ISERROR(VLOOKUP(CONCATENATE(C24,'Registrar expedidas_ingresos'!D24),'CODIGO-LITERAL'!$C:$D,2,FALSE)),"",VLOOKUP(CONCATENATE(C24,'Registrar expedidas_ingresos'!D24),'CODIGO-LITERAL'!$C:$D,2,FALSE)))</f>
        <v/>
      </c>
      <c r="E24" s="60" t="str">
        <f>IF('Registrar expedidas_ingresos'!E24="","",'Registrar expedidas_ingresos'!E24)</f>
        <v/>
      </c>
      <c r="F24" s="61" t="str">
        <f>IF(ISERROR(VLOOKUP(CONCATENATE("TIPO FACTURA",'Registrar expedidas_ingresos'!F24),'CODIGO-LITERAL'!$C:$D,2,FALSE)),"",VLOOKUP(CONCATENATE("TIPO FACTURA",'Registrar expedidas_ingresos'!F24),'CODIGO-LITERAL'!$C:$D,2,FALSE))</f>
        <v/>
      </c>
      <c r="G24" s="62"/>
      <c r="H24" s="63"/>
      <c r="I24" s="64" t="str">
        <f>IF('Registrar expedidas_ingresos'!I24="","",'Registrar expedidas_ingresos'!I24)</f>
        <v/>
      </c>
      <c r="J24" s="64" t="str">
        <f>IF('Registrar expedidas_ingresos'!J24="","",'Registrar expedidas_ingresos'!J24)</f>
        <v/>
      </c>
      <c r="K24" s="60" t="str">
        <f>IF('Registrar expedidas_ingresos'!K24="","",'Registrar expedidas_ingresos'!K24)</f>
        <v/>
      </c>
      <c r="L24" s="60" t="str">
        <f>IF('Registrar expedidas_ingresos'!L24="","",'Registrar expedidas_ingresos'!L24)</f>
        <v/>
      </c>
      <c r="M24" s="60" t="str">
        <f>IF('Registrar expedidas_ingresos'!M24="","",'Registrar expedidas_ingresos'!M24)</f>
        <v/>
      </c>
      <c r="N24" s="61" t="str">
        <f>IF(OR(F24="F2",LEFT('Registrar expedidas_ingresos'!N24,2)="01"),"",IF(ISERROR(VLOOKUP(CONCATENATE("TIPO NIF",'Registrar expedidas_ingresos'!N24),'CODIGO-LITERAL'!$C:$D,2,FALSE)),"",VLOOKUP(CONCATENATE("TIPO NIF",'Registrar expedidas_ingresos'!N24),'CODIGO-LITERAL'!$C:$D,2,FALSE)))</f>
        <v/>
      </c>
      <c r="O24" s="60" t="str">
        <f>IF(OR('Registrar expedidas_ingresos'!O24="",N24="02",F24="F2"),"",'Registrar expedidas_ingresos'!O24)</f>
        <v/>
      </c>
      <c r="P24" s="60" t="str">
        <f>IF('Registrar expedidas_ingresos'!P24="","",'Registrar expedidas_ingresos'!P24)</f>
        <v/>
      </c>
      <c r="Q24" s="60" t="str">
        <f>IF(F24="F2","VENTAS A CONSUMIDOR FINAL",IF('Registrar expedidas_ingresos'!Q24="","",'Registrar expedidas_ingresos'!Q24))</f>
        <v/>
      </c>
      <c r="R24" s="61" t="str">
        <f>IF(F24="DV","02",IF(ISERROR(VLOOKUP(CONCATENATE("CLAVE OPERACION",'Registrar expedidas_ingresos'!R24),'CODIGO-LITERAL'!$C:$D,2,FALSE)),"",VLOOKUP(CONCATENATE("CLAVE OPERACION",'Registrar expedidas_ingresos'!R24),'CODIGO-LITERAL'!$C:$D,2,FALSE)))</f>
        <v/>
      </c>
      <c r="S24" s="61" t="str">
        <f>IF(R24="03","S1",
 IF(R24="08","N2",
  IF(ISERROR(VLOOKUP(CONCATENATE("CALIFICACION OPERACION",'Registrar expedidas_ingresos'!S24),'CODIGO-LITERAL'!$C:$D,2,FALSE)),"",VLOOKUP(CONCATENATE("CALIFICACION OPERACION",'Registrar expedidas_ingresos'!S24),'CODIGO-LITERAL'!$C:$D,2,FALSE))))</f>
        <v/>
      </c>
      <c r="T24" s="61" t="str">
        <f>IF(R24="03","",IF(R24="08","",IF(ISERROR(VLOOKUP(CONCATENATE("OPERACION EXENTA",'Registrar expedidas_ingresos'!T24),'CODIGO-LITERAL'!$C:$D,2,FALSE)),"",VLOOKUP(CONCATENATE("OPERACION EXENTA",'Registrar expedidas_ingresos'!T24),'CODIGO-LITERAL'!$C:$D,2,FALSE))))</f>
        <v/>
      </c>
      <c r="U24" s="60" t="str">
        <f t="shared" si="0"/>
        <v/>
      </c>
      <c r="V24" s="60" t="str">
        <f>IF('Registrar expedidas_ingresos'!V24="","",ROUND('Registrar expedidas_ingresos'!V24,2))</f>
        <v/>
      </c>
      <c r="W24" s="60" t="str">
        <f>IF(S24="S2",0,IF('Registrar expedidas_ingresos'!W24="","",'Registrar expedidas_ingresos'!W24))</f>
        <v/>
      </c>
      <c r="X24" s="60" t="str">
        <f>IF(S24="S2",0,IF('Registrar expedidas_ingresos'!X24="","",ROUND('Registrar expedidas_ingresos'!X24,2)))</f>
        <v/>
      </c>
      <c r="Y24" s="60" t="str">
        <f>IF('Registrar expedidas_ingresos'!Y24="","",'Registrar expedidas_ingresos'!Y24)</f>
        <v/>
      </c>
      <c r="Z24" s="60" t="str">
        <f>IF('Registrar expedidas_ingresos'!Z24="","",ROUND('Registrar expedidas_ingresos'!Z24,2))</f>
        <v/>
      </c>
      <c r="AA24" s="64" t="str">
        <f>IF(R24&lt;&gt;"07","",IF('Registrar expedidas_ingresos'!AA24="","",'Registrar expedidas_ingresos'!AA24))</f>
        <v/>
      </c>
      <c r="AB24" s="60" t="str">
        <f>IF(R24&lt;&gt;"07","",IF('Registrar expedidas_ingresos'!AB24="","",'Registrar expedidas_ingresos'!AB24))</f>
        <v/>
      </c>
      <c r="AC24" s="61" t="str">
        <f>IF(R24&lt;&gt;"07","",IF(ISERROR(VLOOKUP(CONCATENATE("MEDIO UTILIZADO",'Registrar expedidas_ingresos'!AC24),'CODIGO-LITERAL'!$C:$D,2,FALSE)),"",VLOOKUP(CONCATENATE("MEDIO UTILIZADO",'Registrar expedidas_ingresos'!AC24),'CODIGO-LITERAL'!$C:$D,2,FALSE)))</f>
        <v/>
      </c>
      <c r="AD24" s="60" t="str">
        <f>IF(R24&lt;&gt;"07","",IF('Registrar expedidas_ingresos'!AD24="","",'Registrar expedidas_ingresos'!AD24))</f>
        <v/>
      </c>
      <c r="AE24" s="65"/>
      <c r="AF24" s="65"/>
      <c r="AG24" s="60" t="str">
        <f>IF('Registrar expedidas_ingresos'!AG24="","",'Registrar expedidas_ingresos'!AG24)</f>
        <v/>
      </c>
      <c r="AH24" s="61" t="str">
        <f>IF(ISERROR(VLOOKUP(CONCATENATE("SITUACION",'Registrar expedidas_ingresos'!AH24),'CODIGO-LITERAL'!$C:$D,2,FALSE)),"",VLOOKUP(CONCATENATE("SITUACION",'Registrar expedidas_ingresos'!AH24),'CODIGO-LITERAL'!$C:$D,2,FALSE))</f>
        <v/>
      </c>
      <c r="AI24" s="60" t="str">
        <f>IF('Registrar expedidas_ingresos'!AI24="","",'Registrar expedidas_ingresos'!AI24)</f>
        <v/>
      </c>
      <c r="AJ24" s="60" t="str">
        <f>IF('Registrar expedidas_ingresos'!AJ24="","",'Registrar expedidas_ingresos'!AJ24)</f>
        <v/>
      </c>
    </row>
    <row r="25" spans="1:36" s="2" customFormat="1" x14ac:dyDescent="0.25">
      <c r="A25" s="59" t="str">
        <f>IF('Registrar expedidas_ingresos'!J25="",IF('Registrar expedidas_ingresos'!I25="","",YEAR('Registrar expedidas_ingresos'!I25)),YEAR('Registrar expedidas_ingresos'!J25))</f>
        <v/>
      </c>
      <c r="B25" s="60" t="str">
        <f>IF('Registrar expedidas_ingresos'!B25="","",'Registrar expedidas_ingresos'!B25)</f>
        <v/>
      </c>
      <c r="C25" s="60" t="str">
        <f>IF('Registrar expedidas_ingresos'!C25="","",VLOOKUP(CONCATENATE("ACTIVIDAD",'Registrar expedidas_ingresos'!C25),'CODIGO-LITERAL'!C:D,2,FALSE))</f>
        <v/>
      </c>
      <c r="D25" s="60" t="str">
        <f>IF(OR(C25="C",C25="D"),"",IF(ISERROR(VLOOKUP(CONCATENATE(C25,'Registrar expedidas_ingresos'!D25),'CODIGO-LITERAL'!$C:$D,2,FALSE)),"",VLOOKUP(CONCATENATE(C25,'Registrar expedidas_ingresos'!D25),'CODIGO-LITERAL'!$C:$D,2,FALSE)))</f>
        <v/>
      </c>
      <c r="E25" s="60" t="str">
        <f>IF('Registrar expedidas_ingresos'!E25="","",'Registrar expedidas_ingresos'!E25)</f>
        <v/>
      </c>
      <c r="F25" s="61" t="str">
        <f>IF(ISERROR(VLOOKUP(CONCATENATE("TIPO FACTURA",'Registrar expedidas_ingresos'!F25),'CODIGO-LITERAL'!$C:$D,2,FALSE)),"",VLOOKUP(CONCATENATE("TIPO FACTURA",'Registrar expedidas_ingresos'!F25),'CODIGO-LITERAL'!$C:$D,2,FALSE))</f>
        <v/>
      </c>
      <c r="G25" s="62"/>
      <c r="H25" s="63"/>
      <c r="I25" s="64" t="str">
        <f>IF('Registrar expedidas_ingresos'!I25="","",'Registrar expedidas_ingresos'!I25)</f>
        <v/>
      </c>
      <c r="J25" s="64" t="str">
        <f>IF('Registrar expedidas_ingresos'!J25="","",'Registrar expedidas_ingresos'!J25)</f>
        <v/>
      </c>
      <c r="K25" s="60" t="str">
        <f>IF('Registrar expedidas_ingresos'!K25="","",'Registrar expedidas_ingresos'!K25)</f>
        <v/>
      </c>
      <c r="L25" s="60" t="str">
        <f>IF('Registrar expedidas_ingresos'!L25="","",'Registrar expedidas_ingresos'!L25)</f>
        <v/>
      </c>
      <c r="M25" s="60" t="str">
        <f>IF('Registrar expedidas_ingresos'!M25="","",'Registrar expedidas_ingresos'!M25)</f>
        <v/>
      </c>
      <c r="N25" s="61" t="str">
        <f>IF(OR(F25="F2",LEFT('Registrar expedidas_ingresos'!N25,2)="01"),"",IF(ISERROR(VLOOKUP(CONCATENATE("TIPO NIF",'Registrar expedidas_ingresos'!N25),'CODIGO-LITERAL'!$C:$D,2,FALSE)),"",VLOOKUP(CONCATENATE("TIPO NIF",'Registrar expedidas_ingresos'!N25),'CODIGO-LITERAL'!$C:$D,2,FALSE)))</f>
        <v/>
      </c>
      <c r="O25" s="60" t="str">
        <f>IF(OR('Registrar expedidas_ingresos'!O25="",N25="02",F25="F2"),"",'Registrar expedidas_ingresos'!O25)</f>
        <v/>
      </c>
      <c r="P25" s="60" t="str">
        <f>IF('Registrar expedidas_ingresos'!P25="","",'Registrar expedidas_ingresos'!P25)</f>
        <v/>
      </c>
      <c r="Q25" s="60" t="str">
        <f>IF(F25="F2","VENTAS A CONSUMIDOR FINAL",IF('Registrar expedidas_ingresos'!Q25="","",'Registrar expedidas_ingresos'!Q25))</f>
        <v/>
      </c>
      <c r="R25" s="61" t="str">
        <f>IF(F25="DV","02",IF(ISERROR(VLOOKUP(CONCATENATE("CLAVE OPERACION",'Registrar expedidas_ingresos'!R25),'CODIGO-LITERAL'!$C:$D,2,FALSE)),"",VLOOKUP(CONCATENATE("CLAVE OPERACION",'Registrar expedidas_ingresos'!R25),'CODIGO-LITERAL'!$C:$D,2,FALSE)))</f>
        <v/>
      </c>
      <c r="S25" s="61" t="str">
        <f>IF(R25="03","S1",
 IF(R25="08","N2",
  IF(ISERROR(VLOOKUP(CONCATENATE("CALIFICACION OPERACION",'Registrar expedidas_ingresos'!S25),'CODIGO-LITERAL'!$C:$D,2,FALSE)),"",VLOOKUP(CONCATENATE("CALIFICACION OPERACION",'Registrar expedidas_ingresos'!S25),'CODIGO-LITERAL'!$C:$D,2,FALSE))))</f>
        <v/>
      </c>
      <c r="T25" s="61" t="str">
        <f>IF(R25="03","",IF(R25="08","",IF(ISERROR(VLOOKUP(CONCATENATE("OPERACION EXENTA",'Registrar expedidas_ingresos'!T25),'CODIGO-LITERAL'!$C:$D,2,FALSE)),"",VLOOKUP(CONCATENATE("OPERACION EXENTA",'Registrar expedidas_ingresos'!T25),'CODIGO-LITERAL'!$C:$D,2,FALSE))))</f>
        <v/>
      </c>
      <c r="U25" s="60" t="str">
        <f t="shared" si="0"/>
        <v/>
      </c>
      <c r="V25" s="60" t="str">
        <f>IF('Registrar expedidas_ingresos'!V25="","",ROUND('Registrar expedidas_ingresos'!V25,2))</f>
        <v/>
      </c>
      <c r="W25" s="60" t="str">
        <f>IF(S25="S2",0,IF('Registrar expedidas_ingresos'!W25="","",'Registrar expedidas_ingresos'!W25))</f>
        <v/>
      </c>
      <c r="X25" s="60" t="str">
        <f>IF(S25="S2",0,IF('Registrar expedidas_ingresos'!X25="","",ROUND('Registrar expedidas_ingresos'!X25,2)))</f>
        <v/>
      </c>
      <c r="Y25" s="60" t="str">
        <f>IF('Registrar expedidas_ingresos'!Y25="","",'Registrar expedidas_ingresos'!Y25)</f>
        <v/>
      </c>
      <c r="Z25" s="60" t="str">
        <f>IF('Registrar expedidas_ingresos'!Z25="","",ROUND('Registrar expedidas_ingresos'!Z25,2))</f>
        <v/>
      </c>
      <c r="AA25" s="64" t="str">
        <f>IF(R25&lt;&gt;"07","",IF('Registrar expedidas_ingresos'!AA25="","",'Registrar expedidas_ingresos'!AA25))</f>
        <v/>
      </c>
      <c r="AB25" s="60" t="str">
        <f>IF(R25&lt;&gt;"07","",IF('Registrar expedidas_ingresos'!AB25="","",'Registrar expedidas_ingresos'!AB25))</f>
        <v/>
      </c>
      <c r="AC25" s="61" t="str">
        <f>IF(R25&lt;&gt;"07","",IF(ISERROR(VLOOKUP(CONCATENATE("MEDIO UTILIZADO",'Registrar expedidas_ingresos'!AC25),'CODIGO-LITERAL'!$C:$D,2,FALSE)),"",VLOOKUP(CONCATENATE("MEDIO UTILIZADO",'Registrar expedidas_ingresos'!AC25),'CODIGO-LITERAL'!$C:$D,2,FALSE)))</f>
        <v/>
      </c>
      <c r="AD25" s="60" t="str">
        <f>IF(R25&lt;&gt;"07","",IF('Registrar expedidas_ingresos'!AD25="","",'Registrar expedidas_ingresos'!AD25))</f>
        <v/>
      </c>
      <c r="AE25" s="65"/>
      <c r="AF25" s="65"/>
      <c r="AG25" s="60" t="str">
        <f>IF('Registrar expedidas_ingresos'!AG25="","",'Registrar expedidas_ingresos'!AG25)</f>
        <v/>
      </c>
      <c r="AH25" s="61" t="str">
        <f>IF(ISERROR(VLOOKUP(CONCATENATE("SITUACION",'Registrar expedidas_ingresos'!AH25),'CODIGO-LITERAL'!$C:$D,2,FALSE)),"",VLOOKUP(CONCATENATE("SITUACION",'Registrar expedidas_ingresos'!AH25),'CODIGO-LITERAL'!$C:$D,2,FALSE))</f>
        <v/>
      </c>
      <c r="AI25" s="60" t="str">
        <f>IF('Registrar expedidas_ingresos'!AI25="","",'Registrar expedidas_ingresos'!AI25)</f>
        <v/>
      </c>
      <c r="AJ25" s="60" t="str">
        <f>IF('Registrar expedidas_ingresos'!AJ25="","",'Registrar expedidas_ingresos'!AJ25)</f>
        <v/>
      </c>
    </row>
    <row r="26" spans="1:36" s="2" customFormat="1" x14ac:dyDescent="0.25">
      <c r="A26" s="59" t="str">
        <f>IF('Registrar expedidas_ingresos'!J26="",IF('Registrar expedidas_ingresos'!I26="","",YEAR('Registrar expedidas_ingresos'!I26)),YEAR('Registrar expedidas_ingresos'!J26))</f>
        <v/>
      </c>
      <c r="B26" s="60" t="str">
        <f>IF('Registrar expedidas_ingresos'!B26="","",'Registrar expedidas_ingresos'!B26)</f>
        <v/>
      </c>
      <c r="C26" s="60" t="str">
        <f>IF('Registrar expedidas_ingresos'!C26="","",VLOOKUP(CONCATENATE("ACTIVIDAD",'Registrar expedidas_ingresos'!C26),'CODIGO-LITERAL'!C:D,2,FALSE))</f>
        <v/>
      </c>
      <c r="D26" s="60" t="str">
        <f>IF(OR(C26="C",C26="D"),"",IF(ISERROR(VLOOKUP(CONCATENATE(C26,'Registrar expedidas_ingresos'!D26),'CODIGO-LITERAL'!$C:$D,2,FALSE)),"",VLOOKUP(CONCATENATE(C26,'Registrar expedidas_ingresos'!D26),'CODIGO-LITERAL'!$C:$D,2,FALSE)))</f>
        <v/>
      </c>
      <c r="E26" s="60" t="str">
        <f>IF('Registrar expedidas_ingresos'!E26="","",'Registrar expedidas_ingresos'!E26)</f>
        <v/>
      </c>
      <c r="F26" s="61" t="str">
        <f>IF(ISERROR(VLOOKUP(CONCATENATE("TIPO FACTURA",'Registrar expedidas_ingresos'!F26),'CODIGO-LITERAL'!$C:$D,2,FALSE)),"",VLOOKUP(CONCATENATE("TIPO FACTURA",'Registrar expedidas_ingresos'!F26),'CODIGO-LITERAL'!$C:$D,2,FALSE))</f>
        <v/>
      </c>
      <c r="G26" s="62"/>
      <c r="H26" s="63"/>
      <c r="I26" s="64" t="str">
        <f>IF('Registrar expedidas_ingresos'!I26="","",'Registrar expedidas_ingresos'!I26)</f>
        <v/>
      </c>
      <c r="J26" s="64" t="str">
        <f>IF('Registrar expedidas_ingresos'!J26="","",'Registrar expedidas_ingresos'!J26)</f>
        <v/>
      </c>
      <c r="K26" s="60" t="str">
        <f>IF('Registrar expedidas_ingresos'!K26="","",'Registrar expedidas_ingresos'!K26)</f>
        <v/>
      </c>
      <c r="L26" s="60" t="str">
        <f>IF('Registrar expedidas_ingresos'!L26="","",'Registrar expedidas_ingresos'!L26)</f>
        <v/>
      </c>
      <c r="M26" s="60" t="str">
        <f>IF('Registrar expedidas_ingresos'!M26="","",'Registrar expedidas_ingresos'!M26)</f>
        <v/>
      </c>
      <c r="N26" s="61" t="str">
        <f>IF(OR(F26="F2",LEFT('Registrar expedidas_ingresos'!N26,2)="01"),"",IF(ISERROR(VLOOKUP(CONCATENATE("TIPO NIF",'Registrar expedidas_ingresos'!N26),'CODIGO-LITERAL'!$C:$D,2,FALSE)),"",VLOOKUP(CONCATENATE("TIPO NIF",'Registrar expedidas_ingresos'!N26),'CODIGO-LITERAL'!$C:$D,2,FALSE)))</f>
        <v/>
      </c>
      <c r="O26" s="60" t="str">
        <f>IF(OR('Registrar expedidas_ingresos'!O26="",N26="02",F26="F2"),"",'Registrar expedidas_ingresos'!O26)</f>
        <v/>
      </c>
      <c r="P26" s="60" t="str">
        <f>IF('Registrar expedidas_ingresos'!P26="","",'Registrar expedidas_ingresos'!P26)</f>
        <v/>
      </c>
      <c r="Q26" s="60" t="str">
        <f>IF(F26="F2","VENTAS A CONSUMIDOR FINAL",IF('Registrar expedidas_ingresos'!Q26="","",'Registrar expedidas_ingresos'!Q26))</f>
        <v/>
      </c>
      <c r="R26" s="61" t="str">
        <f>IF(F26="DV","02",IF(ISERROR(VLOOKUP(CONCATENATE("CLAVE OPERACION",'Registrar expedidas_ingresos'!R26),'CODIGO-LITERAL'!$C:$D,2,FALSE)),"",VLOOKUP(CONCATENATE("CLAVE OPERACION",'Registrar expedidas_ingresos'!R26),'CODIGO-LITERAL'!$C:$D,2,FALSE)))</f>
        <v/>
      </c>
      <c r="S26" s="61" t="str">
        <f>IF(R26="03","S1",
 IF(R26="08","N2",
  IF(ISERROR(VLOOKUP(CONCATENATE("CALIFICACION OPERACION",'Registrar expedidas_ingresos'!S26),'CODIGO-LITERAL'!$C:$D,2,FALSE)),"",VLOOKUP(CONCATENATE("CALIFICACION OPERACION",'Registrar expedidas_ingresos'!S26),'CODIGO-LITERAL'!$C:$D,2,FALSE))))</f>
        <v/>
      </c>
      <c r="T26" s="61" t="str">
        <f>IF(R26="03","",IF(R26="08","",IF(ISERROR(VLOOKUP(CONCATENATE("OPERACION EXENTA",'Registrar expedidas_ingresos'!T26),'CODIGO-LITERAL'!$C:$D,2,FALSE)),"",VLOOKUP(CONCATENATE("OPERACION EXENTA",'Registrar expedidas_ingresos'!T26),'CODIGO-LITERAL'!$C:$D,2,FALSE))))</f>
        <v/>
      </c>
      <c r="U26" s="60" t="str">
        <f t="shared" si="0"/>
        <v/>
      </c>
      <c r="V26" s="60" t="str">
        <f>IF('Registrar expedidas_ingresos'!V26="","",ROUND('Registrar expedidas_ingresos'!V26,2))</f>
        <v/>
      </c>
      <c r="W26" s="60" t="str">
        <f>IF(S26="S2",0,IF('Registrar expedidas_ingresos'!W26="","",'Registrar expedidas_ingresos'!W26))</f>
        <v/>
      </c>
      <c r="X26" s="60" t="str">
        <f>IF(S26="S2",0,IF('Registrar expedidas_ingresos'!X26="","",ROUND('Registrar expedidas_ingresos'!X26,2)))</f>
        <v/>
      </c>
      <c r="Y26" s="60" t="str">
        <f>IF('Registrar expedidas_ingresos'!Y26="","",'Registrar expedidas_ingresos'!Y26)</f>
        <v/>
      </c>
      <c r="Z26" s="60" t="str">
        <f>IF('Registrar expedidas_ingresos'!Z26="","",ROUND('Registrar expedidas_ingresos'!Z26,2))</f>
        <v/>
      </c>
      <c r="AA26" s="64" t="str">
        <f>IF(R26&lt;&gt;"07","",IF('Registrar expedidas_ingresos'!AA26="","",'Registrar expedidas_ingresos'!AA26))</f>
        <v/>
      </c>
      <c r="AB26" s="60" t="str">
        <f>IF(R26&lt;&gt;"07","",IF('Registrar expedidas_ingresos'!AB26="","",'Registrar expedidas_ingresos'!AB26))</f>
        <v/>
      </c>
      <c r="AC26" s="61" t="str">
        <f>IF(R26&lt;&gt;"07","",IF(ISERROR(VLOOKUP(CONCATENATE("MEDIO UTILIZADO",'Registrar expedidas_ingresos'!AC26),'CODIGO-LITERAL'!$C:$D,2,FALSE)),"",VLOOKUP(CONCATENATE("MEDIO UTILIZADO",'Registrar expedidas_ingresos'!AC26),'CODIGO-LITERAL'!$C:$D,2,FALSE)))</f>
        <v/>
      </c>
      <c r="AD26" s="60" t="str">
        <f>IF(R26&lt;&gt;"07","",IF('Registrar expedidas_ingresos'!AD26="","",'Registrar expedidas_ingresos'!AD26))</f>
        <v/>
      </c>
      <c r="AE26" s="65"/>
      <c r="AF26" s="65"/>
      <c r="AG26" s="60" t="str">
        <f>IF('Registrar expedidas_ingresos'!AG26="","",'Registrar expedidas_ingresos'!AG26)</f>
        <v/>
      </c>
      <c r="AH26" s="61" t="str">
        <f>IF(ISERROR(VLOOKUP(CONCATENATE("SITUACION",'Registrar expedidas_ingresos'!AH26),'CODIGO-LITERAL'!$C:$D,2,FALSE)),"",VLOOKUP(CONCATENATE("SITUACION",'Registrar expedidas_ingresos'!AH26),'CODIGO-LITERAL'!$C:$D,2,FALSE))</f>
        <v/>
      </c>
      <c r="AI26" s="60" t="str">
        <f>IF('Registrar expedidas_ingresos'!AI26="","",'Registrar expedidas_ingresos'!AI26)</f>
        <v/>
      </c>
      <c r="AJ26" s="60" t="str">
        <f>IF('Registrar expedidas_ingresos'!AJ26="","",'Registrar expedidas_ingresos'!AJ26)</f>
        <v/>
      </c>
    </row>
    <row r="27" spans="1:36" s="2" customFormat="1" x14ac:dyDescent="0.25">
      <c r="A27" s="59" t="str">
        <f>IF('Registrar expedidas_ingresos'!J27="",IF('Registrar expedidas_ingresos'!I27="","",YEAR('Registrar expedidas_ingresos'!I27)),YEAR('Registrar expedidas_ingresos'!J27))</f>
        <v/>
      </c>
      <c r="B27" s="60" t="str">
        <f>IF('Registrar expedidas_ingresos'!B27="","",'Registrar expedidas_ingresos'!B27)</f>
        <v/>
      </c>
      <c r="C27" s="60" t="str">
        <f>IF('Registrar expedidas_ingresos'!C27="","",VLOOKUP(CONCATENATE("ACTIVIDAD",'Registrar expedidas_ingresos'!C27),'CODIGO-LITERAL'!C:D,2,FALSE))</f>
        <v/>
      </c>
      <c r="D27" s="60" t="str">
        <f>IF(OR(C27="C",C27="D"),"",IF(ISERROR(VLOOKUP(CONCATENATE(C27,'Registrar expedidas_ingresos'!D27),'CODIGO-LITERAL'!$C:$D,2,FALSE)),"",VLOOKUP(CONCATENATE(C27,'Registrar expedidas_ingresos'!D27),'CODIGO-LITERAL'!$C:$D,2,FALSE)))</f>
        <v/>
      </c>
      <c r="E27" s="60" t="str">
        <f>IF('Registrar expedidas_ingresos'!E27="","",'Registrar expedidas_ingresos'!E27)</f>
        <v/>
      </c>
      <c r="F27" s="61" t="str">
        <f>IF(ISERROR(VLOOKUP(CONCATENATE("TIPO FACTURA",'Registrar expedidas_ingresos'!F27),'CODIGO-LITERAL'!$C:$D,2,FALSE)),"",VLOOKUP(CONCATENATE("TIPO FACTURA",'Registrar expedidas_ingresos'!F27),'CODIGO-LITERAL'!$C:$D,2,FALSE))</f>
        <v/>
      </c>
      <c r="G27" s="62"/>
      <c r="H27" s="63"/>
      <c r="I27" s="64" t="str">
        <f>IF('Registrar expedidas_ingresos'!I27="","",'Registrar expedidas_ingresos'!I27)</f>
        <v/>
      </c>
      <c r="J27" s="64" t="str">
        <f>IF('Registrar expedidas_ingresos'!J27="","",'Registrar expedidas_ingresos'!J27)</f>
        <v/>
      </c>
      <c r="K27" s="60" t="str">
        <f>IF('Registrar expedidas_ingresos'!K27="","",'Registrar expedidas_ingresos'!K27)</f>
        <v/>
      </c>
      <c r="L27" s="60" t="str">
        <f>IF('Registrar expedidas_ingresos'!L27="","",'Registrar expedidas_ingresos'!L27)</f>
        <v/>
      </c>
      <c r="M27" s="60" t="str">
        <f>IF('Registrar expedidas_ingresos'!M27="","",'Registrar expedidas_ingresos'!M27)</f>
        <v/>
      </c>
      <c r="N27" s="61" t="str">
        <f>IF(OR(F27="F2",LEFT('Registrar expedidas_ingresos'!N27,2)="01"),"",IF(ISERROR(VLOOKUP(CONCATENATE("TIPO NIF",'Registrar expedidas_ingresos'!N27),'CODIGO-LITERAL'!$C:$D,2,FALSE)),"",VLOOKUP(CONCATENATE("TIPO NIF",'Registrar expedidas_ingresos'!N27),'CODIGO-LITERAL'!$C:$D,2,FALSE)))</f>
        <v/>
      </c>
      <c r="O27" s="60" t="str">
        <f>IF(OR('Registrar expedidas_ingresos'!O27="",N27="02",F27="F2"),"",'Registrar expedidas_ingresos'!O27)</f>
        <v/>
      </c>
      <c r="P27" s="60" t="str">
        <f>IF('Registrar expedidas_ingresos'!P27="","",'Registrar expedidas_ingresos'!P27)</f>
        <v/>
      </c>
      <c r="Q27" s="60" t="str">
        <f>IF(F27="F2","VENTAS A CONSUMIDOR FINAL",IF('Registrar expedidas_ingresos'!Q27="","",'Registrar expedidas_ingresos'!Q27))</f>
        <v/>
      </c>
      <c r="R27" s="61" t="str">
        <f>IF(F27="DV","02",IF(ISERROR(VLOOKUP(CONCATENATE("CLAVE OPERACION",'Registrar expedidas_ingresos'!R27),'CODIGO-LITERAL'!$C:$D,2,FALSE)),"",VLOOKUP(CONCATENATE("CLAVE OPERACION",'Registrar expedidas_ingresos'!R27),'CODIGO-LITERAL'!$C:$D,2,FALSE)))</f>
        <v/>
      </c>
      <c r="S27" s="61" t="str">
        <f>IF(R27="03","S1",
 IF(R27="08","N2",
  IF(ISERROR(VLOOKUP(CONCATENATE("CALIFICACION OPERACION",'Registrar expedidas_ingresos'!S27),'CODIGO-LITERAL'!$C:$D,2,FALSE)),"",VLOOKUP(CONCATENATE("CALIFICACION OPERACION",'Registrar expedidas_ingresos'!S27),'CODIGO-LITERAL'!$C:$D,2,FALSE))))</f>
        <v/>
      </c>
      <c r="T27" s="61" t="str">
        <f>IF(R27="03","",IF(R27="08","",IF(ISERROR(VLOOKUP(CONCATENATE("OPERACION EXENTA",'Registrar expedidas_ingresos'!T27),'CODIGO-LITERAL'!$C:$D,2,FALSE)),"",VLOOKUP(CONCATENATE("OPERACION EXENTA",'Registrar expedidas_ingresos'!T27),'CODIGO-LITERAL'!$C:$D,2,FALSE))))</f>
        <v/>
      </c>
      <c r="U27" s="60" t="str">
        <f t="shared" si="0"/>
        <v/>
      </c>
      <c r="V27" s="60" t="str">
        <f>IF('Registrar expedidas_ingresos'!V27="","",ROUND('Registrar expedidas_ingresos'!V27,2))</f>
        <v/>
      </c>
      <c r="W27" s="60" t="str">
        <f>IF(S27="S2",0,IF('Registrar expedidas_ingresos'!W27="","",'Registrar expedidas_ingresos'!W27))</f>
        <v/>
      </c>
      <c r="X27" s="60" t="str">
        <f>IF(S27="S2",0,IF('Registrar expedidas_ingresos'!X27="","",ROUND('Registrar expedidas_ingresos'!X27,2)))</f>
        <v/>
      </c>
      <c r="Y27" s="60" t="str">
        <f>IF('Registrar expedidas_ingresos'!Y27="","",'Registrar expedidas_ingresos'!Y27)</f>
        <v/>
      </c>
      <c r="Z27" s="60" t="str">
        <f>IF('Registrar expedidas_ingresos'!Z27="","",ROUND('Registrar expedidas_ingresos'!Z27,2))</f>
        <v/>
      </c>
      <c r="AA27" s="64" t="str">
        <f>IF(R27&lt;&gt;"07","",IF('Registrar expedidas_ingresos'!AA27="","",'Registrar expedidas_ingresos'!AA27))</f>
        <v/>
      </c>
      <c r="AB27" s="60" t="str">
        <f>IF(R27&lt;&gt;"07","",IF('Registrar expedidas_ingresos'!AB27="","",'Registrar expedidas_ingresos'!AB27))</f>
        <v/>
      </c>
      <c r="AC27" s="61" t="str">
        <f>IF(R27&lt;&gt;"07","",IF(ISERROR(VLOOKUP(CONCATENATE("MEDIO UTILIZADO",'Registrar expedidas_ingresos'!AC27),'CODIGO-LITERAL'!$C:$D,2,FALSE)),"",VLOOKUP(CONCATENATE("MEDIO UTILIZADO",'Registrar expedidas_ingresos'!AC27),'CODIGO-LITERAL'!$C:$D,2,FALSE)))</f>
        <v/>
      </c>
      <c r="AD27" s="60" t="str">
        <f>IF(R27&lt;&gt;"07","",IF('Registrar expedidas_ingresos'!AD27="","",'Registrar expedidas_ingresos'!AD27))</f>
        <v/>
      </c>
      <c r="AE27" s="65"/>
      <c r="AF27" s="65"/>
      <c r="AG27" s="60" t="str">
        <f>IF('Registrar expedidas_ingresos'!AG27="","",'Registrar expedidas_ingresos'!AG27)</f>
        <v/>
      </c>
      <c r="AH27" s="61" t="str">
        <f>IF(ISERROR(VLOOKUP(CONCATENATE("SITUACION",'Registrar expedidas_ingresos'!AH27),'CODIGO-LITERAL'!$C:$D,2,FALSE)),"",VLOOKUP(CONCATENATE("SITUACION",'Registrar expedidas_ingresos'!AH27),'CODIGO-LITERAL'!$C:$D,2,FALSE))</f>
        <v/>
      </c>
      <c r="AI27" s="60" t="str">
        <f>IF('Registrar expedidas_ingresos'!AI27="","",'Registrar expedidas_ingresos'!AI27)</f>
        <v/>
      </c>
      <c r="AJ27" s="60" t="str">
        <f>IF('Registrar expedidas_ingresos'!AJ27="","",'Registrar expedidas_ingresos'!AJ27)</f>
        <v/>
      </c>
    </row>
    <row r="28" spans="1:36" s="2" customFormat="1" x14ac:dyDescent="0.25">
      <c r="A28" s="59" t="str">
        <f>IF('Registrar expedidas_ingresos'!J28="",IF('Registrar expedidas_ingresos'!I28="","",YEAR('Registrar expedidas_ingresos'!I28)),YEAR('Registrar expedidas_ingresos'!J28))</f>
        <v/>
      </c>
      <c r="B28" s="60" t="str">
        <f>IF('Registrar expedidas_ingresos'!B28="","",'Registrar expedidas_ingresos'!B28)</f>
        <v/>
      </c>
      <c r="C28" s="60" t="str">
        <f>IF('Registrar expedidas_ingresos'!C28="","",VLOOKUP(CONCATENATE("ACTIVIDAD",'Registrar expedidas_ingresos'!C28),'CODIGO-LITERAL'!C:D,2,FALSE))</f>
        <v/>
      </c>
      <c r="D28" s="60" t="str">
        <f>IF(OR(C28="C",C28="D"),"",IF(ISERROR(VLOOKUP(CONCATENATE(C28,'Registrar expedidas_ingresos'!D28),'CODIGO-LITERAL'!$C:$D,2,FALSE)),"",VLOOKUP(CONCATENATE(C28,'Registrar expedidas_ingresos'!D28),'CODIGO-LITERAL'!$C:$D,2,FALSE)))</f>
        <v/>
      </c>
      <c r="E28" s="60" t="str">
        <f>IF('Registrar expedidas_ingresos'!E28="","",'Registrar expedidas_ingresos'!E28)</f>
        <v/>
      </c>
      <c r="F28" s="61" t="str">
        <f>IF(ISERROR(VLOOKUP(CONCATENATE("TIPO FACTURA",'Registrar expedidas_ingresos'!F28),'CODIGO-LITERAL'!$C:$D,2,FALSE)),"",VLOOKUP(CONCATENATE("TIPO FACTURA",'Registrar expedidas_ingresos'!F28),'CODIGO-LITERAL'!$C:$D,2,FALSE))</f>
        <v/>
      </c>
      <c r="G28" s="62"/>
      <c r="H28" s="63"/>
      <c r="I28" s="64" t="str">
        <f>IF('Registrar expedidas_ingresos'!I28="","",'Registrar expedidas_ingresos'!I28)</f>
        <v/>
      </c>
      <c r="J28" s="64" t="str">
        <f>IF('Registrar expedidas_ingresos'!J28="","",'Registrar expedidas_ingresos'!J28)</f>
        <v/>
      </c>
      <c r="K28" s="60" t="str">
        <f>IF('Registrar expedidas_ingresos'!K28="","",'Registrar expedidas_ingresos'!K28)</f>
        <v/>
      </c>
      <c r="L28" s="60" t="str">
        <f>IF('Registrar expedidas_ingresos'!L28="","",'Registrar expedidas_ingresos'!L28)</f>
        <v/>
      </c>
      <c r="M28" s="60" t="str">
        <f>IF('Registrar expedidas_ingresos'!M28="","",'Registrar expedidas_ingresos'!M28)</f>
        <v/>
      </c>
      <c r="N28" s="61" t="str">
        <f>IF(OR(F28="F2",LEFT('Registrar expedidas_ingresos'!N28,2)="01"),"",IF(ISERROR(VLOOKUP(CONCATENATE("TIPO NIF",'Registrar expedidas_ingresos'!N28),'CODIGO-LITERAL'!$C:$D,2,FALSE)),"",VLOOKUP(CONCATENATE("TIPO NIF",'Registrar expedidas_ingresos'!N28),'CODIGO-LITERAL'!$C:$D,2,FALSE)))</f>
        <v/>
      </c>
      <c r="O28" s="60" t="str">
        <f>IF(OR('Registrar expedidas_ingresos'!O28="",N28="02",F28="F2"),"",'Registrar expedidas_ingresos'!O28)</f>
        <v/>
      </c>
      <c r="P28" s="60" t="str">
        <f>IF('Registrar expedidas_ingresos'!P28="","",'Registrar expedidas_ingresos'!P28)</f>
        <v/>
      </c>
      <c r="Q28" s="60" t="str">
        <f>IF(F28="F2","VENTAS A CONSUMIDOR FINAL",IF('Registrar expedidas_ingresos'!Q28="","",'Registrar expedidas_ingresos'!Q28))</f>
        <v/>
      </c>
      <c r="R28" s="61" t="str">
        <f>IF(F28="DV","02",IF(ISERROR(VLOOKUP(CONCATENATE("CLAVE OPERACION",'Registrar expedidas_ingresos'!R28),'CODIGO-LITERAL'!$C:$D,2,FALSE)),"",VLOOKUP(CONCATENATE("CLAVE OPERACION",'Registrar expedidas_ingresos'!R28),'CODIGO-LITERAL'!$C:$D,2,FALSE)))</f>
        <v/>
      </c>
      <c r="S28" s="61" t="str">
        <f>IF(R28="03","S1",
 IF(R28="08","N2",
  IF(ISERROR(VLOOKUP(CONCATENATE("CALIFICACION OPERACION",'Registrar expedidas_ingresos'!S28),'CODIGO-LITERAL'!$C:$D,2,FALSE)),"",VLOOKUP(CONCATENATE("CALIFICACION OPERACION",'Registrar expedidas_ingresos'!S28),'CODIGO-LITERAL'!$C:$D,2,FALSE))))</f>
        <v/>
      </c>
      <c r="T28" s="61" t="str">
        <f>IF(R28="03","",IF(R28="08","",IF(ISERROR(VLOOKUP(CONCATENATE("OPERACION EXENTA",'Registrar expedidas_ingresos'!T28),'CODIGO-LITERAL'!$C:$D,2,FALSE)),"",VLOOKUP(CONCATENATE("OPERACION EXENTA",'Registrar expedidas_ingresos'!T28),'CODIGO-LITERAL'!$C:$D,2,FALSE))))</f>
        <v/>
      </c>
      <c r="U28" s="60" t="str">
        <f t="shared" si="0"/>
        <v/>
      </c>
      <c r="V28" s="60" t="str">
        <f>IF('Registrar expedidas_ingresos'!V28="","",ROUND('Registrar expedidas_ingresos'!V28,2))</f>
        <v/>
      </c>
      <c r="W28" s="60" t="str">
        <f>IF(S28="S2",0,IF('Registrar expedidas_ingresos'!W28="","",'Registrar expedidas_ingresos'!W28))</f>
        <v/>
      </c>
      <c r="X28" s="60" t="str">
        <f>IF(S28="S2",0,IF('Registrar expedidas_ingresos'!X28="","",ROUND('Registrar expedidas_ingresos'!X28,2)))</f>
        <v/>
      </c>
      <c r="Y28" s="60" t="str">
        <f>IF('Registrar expedidas_ingresos'!Y28="","",'Registrar expedidas_ingresos'!Y28)</f>
        <v/>
      </c>
      <c r="Z28" s="60" t="str">
        <f>IF('Registrar expedidas_ingresos'!Z28="","",ROUND('Registrar expedidas_ingresos'!Z28,2))</f>
        <v/>
      </c>
      <c r="AA28" s="64" t="str">
        <f>IF(R28&lt;&gt;"07","",IF('Registrar expedidas_ingresos'!AA28="","",'Registrar expedidas_ingresos'!AA28))</f>
        <v/>
      </c>
      <c r="AB28" s="60" t="str">
        <f>IF(R28&lt;&gt;"07","",IF('Registrar expedidas_ingresos'!AB28="","",'Registrar expedidas_ingresos'!AB28))</f>
        <v/>
      </c>
      <c r="AC28" s="61" t="str">
        <f>IF(R28&lt;&gt;"07","",IF(ISERROR(VLOOKUP(CONCATENATE("MEDIO UTILIZADO",'Registrar expedidas_ingresos'!AC28),'CODIGO-LITERAL'!$C:$D,2,FALSE)),"",VLOOKUP(CONCATENATE("MEDIO UTILIZADO",'Registrar expedidas_ingresos'!AC28),'CODIGO-LITERAL'!$C:$D,2,FALSE)))</f>
        <v/>
      </c>
      <c r="AD28" s="60" t="str">
        <f>IF(R28&lt;&gt;"07","",IF('Registrar expedidas_ingresos'!AD28="","",'Registrar expedidas_ingresos'!AD28))</f>
        <v/>
      </c>
      <c r="AE28" s="65"/>
      <c r="AF28" s="65"/>
      <c r="AG28" s="60" t="str">
        <f>IF('Registrar expedidas_ingresos'!AG28="","",'Registrar expedidas_ingresos'!AG28)</f>
        <v/>
      </c>
      <c r="AH28" s="61" t="str">
        <f>IF(ISERROR(VLOOKUP(CONCATENATE("SITUACION",'Registrar expedidas_ingresos'!AH28),'CODIGO-LITERAL'!$C:$D,2,FALSE)),"",VLOOKUP(CONCATENATE("SITUACION",'Registrar expedidas_ingresos'!AH28),'CODIGO-LITERAL'!$C:$D,2,FALSE))</f>
        <v/>
      </c>
      <c r="AI28" s="60" t="str">
        <f>IF('Registrar expedidas_ingresos'!AI28="","",'Registrar expedidas_ingresos'!AI28)</f>
        <v/>
      </c>
      <c r="AJ28" s="60" t="str">
        <f>IF('Registrar expedidas_ingresos'!AJ28="","",'Registrar expedidas_ingresos'!AJ28)</f>
        <v/>
      </c>
    </row>
    <row r="29" spans="1:36" s="2" customFormat="1" x14ac:dyDescent="0.25">
      <c r="A29" s="59" t="str">
        <f>IF('Registrar expedidas_ingresos'!J29="",IF('Registrar expedidas_ingresos'!I29="","",YEAR('Registrar expedidas_ingresos'!I29)),YEAR('Registrar expedidas_ingresos'!J29))</f>
        <v/>
      </c>
      <c r="B29" s="60" t="str">
        <f>IF('Registrar expedidas_ingresos'!B29="","",'Registrar expedidas_ingresos'!B29)</f>
        <v/>
      </c>
      <c r="C29" s="60" t="str">
        <f>IF('Registrar expedidas_ingresos'!C29="","",VLOOKUP(CONCATENATE("ACTIVIDAD",'Registrar expedidas_ingresos'!C29),'CODIGO-LITERAL'!C:D,2,FALSE))</f>
        <v/>
      </c>
      <c r="D29" s="60" t="str">
        <f>IF(OR(C29="C",C29="D"),"",IF(ISERROR(VLOOKUP(CONCATENATE(C29,'Registrar expedidas_ingresos'!D29),'CODIGO-LITERAL'!$C:$D,2,FALSE)),"",VLOOKUP(CONCATENATE(C29,'Registrar expedidas_ingresos'!D29),'CODIGO-LITERAL'!$C:$D,2,FALSE)))</f>
        <v/>
      </c>
      <c r="E29" s="60" t="str">
        <f>IF('Registrar expedidas_ingresos'!E29="","",'Registrar expedidas_ingresos'!E29)</f>
        <v/>
      </c>
      <c r="F29" s="61" t="str">
        <f>IF(ISERROR(VLOOKUP(CONCATENATE("TIPO FACTURA",'Registrar expedidas_ingresos'!F29),'CODIGO-LITERAL'!$C:$D,2,FALSE)),"",VLOOKUP(CONCATENATE("TIPO FACTURA",'Registrar expedidas_ingresos'!F29),'CODIGO-LITERAL'!$C:$D,2,FALSE))</f>
        <v/>
      </c>
      <c r="G29" s="62"/>
      <c r="H29" s="63"/>
      <c r="I29" s="64" t="str">
        <f>IF('Registrar expedidas_ingresos'!I29="","",'Registrar expedidas_ingresos'!I29)</f>
        <v/>
      </c>
      <c r="J29" s="64" t="str">
        <f>IF('Registrar expedidas_ingresos'!J29="","",'Registrar expedidas_ingresos'!J29)</f>
        <v/>
      </c>
      <c r="K29" s="60" t="str">
        <f>IF('Registrar expedidas_ingresos'!K29="","",'Registrar expedidas_ingresos'!K29)</f>
        <v/>
      </c>
      <c r="L29" s="60" t="str">
        <f>IF('Registrar expedidas_ingresos'!L29="","",'Registrar expedidas_ingresos'!L29)</f>
        <v/>
      </c>
      <c r="M29" s="60" t="str">
        <f>IF('Registrar expedidas_ingresos'!M29="","",'Registrar expedidas_ingresos'!M29)</f>
        <v/>
      </c>
      <c r="N29" s="61" t="str">
        <f>IF(OR(F29="F2",LEFT('Registrar expedidas_ingresos'!N29,2)="01"),"",IF(ISERROR(VLOOKUP(CONCATENATE("TIPO NIF",'Registrar expedidas_ingresos'!N29),'CODIGO-LITERAL'!$C:$D,2,FALSE)),"",VLOOKUP(CONCATENATE("TIPO NIF",'Registrar expedidas_ingresos'!N29),'CODIGO-LITERAL'!$C:$D,2,FALSE)))</f>
        <v/>
      </c>
      <c r="O29" s="60" t="str">
        <f>IF(OR('Registrar expedidas_ingresos'!O29="",N29="02",F29="F2"),"",'Registrar expedidas_ingresos'!O29)</f>
        <v/>
      </c>
      <c r="P29" s="60" t="str">
        <f>IF('Registrar expedidas_ingresos'!P29="","",'Registrar expedidas_ingresos'!P29)</f>
        <v/>
      </c>
      <c r="Q29" s="60" t="str">
        <f>IF(F29="F2","VENTAS A CONSUMIDOR FINAL",IF('Registrar expedidas_ingresos'!Q29="","",'Registrar expedidas_ingresos'!Q29))</f>
        <v/>
      </c>
      <c r="R29" s="61" t="str">
        <f>IF(F29="DV","02",IF(ISERROR(VLOOKUP(CONCATENATE("CLAVE OPERACION",'Registrar expedidas_ingresos'!R29),'CODIGO-LITERAL'!$C:$D,2,FALSE)),"",VLOOKUP(CONCATENATE("CLAVE OPERACION",'Registrar expedidas_ingresos'!R29),'CODIGO-LITERAL'!$C:$D,2,FALSE)))</f>
        <v/>
      </c>
      <c r="S29" s="61" t="str">
        <f>IF(R29="03","S1",
 IF(R29="08","N2",
  IF(ISERROR(VLOOKUP(CONCATENATE("CALIFICACION OPERACION",'Registrar expedidas_ingresos'!S29),'CODIGO-LITERAL'!$C:$D,2,FALSE)),"",VLOOKUP(CONCATENATE("CALIFICACION OPERACION",'Registrar expedidas_ingresos'!S29),'CODIGO-LITERAL'!$C:$D,2,FALSE))))</f>
        <v/>
      </c>
      <c r="T29" s="61" t="str">
        <f>IF(R29="03","",IF(R29="08","",IF(ISERROR(VLOOKUP(CONCATENATE("OPERACION EXENTA",'Registrar expedidas_ingresos'!T29),'CODIGO-LITERAL'!$C:$D,2,FALSE)),"",VLOOKUP(CONCATENATE("OPERACION EXENTA",'Registrar expedidas_ingresos'!T29),'CODIGO-LITERAL'!$C:$D,2,FALSE))))</f>
        <v/>
      </c>
      <c r="U29" s="60" t="str">
        <f t="shared" si="0"/>
        <v/>
      </c>
      <c r="V29" s="60" t="str">
        <f>IF('Registrar expedidas_ingresos'!V29="","",ROUND('Registrar expedidas_ingresos'!V29,2))</f>
        <v/>
      </c>
      <c r="W29" s="60" t="str">
        <f>IF(S29="S2",0,IF('Registrar expedidas_ingresos'!W29="","",'Registrar expedidas_ingresos'!W29))</f>
        <v/>
      </c>
      <c r="X29" s="60" t="str">
        <f>IF(S29="S2",0,IF('Registrar expedidas_ingresos'!X29="","",ROUND('Registrar expedidas_ingresos'!X29,2)))</f>
        <v/>
      </c>
      <c r="Y29" s="60" t="str">
        <f>IF('Registrar expedidas_ingresos'!Y29="","",'Registrar expedidas_ingresos'!Y29)</f>
        <v/>
      </c>
      <c r="Z29" s="60" t="str">
        <f>IF('Registrar expedidas_ingresos'!Z29="","",ROUND('Registrar expedidas_ingresos'!Z29,2))</f>
        <v/>
      </c>
      <c r="AA29" s="64" t="str">
        <f>IF(R29&lt;&gt;"07","",IF('Registrar expedidas_ingresos'!AA29="","",'Registrar expedidas_ingresos'!AA29))</f>
        <v/>
      </c>
      <c r="AB29" s="60" t="str">
        <f>IF(R29&lt;&gt;"07","",IF('Registrar expedidas_ingresos'!AB29="","",'Registrar expedidas_ingresos'!AB29))</f>
        <v/>
      </c>
      <c r="AC29" s="61" t="str">
        <f>IF(R29&lt;&gt;"07","",IF(ISERROR(VLOOKUP(CONCATENATE("MEDIO UTILIZADO",'Registrar expedidas_ingresos'!AC29),'CODIGO-LITERAL'!$C:$D,2,FALSE)),"",VLOOKUP(CONCATENATE("MEDIO UTILIZADO",'Registrar expedidas_ingresos'!AC29),'CODIGO-LITERAL'!$C:$D,2,FALSE)))</f>
        <v/>
      </c>
      <c r="AD29" s="60" t="str">
        <f>IF(R29&lt;&gt;"07","",IF('Registrar expedidas_ingresos'!AD29="","",'Registrar expedidas_ingresos'!AD29))</f>
        <v/>
      </c>
      <c r="AE29" s="65"/>
      <c r="AF29" s="65"/>
      <c r="AG29" s="60" t="str">
        <f>IF('Registrar expedidas_ingresos'!AG29="","",'Registrar expedidas_ingresos'!AG29)</f>
        <v/>
      </c>
      <c r="AH29" s="61" t="str">
        <f>IF(ISERROR(VLOOKUP(CONCATENATE("SITUACION",'Registrar expedidas_ingresos'!AH29),'CODIGO-LITERAL'!$C:$D,2,FALSE)),"",VLOOKUP(CONCATENATE("SITUACION",'Registrar expedidas_ingresos'!AH29),'CODIGO-LITERAL'!$C:$D,2,FALSE))</f>
        <v/>
      </c>
      <c r="AI29" s="60" t="str">
        <f>IF('Registrar expedidas_ingresos'!AI29="","",'Registrar expedidas_ingresos'!AI29)</f>
        <v/>
      </c>
      <c r="AJ29" s="60" t="str">
        <f>IF('Registrar expedidas_ingresos'!AJ29="","",'Registrar expedidas_ingresos'!AJ29)</f>
        <v/>
      </c>
    </row>
    <row r="30" spans="1:36" s="2" customFormat="1" x14ac:dyDescent="0.25">
      <c r="A30" s="59" t="str">
        <f>IF('Registrar expedidas_ingresos'!J30="",IF('Registrar expedidas_ingresos'!I30="","",YEAR('Registrar expedidas_ingresos'!I30)),YEAR('Registrar expedidas_ingresos'!J30))</f>
        <v/>
      </c>
      <c r="B30" s="60" t="str">
        <f>IF('Registrar expedidas_ingresos'!B30="","",'Registrar expedidas_ingresos'!B30)</f>
        <v/>
      </c>
      <c r="C30" s="60" t="str">
        <f>IF('Registrar expedidas_ingresos'!C30="","",VLOOKUP(CONCATENATE("ACTIVIDAD",'Registrar expedidas_ingresos'!C30),'CODIGO-LITERAL'!C:D,2,FALSE))</f>
        <v/>
      </c>
      <c r="D30" s="60" t="str">
        <f>IF(OR(C30="C",C30="D"),"",IF(ISERROR(VLOOKUP(CONCATENATE(C30,'Registrar expedidas_ingresos'!D30),'CODIGO-LITERAL'!$C:$D,2,FALSE)),"",VLOOKUP(CONCATENATE(C30,'Registrar expedidas_ingresos'!D30),'CODIGO-LITERAL'!$C:$D,2,FALSE)))</f>
        <v/>
      </c>
      <c r="E30" s="60" t="str">
        <f>IF('Registrar expedidas_ingresos'!E30="","",'Registrar expedidas_ingresos'!E30)</f>
        <v/>
      </c>
      <c r="F30" s="61" t="str">
        <f>IF(ISERROR(VLOOKUP(CONCATENATE("TIPO FACTURA",'Registrar expedidas_ingresos'!F30),'CODIGO-LITERAL'!$C:$D,2,FALSE)),"",VLOOKUP(CONCATENATE("TIPO FACTURA",'Registrar expedidas_ingresos'!F30),'CODIGO-LITERAL'!$C:$D,2,FALSE))</f>
        <v/>
      </c>
      <c r="G30" s="62"/>
      <c r="H30" s="63"/>
      <c r="I30" s="64" t="str">
        <f>IF('Registrar expedidas_ingresos'!I30="","",'Registrar expedidas_ingresos'!I30)</f>
        <v/>
      </c>
      <c r="J30" s="64" t="str">
        <f>IF('Registrar expedidas_ingresos'!J30="","",'Registrar expedidas_ingresos'!J30)</f>
        <v/>
      </c>
      <c r="K30" s="60" t="str">
        <f>IF('Registrar expedidas_ingresos'!K30="","",'Registrar expedidas_ingresos'!K30)</f>
        <v/>
      </c>
      <c r="L30" s="60" t="str">
        <f>IF('Registrar expedidas_ingresos'!L30="","",'Registrar expedidas_ingresos'!L30)</f>
        <v/>
      </c>
      <c r="M30" s="60" t="str">
        <f>IF('Registrar expedidas_ingresos'!M30="","",'Registrar expedidas_ingresos'!M30)</f>
        <v/>
      </c>
      <c r="N30" s="61" t="str">
        <f>IF(OR(F30="F2",LEFT('Registrar expedidas_ingresos'!N30,2)="01"),"",IF(ISERROR(VLOOKUP(CONCATENATE("TIPO NIF",'Registrar expedidas_ingresos'!N30),'CODIGO-LITERAL'!$C:$D,2,FALSE)),"",VLOOKUP(CONCATENATE("TIPO NIF",'Registrar expedidas_ingresos'!N30),'CODIGO-LITERAL'!$C:$D,2,FALSE)))</f>
        <v/>
      </c>
      <c r="O30" s="60" t="str">
        <f>IF(OR('Registrar expedidas_ingresos'!O30="",N30="02",F30="F2"),"",'Registrar expedidas_ingresos'!O30)</f>
        <v/>
      </c>
      <c r="P30" s="60" t="str">
        <f>IF('Registrar expedidas_ingresos'!P30="","",'Registrar expedidas_ingresos'!P30)</f>
        <v/>
      </c>
      <c r="Q30" s="60" t="str">
        <f>IF(F30="F2","VENTAS A CONSUMIDOR FINAL",IF('Registrar expedidas_ingresos'!Q30="","",'Registrar expedidas_ingresos'!Q30))</f>
        <v/>
      </c>
      <c r="R30" s="61" t="str">
        <f>IF(F30="DV","02",IF(ISERROR(VLOOKUP(CONCATENATE("CLAVE OPERACION",'Registrar expedidas_ingresos'!R30),'CODIGO-LITERAL'!$C:$D,2,FALSE)),"",VLOOKUP(CONCATENATE("CLAVE OPERACION",'Registrar expedidas_ingresos'!R30),'CODIGO-LITERAL'!$C:$D,2,FALSE)))</f>
        <v/>
      </c>
      <c r="S30" s="61" t="str">
        <f>IF(R30="03","S1",
 IF(R30="08","N2",
  IF(ISERROR(VLOOKUP(CONCATENATE("CALIFICACION OPERACION",'Registrar expedidas_ingresos'!S30),'CODIGO-LITERAL'!$C:$D,2,FALSE)),"",VLOOKUP(CONCATENATE("CALIFICACION OPERACION",'Registrar expedidas_ingresos'!S30),'CODIGO-LITERAL'!$C:$D,2,FALSE))))</f>
        <v/>
      </c>
      <c r="T30" s="61" t="str">
        <f>IF(R30="03","",IF(R30="08","",IF(ISERROR(VLOOKUP(CONCATENATE("OPERACION EXENTA",'Registrar expedidas_ingresos'!T30),'CODIGO-LITERAL'!$C:$D,2,FALSE)),"",VLOOKUP(CONCATENATE("OPERACION EXENTA",'Registrar expedidas_ingresos'!T30),'CODIGO-LITERAL'!$C:$D,2,FALSE))))</f>
        <v/>
      </c>
      <c r="U30" s="60" t="str">
        <f t="shared" si="0"/>
        <v/>
      </c>
      <c r="V30" s="60" t="str">
        <f>IF('Registrar expedidas_ingresos'!V30="","",ROUND('Registrar expedidas_ingresos'!V30,2))</f>
        <v/>
      </c>
      <c r="W30" s="60" t="str">
        <f>IF(S30="S2",0,IF('Registrar expedidas_ingresos'!W30="","",'Registrar expedidas_ingresos'!W30))</f>
        <v/>
      </c>
      <c r="X30" s="60" t="str">
        <f>IF(S30="S2",0,IF('Registrar expedidas_ingresos'!X30="","",ROUND('Registrar expedidas_ingresos'!X30,2)))</f>
        <v/>
      </c>
      <c r="Y30" s="60" t="str">
        <f>IF('Registrar expedidas_ingresos'!Y30="","",'Registrar expedidas_ingresos'!Y30)</f>
        <v/>
      </c>
      <c r="Z30" s="60" t="str">
        <f>IF('Registrar expedidas_ingresos'!Z30="","",ROUND('Registrar expedidas_ingresos'!Z30,2))</f>
        <v/>
      </c>
      <c r="AA30" s="64" t="str">
        <f>IF(R30&lt;&gt;"07","",IF('Registrar expedidas_ingresos'!AA30="","",'Registrar expedidas_ingresos'!AA30))</f>
        <v/>
      </c>
      <c r="AB30" s="60" t="str">
        <f>IF(R30&lt;&gt;"07","",IF('Registrar expedidas_ingresos'!AB30="","",'Registrar expedidas_ingresos'!AB30))</f>
        <v/>
      </c>
      <c r="AC30" s="61" t="str">
        <f>IF(R30&lt;&gt;"07","",IF(ISERROR(VLOOKUP(CONCATENATE("MEDIO UTILIZADO",'Registrar expedidas_ingresos'!AC30),'CODIGO-LITERAL'!$C:$D,2,FALSE)),"",VLOOKUP(CONCATENATE("MEDIO UTILIZADO",'Registrar expedidas_ingresos'!AC30),'CODIGO-LITERAL'!$C:$D,2,FALSE)))</f>
        <v/>
      </c>
      <c r="AD30" s="60" t="str">
        <f>IF(R30&lt;&gt;"07","",IF('Registrar expedidas_ingresos'!AD30="","",'Registrar expedidas_ingresos'!AD30))</f>
        <v/>
      </c>
      <c r="AE30" s="65"/>
      <c r="AF30" s="65"/>
      <c r="AG30" s="60" t="str">
        <f>IF('Registrar expedidas_ingresos'!AG30="","",'Registrar expedidas_ingresos'!AG30)</f>
        <v/>
      </c>
      <c r="AH30" s="61" t="str">
        <f>IF(ISERROR(VLOOKUP(CONCATENATE("SITUACION",'Registrar expedidas_ingresos'!AH30),'CODIGO-LITERAL'!$C:$D,2,FALSE)),"",VLOOKUP(CONCATENATE("SITUACION",'Registrar expedidas_ingresos'!AH30),'CODIGO-LITERAL'!$C:$D,2,FALSE))</f>
        <v/>
      </c>
      <c r="AI30" s="60" t="str">
        <f>IF('Registrar expedidas_ingresos'!AI30="","",'Registrar expedidas_ingresos'!AI30)</f>
        <v/>
      </c>
      <c r="AJ30" s="60" t="str">
        <f>IF('Registrar expedidas_ingresos'!AJ30="","",'Registrar expedidas_ingresos'!AJ30)</f>
        <v/>
      </c>
    </row>
    <row r="31" spans="1:36" s="2" customFormat="1" x14ac:dyDescent="0.25">
      <c r="A31" s="59" t="str">
        <f>IF('Registrar expedidas_ingresos'!J31="",IF('Registrar expedidas_ingresos'!I31="","",YEAR('Registrar expedidas_ingresos'!I31)),YEAR('Registrar expedidas_ingresos'!J31))</f>
        <v/>
      </c>
      <c r="B31" s="60" t="str">
        <f>IF('Registrar expedidas_ingresos'!B31="","",'Registrar expedidas_ingresos'!B31)</f>
        <v/>
      </c>
      <c r="C31" s="60" t="str">
        <f>IF('Registrar expedidas_ingresos'!C31="","",VLOOKUP(CONCATENATE("ACTIVIDAD",'Registrar expedidas_ingresos'!C31),'CODIGO-LITERAL'!C:D,2,FALSE))</f>
        <v/>
      </c>
      <c r="D31" s="60" t="str">
        <f>IF(OR(C31="C",C31="D"),"",IF(ISERROR(VLOOKUP(CONCATENATE(C31,'Registrar expedidas_ingresos'!D31),'CODIGO-LITERAL'!$C:$D,2,FALSE)),"",VLOOKUP(CONCATENATE(C31,'Registrar expedidas_ingresos'!D31),'CODIGO-LITERAL'!$C:$D,2,FALSE)))</f>
        <v/>
      </c>
      <c r="E31" s="60" t="str">
        <f>IF('Registrar expedidas_ingresos'!E31="","",'Registrar expedidas_ingresos'!E31)</f>
        <v/>
      </c>
      <c r="F31" s="61" t="str">
        <f>IF(ISERROR(VLOOKUP(CONCATENATE("TIPO FACTURA",'Registrar expedidas_ingresos'!F31),'CODIGO-LITERAL'!$C:$D,2,FALSE)),"",VLOOKUP(CONCATENATE("TIPO FACTURA",'Registrar expedidas_ingresos'!F31),'CODIGO-LITERAL'!$C:$D,2,FALSE))</f>
        <v/>
      </c>
      <c r="G31" s="62"/>
      <c r="H31" s="63"/>
      <c r="I31" s="64" t="str">
        <f>IF('Registrar expedidas_ingresos'!I31="","",'Registrar expedidas_ingresos'!I31)</f>
        <v/>
      </c>
      <c r="J31" s="64" t="str">
        <f>IF('Registrar expedidas_ingresos'!J31="","",'Registrar expedidas_ingresos'!J31)</f>
        <v/>
      </c>
      <c r="K31" s="60" t="str">
        <f>IF('Registrar expedidas_ingresos'!K31="","",'Registrar expedidas_ingresos'!K31)</f>
        <v/>
      </c>
      <c r="L31" s="60" t="str">
        <f>IF('Registrar expedidas_ingresos'!L31="","",'Registrar expedidas_ingresos'!L31)</f>
        <v/>
      </c>
      <c r="M31" s="60" t="str">
        <f>IF('Registrar expedidas_ingresos'!M31="","",'Registrar expedidas_ingresos'!M31)</f>
        <v/>
      </c>
      <c r="N31" s="61" t="str">
        <f>IF(OR(F31="F2",LEFT('Registrar expedidas_ingresos'!N31,2)="01"),"",IF(ISERROR(VLOOKUP(CONCATENATE("TIPO NIF",'Registrar expedidas_ingresos'!N31),'CODIGO-LITERAL'!$C:$D,2,FALSE)),"",VLOOKUP(CONCATENATE("TIPO NIF",'Registrar expedidas_ingresos'!N31),'CODIGO-LITERAL'!$C:$D,2,FALSE)))</f>
        <v/>
      </c>
      <c r="O31" s="60" t="str">
        <f>IF(OR('Registrar expedidas_ingresos'!O31="",N31="02",F31="F2"),"",'Registrar expedidas_ingresos'!O31)</f>
        <v/>
      </c>
      <c r="P31" s="60" t="str">
        <f>IF('Registrar expedidas_ingresos'!P31="","",'Registrar expedidas_ingresos'!P31)</f>
        <v/>
      </c>
      <c r="Q31" s="60" t="str">
        <f>IF(F31="F2","VENTAS A CONSUMIDOR FINAL",IF('Registrar expedidas_ingresos'!Q31="","",'Registrar expedidas_ingresos'!Q31))</f>
        <v/>
      </c>
      <c r="R31" s="61" t="str">
        <f>IF(F31="DV","02",IF(ISERROR(VLOOKUP(CONCATENATE("CLAVE OPERACION",'Registrar expedidas_ingresos'!R31),'CODIGO-LITERAL'!$C:$D,2,FALSE)),"",VLOOKUP(CONCATENATE("CLAVE OPERACION",'Registrar expedidas_ingresos'!R31),'CODIGO-LITERAL'!$C:$D,2,FALSE)))</f>
        <v/>
      </c>
      <c r="S31" s="61" t="str">
        <f>IF(R31="03","S1",
 IF(R31="08","N2",
  IF(ISERROR(VLOOKUP(CONCATENATE("CALIFICACION OPERACION",'Registrar expedidas_ingresos'!S31),'CODIGO-LITERAL'!$C:$D,2,FALSE)),"",VLOOKUP(CONCATENATE("CALIFICACION OPERACION",'Registrar expedidas_ingresos'!S31),'CODIGO-LITERAL'!$C:$D,2,FALSE))))</f>
        <v/>
      </c>
      <c r="T31" s="61" t="str">
        <f>IF(R31="03","",IF(R31="08","",IF(ISERROR(VLOOKUP(CONCATENATE("OPERACION EXENTA",'Registrar expedidas_ingresos'!T31),'CODIGO-LITERAL'!$C:$D,2,FALSE)),"",VLOOKUP(CONCATENATE("OPERACION EXENTA",'Registrar expedidas_ingresos'!T31),'CODIGO-LITERAL'!$C:$D,2,FALSE))))</f>
        <v/>
      </c>
      <c r="U31" s="60" t="str">
        <f t="shared" si="0"/>
        <v/>
      </c>
      <c r="V31" s="60" t="str">
        <f>IF('Registrar expedidas_ingresos'!V31="","",ROUND('Registrar expedidas_ingresos'!V31,2))</f>
        <v/>
      </c>
      <c r="W31" s="60" t="str">
        <f>IF(S31="S2",0,IF('Registrar expedidas_ingresos'!W31="","",'Registrar expedidas_ingresos'!W31))</f>
        <v/>
      </c>
      <c r="X31" s="60" t="str">
        <f>IF(S31="S2",0,IF('Registrar expedidas_ingresos'!X31="","",ROUND('Registrar expedidas_ingresos'!X31,2)))</f>
        <v/>
      </c>
      <c r="Y31" s="60" t="str">
        <f>IF('Registrar expedidas_ingresos'!Y31="","",'Registrar expedidas_ingresos'!Y31)</f>
        <v/>
      </c>
      <c r="Z31" s="60" t="str">
        <f>IF('Registrar expedidas_ingresos'!Z31="","",ROUND('Registrar expedidas_ingresos'!Z31,2))</f>
        <v/>
      </c>
      <c r="AA31" s="64" t="str">
        <f>IF(R31&lt;&gt;"07","",IF('Registrar expedidas_ingresos'!AA31="","",'Registrar expedidas_ingresos'!AA31))</f>
        <v/>
      </c>
      <c r="AB31" s="60" t="str">
        <f>IF(R31&lt;&gt;"07","",IF('Registrar expedidas_ingresos'!AB31="","",'Registrar expedidas_ingresos'!AB31))</f>
        <v/>
      </c>
      <c r="AC31" s="61" t="str">
        <f>IF(R31&lt;&gt;"07","",IF(ISERROR(VLOOKUP(CONCATENATE("MEDIO UTILIZADO",'Registrar expedidas_ingresos'!AC31),'CODIGO-LITERAL'!$C:$D,2,FALSE)),"",VLOOKUP(CONCATENATE("MEDIO UTILIZADO",'Registrar expedidas_ingresos'!AC31),'CODIGO-LITERAL'!$C:$D,2,FALSE)))</f>
        <v/>
      </c>
      <c r="AD31" s="60" t="str">
        <f>IF(R31&lt;&gt;"07","",IF('Registrar expedidas_ingresos'!AD31="","",'Registrar expedidas_ingresos'!AD31))</f>
        <v/>
      </c>
      <c r="AE31" s="65"/>
      <c r="AF31" s="65"/>
      <c r="AG31" s="60" t="str">
        <f>IF('Registrar expedidas_ingresos'!AG31="","",'Registrar expedidas_ingresos'!AG31)</f>
        <v/>
      </c>
      <c r="AH31" s="61" t="str">
        <f>IF(ISERROR(VLOOKUP(CONCATENATE("SITUACION",'Registrar expedidas_ingresos'!AH31),'CODIGO-LITERAL'!$C:$D,2,FALSE)),"",VLOOKUP(CONCATENATE("SITUACION",'Registrar expedidas_ingresos'!AH31),'CODIGO-LITERAL'!$C:$D,2,FALSE))</f>
        <v/>
      </c>
      <c r="AI31" s="60" t="str">
        <f>IF('Registrar expedidas_ingresos'!AI31="","",'Registrar expedidas_ingresos'!AI31)</f>
        <v/>
      </c>
      <c r="AJ31" s="60" t="str">
        <f>IF('Registrar expedidas_ingresos'!AJ31="","",'Registrar expedidas_ingresos'!AJ31)</f>
        <v/>
      </c>
    </row>
    <row r="32" spans="1:36" s="2" customFormat="1" x14ac:dyDescent="0.25">
      <c r="A32" s="59" t="str">
        <f>IF('Registrar expedidas_ingresos'!J32="",IF('Registrar expedidas_ingresos'!I32="","",YEAR('Registrar expedidas_ingresos'!I32)),YEAR('Registrar expedidas_ingresos'!J32))</f>
        <v/>
      </c>
      <c r="B32" s="60" t="str">
        <f>IF('Registrar expedidas_ingresos'!B32="","",'Registrar expedidas_ingresos'!B32)</f>
        <v/>
      </c>
      <c r="C32" s="60" t="str">
        <f>IF('Registrar expedidas_ingresos'!C32="","",VLOOKUP(CONCATENATE("ACTIVIDAD",'Registrar expedidas_ingresos'!C32),'CODIGO-LITERAL'!C:D,2,FALSE))</f>
        <v/>
      </c>
      <c r="D32" s="60" t="str">
        <f>IF(OR(C32="C",C32="D"),"",IF(ISERROR(VLOOKUP(CONCATENATE(C32,'Registrar expedidas_ingresos'!D32),'CODIGO-LITERAL'!$C:$D,2,FALSE)),"",VLOOKUP(CONCATENATE(C32,'Registrar expedidas_ingresos'!D32),'CODIGO-LITERAL'!$C:$D,2,FALSE)))</f>
        <v/>
      </c>
      <c r="E32" s="60" t="str">
        <f>IF('Registrar expedidas_ingresos'!E32="","",'Registrar expedidas_ingresos'!E32)</f>
        <v/>
      </c>
      <c r="F32" s="61" t="str">
        <f>IF(ISERROR(VLOOKUP(CONCATENATE("TIPO FACTURA",'Registrar expedidas_ingresos'!F32),'CODIGO-LITERAL'!$C:$D,2,FALSE)),"",VLOOKUP(CONCATENATE("TIPO FACTURA",'Registrar expedidas_ingresos'!F32),'CODIGO-LITERAL'!$C:$D,2,FALSE))</f>
        <v/>
      </c>
      <c r="G32" s="62"/>
      <c r="H32" s="63"/>
      <c r="I32" s="64" t="str">
        <f>IF('Registrar expedidas_ingresos'!I32="","",'Registrar expedidas_ingresos'!I32)</f>
        <v/>
      </c>
      <c r="J32" s="64" t="str">
        <f>IF('Registrar expedidas_ingresos'!J32="","",'Registrar expedidas_ingresos'!J32)</f>
        <v/>
      </c>
      <c r="K32" s="60" t="str">
        <f>IF('Registrar expedidas_ingresos'!K32="","",'Registrar expedidas_ingresos'!K32)</f>
        <v/>
      </c>
      <c r="L32" s="60" t="str">
        <f>IF('Registrar expedidas_ingresos'!L32="","",'Registrar expedidas_ingresos'!L32)</f>
        <v/>
      </c>
      <c r="M32" s="60" t="str">
        <f>IF('Registrar expedidas_ingresos'!M32="","",'Registrar expedidas_ingresos'!M32)</f>
        <v/>
      </c>
      <c r="N32" s="61" t="str">
        <f>IF(OR(F32="F2",LEFT('Registrar expedidas_ingresos'!N32,2)="01"),"",IF(ISERROR(VLOOKUP(CONCATENATE("TIPO NIF",'Registrar expedidas_ingresos'!N32),'CODIGO-LITERAL'!$C:$D,2,FALSE)),"",VLOOKUP(CONCATENATE("TIPO NIF",'Registrar expedidas_ingresos'!N32),'CODIGO-LITERAL'!$C:$D,2,FALSE)))</f>
        <v/>
      </c>
      <c r="O32" s="60" t="str">
        <f>IF(OR('Registrar expedidas_ingresos'!O32="",N32="02",F32="F2"),"",'Registrar expedidas_ingresos'!O32)</f>
        <v/>
      </c>
      <c r="P32" s="60" t="str">
        <f>IF('Registrar expedidas_ingresos'!P32="","",'Registrar expedidas_ingresos'!P32)</f>
        <v/>
      </c>
      <c r="Q32" s="60" t="str">
        <f>IF(F32="F2","VENTAS A CONSUMIDOR FINAL",IF('Registrar expedidas_ingresos'!Q32="","",'Registrar expedidas_ingresos'!Q32))</f>
        <v/>
      </c>
      <c r="R32" s="61" t="str">
        <f>IF(F32="DV","02",IF(ISERROR(VLOOKUP(CONCATENATE("CLAVE OPERACION",'Registrar expedidas_ingresos'!R32),'CODIGO-LITERAL'!$C:$D,2,FALSE)),"",VLOOKUP(CONCATENATE("CLAVE OPERACION",'Registrar expedidas_ingresos'!R32),'CODIGO-LITERAL'!$C:$D,2,FALSE)))</f>
        <v/>
      </c>
      <c r="S32" s="61" t="str">
        <f>IF(R32="03","S1",
 IF(R32="08","N2",
  IF(ISERROR(VLOOKUP(CONCATENATE("CALIFICACION OPERACION",'Registrar expedidas_ingresos'!S32),'CODIGO-LITERAL'!$C:$D,2,FALSE)),"",VLOOKUP(CONCATENATE("CALIFICACION OPERACION",'Registrar expedidas_ingresos'!S32),'CODIGO-LITERAL'!$C:$D,2,FALSE))))</f>
        <v/>
      </c>
      <c r="T32" s="61" t="str">
        <f>IF(R32="03","",IF(R32="08","",IF(ISERROR(VLOOKUP(CONCATENATE("OPERACION EXENTA",'Registrar expedidas_ingresos'!T32),'CODIGO-LITERAL'!$C:$D,2,FALSE)),"",VLOOKUP(CONCATENATE("OPERACION EXENTA",'Registrar expedidas_ingresos'!T32),'CODIGO-LITERAL'!$C:$D,2,FALSE))))</f>
        <v/>
      </c>
      <c r="U32" s="60" t="str">
        <f t="shared" si="0"/>
        <v/>
      </c>
      <c r="V32" s="60" t="str">
        <f>IF('Registrar expedidas_ingresos'!V32="","",ROUND('Registrar expedidas_ingresos'!V32,2))</f>
        <v/>
      </c>
      <c r="W32" s="60" t="str">
        <f>IF(S32="S2",0,IF('Registrar expedidas_ingresos'!W32="","",'Registrar expedidas_ingresos'!W32))</f>
        <v/>
      </c>
      <c r="X32" s="60" t="str">
        <f>IF(S32="S2",0,IF('Registrar expedidas_ingresos'!X32="","",ROUND('Registrar expedidas_ingresos'!X32,2)))</f>
        <v/>
      </c>
      <c r="Y32" s="60" t="str">
        <f>IF('Registrar expedidas_ingresos'!Y32="","",'Registrar expedidas_ingresos'!Y32)</f>
        <v/>
      </c>
      <c r="Z32" s="60" t="str">
        <f>IF('Registrar expedidas_ingresos'!Z32="","",ROUND('Registrar expedidas_ingresos'!Z32,2))</f>
        <v/>
      </c>
      <c r="AA32" s="64" t="str">
        <f>IF(R32&lt;&gt;"07","",IF('Registrar expedidas_ingresos'!AA32="","",'Registrar expedidas_ingresos'!AA32))</f>
        <v/>
      </c>
      <c r="AB32" s="60" t="str">
        <f>IF(R32&lt;&gt;"07","",IF('Registrar expedidas_ingresos'!AB32="","",'Registrar expedidas_ingresos'!AB32))</f>
        <v/>
      </c>
      <c r="AC32" s="61" t="str">
        <f>IF(R32&lt;&gt;"07","",IF(ISERROR(VLOOKUP(CONCATENATE("MEDIO UTILIZADO",'Registrar expedidas_ingresos'!AC32),'CODIGO-LITERAL'!$C:$D,2,FALSE)),"",VLOOKUP(CONCATENATE("MEDIO UTILIZADO",'Registrar expedidas_ingresos'!AC32),'CODIGO-LITERAL'!$C:$D,2,FALSE)))</f>
        <v/>
      </c>
      <c r="AD32" s="60" t="str">
        <f>IF(R32&lt;&gt;"07","",IF('Registrar expedidas_ingresos'!AD32="","",'Registrar expedidas_ingresos'!AD32))</f>
        <v/>
      </c>
      <c r="AE32" s="65"/>
      <c r="AF32" s="65"/>
      <c r="AG32" s="60" t="str">
        <f>IF('Registrar expedidas_ingresos'!AG32="","",'Registrar expedidas_ingresos'!AG32)</f>
        <v/>
      </c>
      <c r="AH32" s="61" t="str">
        <f>IF(ISERROR(VLOOKUP(CONCATENATE("SITUACION",'Registrar expedidas_ingresos'!AH32),'CODIGO-LITERAL'!$C:$D,2,FALSE)),"",VLOOKUP(CONCATENATE("SITUACION",'Registrar expedidas_ingresos'!AH32),'CODIGO-LITERAL'!$C:$D,2,FALSE))</f>
        <v/>
      </c>
      <c r="AI32" s="60" t="str">
        <f>IF('Registrar expedidas_ingresos'!AI32="","",'Registrar expedidas_ingresos'!AI32)</f>
        <v/>
      </c>
      <c r="AJ32" s="60" t="str">
        <f>IF('Registrar expedidas_ingresos'!AJ32="","",'Registrar expedidas_ingresos'!AJ32)</f>
        <v/>
      </c>
    </row>
    <row r="33" spans="1:36" s="2" customFormat="1" x14ac:dyDescent="0.25">
      <c r="A33" s="59" t="str">
        <f>IF('Registrar expedidas_ingresos'!J33="",IF('Registrar expedidas_ingresos'!I33="","",YEAR('Registrar expedidas_ingresos'!I33)),YEAR('Registrar expedidas_ingresos'!J33))</f>
        <v/>
      </c>
      <c r="B33" s="60" t="str">
        <f>IF('Registrar expedidas_ingresos'!B33="","",'Registrar expedidas_ingresos'!B33)</f>
        <v/>
      </c>
      <c r="C33" s="60" t="str">
        <f>IF('Registrar expedidas_ingresos'!C33="","",VLOOKUP(CONCATENATE("ACTIVIDAD",'Registrar expedidas_ingresos'!C33),'CODIGO-LITERAL'!C:D,2,FALSE))</f>
        <v/>
      </c>
      <c r="D33" s="60" t="str">
        <f>IF(OR(C33="C",C33="D"),"",IF(ISERROR(VLOOKUP(CONCATENATE(C33,'Registrar expedidas_ingresos'!D33),'CODIGO-LITERAL'!$C:$D,2,FALSE)),"",VLOOKUP(CONCATENATE(C33,'Registrar expedidas_ingresos'!D33),'CODIGO-LITERAL'!$C:$D,2,FALSE)))</f>
        <v/>
      </c>
      <c r="E33" s="60" t="str">
        <f>IF('Registrar expedidas_ingresos'!E33="","",'Registrar expedidas_ingresos'!E33)</f>
        <v/>
      </c>
      <c r="F33" s="61" t="str">
        <f>IF(ISERROR(VLOOKUP(CONCATENATE("TIPO FACTURA",'Registrar expedidas_ingresos'!F33),'CODIGO-LITERAL'!$C:$D,2,FALSE)),"",VLOOKUP(CONCATENATE("TIPO FACTURA",'Registrar expedidas_ingresos'!F33),'CODIGO-LITERAL'!$C:$D,2,FALSE))</f>
        <v/>
      </c>
      <c r="G33" s="62"/>
      <c r="H33" s="63"/>
      <c r="I33" s="64" t="str">
        <f>IF('Registrar expedidas_ingresos'!I33="","",'Registrar expedidas_ingresos'!I33)</f>
        <v/>
      </c>
      <c r="J33" s="64" t="str">
        <f>IF('Registrar expedidas_ingresos'!J33="","",'Registrar expedidas_ingresos'!J33)</f>
        <v/>
      </c>
      <c r="K33" s="60" t="str">
        <f>IF('Registrar expedidas_ingresos'!K33="","",'Registrar expedidas_ingresos'!K33)</f>
        <v/>
      </c>
      <c r="L33" s="60" t="str">
        <f>IF('Registrar expedidas_ingresos'!L33="","",'Registrar expedidas_ingresos'!L33)</f>
        <v/>
      </c>
      <c r="M33" s="60" t="str">
        <f>IF('Registrar expedidas_ingresos'!M33="","",'Registrar expedidas_ingresos'!M33)</f>
        <v/>
      </c>
      <c r="N33" s="61" t="str">
        <f>IF(OR(F33="F2",LEFT('Registrar expedidas_ingresos'!N33,2)="01"),"",IF(ISERROR(VLOOKUP(CONCATENATE("TIPO NIF",'Registrar expedidas_ingresos'!N33),'CODIGO-LITERAL'!$C:$D,2,FALSE)),"",VLOOKUP(CONCATENATE("TIPO NIF",'Registrar expedidas_ingresos'!N33),'CODIGO-LITERAL'!$C:$D,2,FALSE)))</f>
        <v/>
      </c>
      <c r="O33" s="60" t="str">
        <f>IF(OR('Registrar expedidas_ingresos'!O33="",N33="02",F33="F2"),"",'Registrar expedidas_ingresos'!O33)</f>
        <v/>
      </c>
      <c r="P33" s="60" t="str">
        <f>IF('Registrar expedidas_ingresos'!P33="","",'Registrar expedidas_ingresos'!P33)</f>
        <v/>
      </c>
      <c r="Q33" s="60" t="str">
        <f>IF(F33="F2","VENTAS A CONSUMIDOR FINAL",IF('Registrar expedidas_ingresos'!Q33="","",'Registrar expedidas_ingresos'!Q33))</f>
        <v/>
      </c>
      <c r="R33" s="61" t="str">
        <f>IF(F33="DV","02",IF(ISERROR(VLOOKUP(CONCATENATE("CLAVE OPERACION",'Registrar expedidas_ingresos'!R33),'CODIGO-LITERAL'!$C:$D,2,FALSE)),"",VLOOKUP(CONCATENATE("CLAVE OPERACION",'Registrar expedidas_ingresos'!R33),'CODIGO-LITERAL'!$C:$D,2,FALSE)))</f>
        <v/>
      </c>
      <c r="S33" s="61" t="str">
        <f>IF(R33="03","S1",
 IF(R33="08","N2",
  IF(ISERROR(VLOOKUP(CONCATENATE("CALIFICACION OPERACION",'Registrar expedidas_ingresos'!S33),'CODIGO-LITERAL'!$C:$D,2,FALSE)),"",VLOOKUP(CONCATENATE("CALIFICACION OPERACION",'Registrar expedidas_ingresos'!S33),'CODIGO-LITERAL'!$C:$D,2,FALSE))))</f>
        <v/>
      </c>
      <c r="T33" s="61" t="str">
        <f>IF(R33="03","",IF(R33="08","",IF(ISERROR(VLOOKUP(CONCATENATE("OPERACION EXENTA",'Registrar expedidas_ingresos'!T33),'CODIGO-LITERAL'!$C:$D,2,FALSE)),"",VLOOKUP(CONCATENATE("OPERACION EXENTA",'Registrar expedidas_ingresos'!T33),'CODIGO-LITERAL'!$C:$D,2,FALSE))))</f>
        <v/>
      </c>
      <c r="U33" s="60" t="str">
        <f t="shared" si="0"/>
        <v/>
      </c>
      <c r="V33" s="60" t="str">
        <f>IF('Registrar expedidas_ingresos'!V33="","",ROUND('Registrar expedidas_ingresos'!V33,2))</f>
        <v/>
      </c>
      <c r="W33" s="60" t="str">
        <f>IF(S33="S2",0,IF('Registrar expedidas_ingresos'!W33="","",'Registrar expedidas_ingresos'!W33))</f>
        <v/>
      </c>
      <c r="X33" s="60" t="str">
        <f>IF(S33="S2",0,IF('Registrar expedidas_ingresos'!X33="","",ROUND('Registrar expedidas_ingresos'!X33,2)))</f>
        <v/>
      </c>
      <c r="Y33" s="60" t="str">
        <f>IF('Registrar expedidas_ingresos'!Y33="","",'Registrar expedidas_ingresos'!Y33)</f>
        <v/>
      </c>
      <c r="Z33" s="60" t="str">
        <f>IF('Registrar expedidas_ingresos'!Z33="","",ROUND('Registrar expedidas_ingresos'!Z33,2))</f>
        <v/>
      </c>
      <c r="AA33" s="64" t="str">
        <f>IF(R33&lt;&gt;"07","",IF('Registrar expedidas_ingresos'!AA33="","",'Registrar expedidas_ingresos'!AA33))</f>
        <v/>
      </c>
      <c r="AB33" s="60" t="str">
        <f>IF(R33&lt;&gt;"07","",IF('Registrar expedidas_ingresos'!AB33="","",'Registrar expedidas_ingresos'!AB33))</f>
        <v/>
      </c>
      <c r="AC33" s="61" t="str">
        <f>IF(R33&lt;&gt;"07","",IF(ISERROR(VLOOKUP(CONCATENATE("MEDIO UTILIZADO",'Registrar expedidas_ingresos'!AC33),'CODIGO-LITERAL'!$C:$D,2,FALSE)),"",VLOOKUP(CONCATENATE("MEDIO UTILIZADO",'Registrar expedidas_ingresos'!AC33),'CODIGO-LITERAL'!$C:$D,2,FALSE)))</f>
        <v/>
      </c>
      <c r="AD33" s="60" t="str">
        <f>IF(R33&lt;&gt;"07","",IF('Registrar expedidas_ingresos'!AD33="","",'Registrar expedidas_ingresos'!AD33))</f>
        <v/>
      </c>
      <c r="AE33" s="65"/>
      <c r="AF33" s="65"/>
      <c r="AG33" s="60" t="str">
        <f>IF('Registrar expedidas_ingresos'!AG33="","",'Registrar expedidas_ingresos'!AG33)</f>
        <v/>
      </c>
      <c r="AH33" s="61" t="str">
        <f>IF(ISERROR(VLOOKUP(CONCATENATE("SITUACION",'Registrar expedidas_ingresos'!AH33),'CODIGO-LITERAL'!$C:$D,2,FALSE)),"",VLOOKUP(CONCATENATE("SITUACION",'Registrar expedidas_ingresos'!AH33),'CODIGO-LITERAL'!$C:$D,2,FALSE))</f>
        <v/>
      </c>
      <c r="AI33" s="60" t="str">
        <f>IF('Registrar expedidas_ingresos'!AI33="","",'Registrar expedidas_ingresos'!AI33)</f>
        <v/>
      </c>
      <c r="AJ33" s="60" t="str">
        <f>IF('Registrar expedidas_ingresos'!AJ33="","",'Registrar expedidas_ingresos'!AJ33)</f>
        <v/>
      </c>
    </row>
    <row r="34" spans="1:36" s="2" customFormat="1" x14ac:dyDescent="0.25">
      <c r="A34" s="59" t="str">
        <f>IF('Registrar expedidas_ingresos'!J34="",IF('Registrar expedidas_ingresos'!I34="","",YEAR('Registrar expedidas_ingresos'!I34)),YEAR('Registrar expedidas_ingresos'!J34))</f>
        <v/>
      </c>
      <c r="B34" s="60" t="str">
        <f>IF('Registrar expedidas_ingresos'!B34="","",'Registrar expedidas_ingresos'!B34)</f>
        <v/>
      </c>
      <c r="C34" s="60" t="str">
        <f>IF('Registrar expedidas_ingresos'!C34="","",VLOOKUP(CONCATENATE("ACTIVIDAD",'Registrar expedidas_ingresos'!C34),'CODIGO-LITERAL'!C:D,2,FALSE))</f>
        <v/>
      </c>
      <c r="D34" s="60" t="str">
        <f>IF(OR(C34="C",C34="D"),"",IF(ISERROR(VLOOKUP(CONCATENATE(C34,'Registrar expedidas_ingresos'!D34),'CODIGO-LITERAL'!$C:$D,2,FALSE)),"",VLOOKUP(CONCATENATE(C34,'Registrar expedidas_ingresos'!D34),'CODIGO-LITERAL'!$C:$D,2,FALSE)))</f>
        <v/>
      </c>
      <c r="E34" s="60" t="str">
        <f>IF('Registrar expedidas_ingresos'!E34="","",'Registrar expedidas_ingresos'!E34)</f>
        <v/>
      </c>
      <c r="F34" s="61" t="str">
        <f>IF(ISERROR(VLOOKUP(CONCATENATE("TIPO FACTURA",'Registrar expedidas_ingresos'!F34),'CODIGO-LITERAL'!$C:$D,2,FALSE)),"",VLOOKUP(CONCATENATE("TIPO FACTURA",'Registrar expedidas_ingresos'!F34),'CODIGO-LITERAL'!$C:$D,2,FALSE))</f>
        <v/>
      </c>
      <c r="G34" s="62"/>
      <c r="H34" s="63"/>
      <c r="I34" s="64" t="str">
        <f>IF('Registrar expedidas_ingresos'!I34="","",'Registrar expedidas_ingresos'!I34)</f>
        <v/>
      </c>
      <c r="J34" s="64" t="str">
        <f>IF('Registrar expedidas_ingresos'!J34="","",'Registrar expedidas_ingresos'!J34)</f>
        <v/>
      </c>
      <c r="K34" s="60" t="str">
        <f>IF('Registrar expedidas_ingresos'!K34="","",'Registrar expedidas_ingresos'!K34)</f>
        <v/>
      </c>
      <c r="L34" s="60" t="str">
        <f>IF('Registrar expedidas_ingresos'!L34="","",'Registrar expedidas_ingresos'!L34)</f>
        <v/>
      </c>
      <c r="M34" s="60" t="str">
        <f>IF('Registrar expedidas_ingresos'!M34="","",'Registrar expedidas_ingresos'!M34)</f>
        <v/>
      </c>
      <c r="N34" s="61" t="str">
        <f>IF(OR(F34="F2",LEFT('Registrar expedidas_ingresos'!N34,2)="01"),"",IF(ISERROR(VLOOKUP(CONCATENATE("TIPO NIF",'Registrar expedidas_ingresos'!N34),'CODIGO-LITERAL'!$C:$D,2,FALSE)),"",VLOOKUP(CONCATENATE("TIPO NIF",'Registrar expedidas_ingresos'!N34),'CODIGO-LITERAL'!$C:$D,2,FALSE)))</f>
        <v/>
      </c>
      <c r="O34" s="60" t="str">
        <f>IF(OR('Registrar expedidas_ingresos'!O34="",N34="02",F34="F2"),"",'Registrar expedidas_ingresos'!O34)</f>
        <v/>
      </c>
      <c r="P34" s="60" t="str">
        <f>IF('Registrar expedidas_ingresos'!P34="","",'Registrar expedidas_ingresos'!P34)</f>
        <v/>
      </c>
      <c r="Q34" s="60" t="str">
        <f>IF(F34="F2","VENTAS A CONSUMIDOR FINAL",IF('Registrar expedidas_ingresos'!Q34="","",'Registrar expedidas_ingresos'!Q34))</f>
        <v/>
      </c>
      <c r="R34" s="61" t="str">
        <f>IF(F34="DV","02",IF(ISERROR(VLOOKUP(CONCATENATE("CLAVE OPERACION",'Registrar expedidas_ingresos'!R34),'CODIGO-LITERAL'!$C:$D,2,FALSE)),"",VLOOKUP(CONCATENATE("CLAVE OPERACION",'Registrar expedidas_ingresos'!R34),'CODIGO-LITERAL'!$C:$D,2,FALSE)))</f>
        <v/>
      </c>
      <c r="S34" s="61" t="str">
        <f>IF(R34="03","S1",
 IF(R34="08","N2",
  IF(ISERROR(VLOOKUP(CONCATENATE("CALIFICACION OPERACION",'Registrar expedidas_ingresos'!S34),'CODIGO-LITERAL'!$C:$D,2,FALSE)),"",VLOOKUP(CONCATENATE("CALIFICACION OPERACION",'Registrar expedidas_ingresos'!S34),'CODIGO-LITERAL'!$C:$D,2,FALSE))))</f>
        <v/>
      </c>
      <c r="T34" s="61" t="str">
        <f>IF(R34="03","",IF(R34="08","",IF(ISERROR(VLOOKUP(CONCATENATE("OPERACION EXENTA",'Registrar expedidas_ingresos'!T34),'CODIGO-LITERAL'!$C:$D,2,FALSE)),"",VLOOKUP(CONCATENATE("OPERACION EXENTA",'Registrar expedidas_ingresos'!T34),'CODIGO-LITERAL'!$C:$D,2,FALSE))))</f>
        <v/>
      </c>
      <c r="U34" s="60" t="str">
        <f t="shared" si="0"/>
        <v/>
      </c>
      <c r="V34" s="60" t="str">
        <f>IF('Registrar expedidas_ingresos'!V34="","",ROUND('Registrar expedidas_ingresos'!V34,2))</f>
        <v/>
      </c>
      <c r="W34" s="60" t="str">
        <f>IF(S34="S2",0,IF('Registrar expedidas_ingresos'!W34="","",'Registrar expedidas_ingresos'!W34))</f>
        <v/>
      </c>
      <c r="X34" s="60" t="str">
        <f>IF(S34="S2",0,IF('Registrar expedidas_ingresos'!X34="","",ROUND('Registrar expedidas_ingresos'!X34,2)))</f>
        <v/>
      </c>
      <c r="Y34" s="60" t="str">
        <f>IF('Registrar expedidas_ingresos'!Y34="","",'Registrar expedidas_ingresos'!Y34)</f>
        <v/>
      </c>
      <c r="Z34" s="60" t="str">
        <f>IF('Registrar expedidas_ingresos'!Z34="","",ROUND('Registrar expedidas_ingresos'!Z34,2))</f>
        <v/>
      </c>
      <c r="AA34" s="64" t="str">
        <f>IF(R34&lt;&gt;"07","",IF('Registrar expedidas_ingresos'!AA34="","",'Registrar expedidas_ingresos'!AA34))</f>
        <v/>
      </c>
      <c r="AB34" s="60" t="str">
        <f>IF(R34&lt;&gt;"07","",IF('Registrar expedidas_ingresos'!AB34="","",'Registrar expedidas_ingresos'!AB34))</f>
        <v/>
      </c>
      <c r="AC34" s="61" t="str">
        <f>IF(R34&lt;&gt;"07","",IF(ISERROR(VLOOKUP(CONCATENATE("MEDIO UTILIZADO",'Registrar expedidas_ingresos'!AC34),'CODIGO-LITERAL'!$C:$D,2,FALSE)),"",VLOOKUP(CONCATENATE("MEDIO UTILIZADO",'Registrar expedidas_ingresos'!AC34),'CODIGO-LITERAL'!$C:$D,2,FALSE)))</f>
        <v/>
      </c>
      <c r="AD34" s="60" t="str">
        <f>IF(R34&lt;&gt;"07","",IF('Registrar expedidas_ingresos'!AD34="","",'Registrar expedidas_ingresos'!AD34))</f>
        <v/>
      </c>
      <c r="AE34" s="65"/>
      <c r="AF34" s="65"/>
      <c r="AG34" s="60" t="str">
        <f>IF('Registrar expedidas_ingresos'!AG34="","",'Registrar expedidas_ingresos'!AG34)</f>
        <v/>
      </c>
      <c r="AH34" s="61" t="str">
        <f>IF(ISERROR(VLOOKUP(CONCATENATE("SITUACION",'Registrar expedidas_ingresos'!AH34),'CODIGO-LITERAL'!$C:$D,2,FALSE)),"",VLOOKUP(CONCATENATE("SITUACION",'Registrar expedidas_ingresos'!AH34),'CODIGO-LITERAL'!$C:$D,2,FALSE))</f>
        <v/>
      </c>
      <c r="AI34" s="60" t="str">
        <f>IF('Registrar expedidas_ingresos'!AI34="","",'Registrar expedidas_ingresos'!AI34)</f>
        <v/>
      </c>
      <c r="AJ34" s="60" t="str">
        <f>IF('Registrar expedidas_ingresos'!AJ34="","",'Registrar expedidas_ingresos'!AJ34)</f>
        <v/>
      </c>
    </row>
    <row r="35" spans="1:36" s="2" customFormat="1" x14ac:dyDescent="0.25">
      <c r="A35" s="59" t="str">
        <f>IF('Registrar expedidas_ingresos'!J35="",IF('Registrar expedidas_ingresos'!I35="","",YEAR('Registrar expedidas_ingresos'!I35)),YEAR('Registrar expedidas_ingresos'!J35))</f>
        <v/>
      </c>
      <c r="B35" s="60" t="str">
        <f>IF('Registrar expedidas_ingresos'!B35="","",'Registrar expedidas_ingresos'!B35)</f>
        <v/>
      </c>
      <c r="C35" s="60" t="str">
        <f>IF('Registrar expedidas_ingresos'!C35="","",VLOOKUP(CONCATENATE("ACTIVIDAD",'Registrar expedidas_ingresos'!C35),'CODIGO-LITERAL'!C:D,2,FALSE))</f>
        <v/>
      </c>
      <c r="D35" s="60" t="str">
        <f>IF(OR(C35="C",C35="D"),"",IF(ISERROR(VLOOKUP(CONCATENATE(C35,'Registrar expedidas_ingresos'!D35),'CODIGO-LITERAL'!$C:$D,2,FALSE)),"",VLOOKUP(CONCATENATE(C35,'Registrar expedidas_ingresos'!D35),'CODIGO-LITERAL'!$C:$D,2,FALSE)))</f>
        <v/>
      </c>
      <c r="E35" s="60" t="str">
        <f>IF('Registrar expedidas_ingresos'!E35="","",'Registrar expedidas_ingresos'!E35)</f>
        <v/>
      </c>
      <c r="F35" s="61" t="str">
        <f>IF(ISERROR(VLOOKUP(CONCATENATE("TIPO FACTURA",'Registrar expedidas_ingresos'!F35),'CODIGO-LITERAL'!$C:$D,2,FALSE)),"",VLOOKUP(CONCATENATE("TIPO FACTURA",'Registrar expedidas_ingresos'!F35),'CODIGO-LITERAL'!$C:$D,2,FALSE))</f>
        <v/>
      </c>
      <c r="G35" s="62"/>
      <c r="H35" s="63"/>
      <c r="I35" s="64" t="str">
        <f>IF('Registrar expedidas_ingresos'!I35="","",'Registrar expedidas_ingresos'!I35)</f>
        <v/>
      </c>
      <c r="J35" s="64" t="str">
        <f>IF('Registrar expedidas_ingresos'!J35="","",'Registrar expedidas_ingresos'!J35)</f>
        <v/>
      </c>
      <c r="K35" s="60" t="str">
        <f>IF('Registrar expedidas_ingresos'!K35="","",'Registrar expedidas_ingresos'!K35)</f>
        <v/>
      </c>
      <c r="L35" s="60" t="str">
        <f>IF('Registrar expedidas_ingresos'!L35="","",'Registrar expedidas_ingresos'!L35)</f>
        <v/>
      </c>
      <c r="M35" s="60" t="str">
        <f>IF('Registrar expedidas_ingresos'!M35="","",'Registrar expedidas_ingresos'!M35)</f>
        <v/>
      </c>
      <c r="N35" s="61" t="str">
        <f>IF(OR(F35="F2",LEFT('Registrar expedidas_ingresos'!N35,2)="01"),"",IF(ISERROR(VLOOKUP(CONCATENATE("TIPO NIF",'Registrar expedidas_ingresos'!N35),'CODIGO-LITERAL'!$C:$D,2,FALSE)),"",VLOOKUP(CONCATENATE("TIPO NIF",'Registrar expedidas_ingresos'!N35),'CODIGO-LITERAL'!$C:$D,2,FALSE)))</f>
        <v/>
      </c>
      <c r="O35" s="60" t="str">
        <f>IF(OR('Registrar expedidas_ingresos'!O35="",N35="02",F35="F2"),"",'Registrar expedidas_ingresos'!O35)</f>
        <v/>
      </c>
      <c r="P35" s="60" t="str">
        <f>IF('Registrar expedidas_ingresos'!P35="","",'Registrar expedidas_ingresos'!P35)</f>
        <v/>
      </c>
      <c r="Q35" s="60" t="str">
        <f>IF(F35="F2","VENTAS A CONSUMIDOR FINAL",IF('Registrar expedidas_ingresos'!Q35="","",'Registrar expedidas_ingresos'!Q35))</f>
        <v/>
      </c>
      <c r="R35" s="61" t="str">
        <f>IF(F35="DV","02",IF(ISERROR(VLOOKUP(CONCATENATE("CLAVE OPERACION",'Registrar expedidas_ingresos'!R35),'CODIGO-LITERAL'!$C:$D,2,FALSE)),"",VLOOKUP(CONCATENATE("CLAVE OPERACION",'Registrar expedidas_ingresos'!R35),'CODIGO-LITERAL'!$C:$D,2,FALSE)))</f>
        <v/>
      </c>
      <c r="S35" s="61" t="str">
        <f>IF(R35="03","S1",
 IF(R35="08","N2",
  IF(ISERROR(VLOOKUP(CONCATENATE("CALIFICACION OPERACION",'Registrar expedidas_ingresos'!S35),'CODIGO-LITERAL'!$C:$D,2,FALSE)),"",VLOOKUP(CONCATENATE("CALIFICACION OPERACION",'Registrar expedidas_ingresos'!S35),'CODIGO-LITERAL'!$C:$D,2,FALSE))))</f>
        <v/>
      </c>
      <c r="T35" s="61" t="str">
        <f>IF(R35="03","",IF(R35="08","",IF(ISERROR(VLOOKUP(CONCATENATE("OPERACION EXENTA",'Registrar expedidas_ingresos'!T35),'CODIGO-LITERAL'!$C:$D,2,FALSE)),"",VLOOKUP(CONCATENATE("OPERACION EXENTA",'Registrar expedidas_ingresos'!T35),'CODIGO-LITERAL'!$C:$D,2,FALSE))))</f>
        <v/>
      </c>
      <c r="U35" s="60" t="str">
        <f t="shared" si="0"/>
        <v/>
      </c>
      <c r="V35" s="60" t="str">
        <f>IF('Registrar expedidas_ingresos'!V35="","",ROUND('Registrar expedidas_ingresos'!V35,2))</f>
        <v/>
      </c>
      <c r="W35" s="60" t="str">
        <f>IF(S35="S2",0,IF('Registrar expedidas_ingresos'!W35="","",'Registrar expedidas_ingresos'!W35))</f>
        <v/>
      </c>
      <c r="X35" s="60" t="str">
        <f>IF(S35="S2",0,IF('Registrar expedidas_ingresos'!X35="","",ROUND('Registrar expedidas_ingresos'!X35,2)))</f>
        <v/>
      </c>
      <c r="Y35" s="60" t="str">
        <f>IF('Registrar expedidas_ingresos'!Y35="","",'Registrar expedidas_ingresos'!Y35)</f>
        <v/>
      </c>
      <c r="Z35" s="60" t="str">
        <f>IF('Registrar expedidas_ingresos'!Z35="","",ROUND('Registrar expedidas_ingresos'!Z35,2))</f>
        <v/>
      </c>
      <c r="AA35" s="64" t="str">
        <f>IF(R35&lt;&gt;"07","",IF('Registrar expedidas_ingresos'!AA35="","",'Registrar expedidas_ingresos'!AA35))</f>
        <v/>
      </c>
      <c r="AB35" s="60" t="str">
        <f>IF(R35&lt;&gt;"07","",IF('Registrar expedidas_ingresos'!AB35="","",'Registrar expedidas_ingresos'!AB35))</f>
        <v/>
      </c>
      <c r="AC35" s="61" t="str">
        <f>IF(R35&lt;&gt;"07","",IF(ISERROR(VLOOKUP(CONCATENATE("MEDIO UTILIZADO",'Registrar expedidas_ingresos'!AC35),'CODIGO-LITERAL'!$C:$D,2,FALSE)),"",VLOOKUP(CONCATENATE("MEDIO UTILIZADO",'Registrar expedidas_ingresos'!AC35),'CODIGO-LITERAL'!$C:$D,2,FALSE)))</f>
        <v/>
      </c>
      <c r="AD35" s="60" t="str">
        <f>IF(R35&lt;&gt;"07","",IF('Registrar expedidas_ingresos'!AD35="","",'Registrar expedidas_ingresos'!AD35))</f>
        <v/>
      </c>
      <c r="AE35" s="65"/>
      <c r="AF35" s="65"/>
      <c r="AG35" s="60" t="str">
        <f>IF('Registrar expedidas_ingresos'!AG35="","",'Registrar expedidas_ingresos'!AG35)</f>
        <v/>
      </c>
      <c r="AH35" s="61" t="str">
        <f>IF(ISERROR(VLOOKUP(CONCATENATE("SITUACION",'Registrar expedidas_ingresos'!AH35),'CODIGO-LITERAL'!$C:$D,2,FALSE)),"",VLOOKUP(CONCATENATE("SITUACION",'Registrar expedidas_ingresos'!AH35),'CODIGO-LITERAL'!$C:$D,2,FALSE))</f>
        <v/>
      </c>
      <c r="AI35" s="60" t="str">
        <f>IF('Registrar expedidas_ingresos'!AI35="","",'Registrar expedidas_ingresos'!AI35)</f>
        <v/>
      </c>
      <c r="AJ35" s="60" t="str">
        <f>IF('Registrar expedidas_ingresos'!AJ35="","",'Registrar expedidas_ingresos'!AJ35)</f>
        <v/>
      </c>
    </row>
    <row r="36" spans="1:36" x14ac:dyDescent="0.25">
      <c r="A36" s="59" t="str">
        <f>IF('Registrar expedidas_ingresos'!J36="",IF('Registrar expedidas_ingresos'!I36="","",YEAR('Registrar expedidas_ingresos'!I36)),YEAR('Registrar expedidas_ingresos'!J36))</f>
        <v/>
      </c>
      <c r="B36" s="60" t="str">
        <f>IF('Registrar expedidas_ingresos'!B36="","",'Registrar expedidas_ingresos'!B36)</f>
        <v/>
      </c>
      <c r="C36" s="60" t="str">
        <f>IF('Registrar expedidas_ingresos'!C36="","",VLOOKUP(CONCATENATE("ACTIVIDAD",'Registrar expedidas_ingresos'!C36),'CODIGO-LITERAL'!C:D,2,FALSE))</f>
        <v/>
      </c>
      <c r="D36" s="60" t="str">
        <f>IF(OR(C36="C",C36="D"),"",IF(ISERROR(VLOOKUP(CONCATENATE(C36,'Registrar expedidas_ingresos'!D36),'CODIGO-LITERAL'!$C:$D,2,FALSE)),"",VLOOKUP(CONCATENATE(C36,'Registrar expedidas_ingresos'!D36),'CODIGO-LITERAL'!$C:$D,2,FALSE)))</f>
        <v/>
      </c>
      <c r="E36" s="60" t="str">
        <f>IF('Registrar expedidas_ingresos'!E36="","",'Registrar expedidas_ingresos'!E36)</f>
        <v/>
      </c>
      <c r="F36" s="61" t="str">
        <f>IF(ISERROR(VLOOKUP(CONCATENATE("TIPO FACTURA",'Registrar expedidas_ingresos'!F36),'CODIGO-LITERAL'!$C:$D,2,FALSE)),"",VLOOKUP(CONCATENATE("TIPO FACTURA",'Registrar expedidas_ingresos'!F36),'CODIGO-LITERAL'!$C:$D,2,FALSE))</f>
        <v/>
      </c>
      <c r="G36" s="62"/>
      <c r="H36" s="63"/>
      <c r="I36" s="64" t="str">
        <f>IF('Registrar expedidas_ingresos'!I36="","",'Registrar expedidas_ingresos'!I36)</f>
        <v/>
      </c>
      <c r="J36" s="64" t="str">
        <f>IF('Registrar expedidas_ingresos'!J36="","",'Registrar expedidas_ingresos'!J36)</f>
        <v/>
      </c>
      <c r="K36" s="60" t="str">
        <f>IF('Registrar expedidas_ingresos'!K36="","",'Registrar expedidas_ingresos'!K36)</f>
        <v/>
      </c>
      <c r="L36" s="60" t="str">
        <f>IF('Registrar expedidas_ingresos'!L36="","",'Registrar expedidas_ingresos'!L36)</f>
        <v/>
      </c>
      <c r="M36" s="60" t="str">
        <f>IF('Registrar expedidas_ingresos'!M36="","",'Registrar expedidas_ingresos'!M36)</f>
        <v/>
      </c>
      <c r="N36" s="61" t="str">
        <f>IF(OR(F36="F2",LEFT('Registrar expedidas_ingresos'!N36,2)="01"),"",IF(ISERROR(VLOOKUP(CONCATENATE("TIPO NIF",'Registrar expedidas_ingresos'!N36),'CODIGO-LITERAL'!$C:$D,2,FALSE)),"",VLOOKUP(CONCATENATE("TIPO NIF",'Registrar expedidas_ingresos'!N36),'CODIGO-LITERAL'!$C:$D,2,FALSE)))</f>
        <v/>
      </c>
      <c r="O36" s="60" t="str">
        <f>IF(OR('Registrar expedidas_ingresos'!O36="",N36="02",F36="F2"),"",'Registrar expedidas_ingresos'!O36)</f>
        <v/>
      </c>
      <c r="P36" s="60" t="str">
        <f>IF('Registrar expedidas_ingresos'!P36="","",'Registrar expedidas_ingresos'!P36)</f>
        <v/>
      </c>
      <c r="Q36" s="60" t="str">
        <f>IF(F36="F2","VENTAS A CONSUMIDOR FINAL",IF('Registrar expedidas_ingresos'!Q36="","",'Registrar expedidas_ingresos'!Q36))</f>
        <v/>
      </c>
      <c r="R36" s="61" t="str">
        <f>IF(F36="DV","02",IF(ISERROR(VLOOKUP(CONCATENATE("CLAVE OPERACION",'Registrar expedidas_ingresos'!R36),'CODIGO-LITERAL'!$C:$D,2,FALSE)),"",VLOOKUP(CONCATENATE("CLAVE OPERACION",'Registrar expedidas_ingresos'!R36),'CODIGO-LITERAL'!$C:$D,2,FALSE)))</f>
        <v/>
      </c>
      <c r="S36" s="61" t="str">
        <f>IF(R36="03","S1",
 IF(R36="08","N2",
  IF(ISERROR(VLOOKUP(CONCATENATE("CALIFICACION OPERACION",'Registrar expedidas_ingresos'!S36),'CODIGO-LITERAL'!$C:$D,2,FALSE)),"",VLOOKUP(CONCATENATE("CALIFICACION OPERACION",'Registrar expedidas_ingresos'!S36),'CODIGO-LITERAL'!$C:$D,2,FALSE))))</f>
        <v/>
      </c>
      <c r="T36" s="61" t="str">
        <f>IF(R36="03","",IF(R36="08","",IF(ISERROR(VLOOKUP(CONCATENATE("OPERACION EXENTA",'Registrar expedidas_ingresos'!T36),'CODIGO-LITERAL'!$C:$D,2,FALSE)),"",VLOOKUP(CONCATENATE("OPERACION EXENTA",'Registrar expedidas_ingresos'!T36),'CODIGO-LITERAL'!$C:$D,2,FALSE))))</f>
        <v/>
      </c>
      <c r="U36" s="60" t="str">
        <f t="shared" ref="U36:U37" si="1">IF(AND(S36="",T36=""),"",IF(S36="S1",ROUND(SUM(V36,X36,Z36),2),ROUND(V36,2)))</f>
        <v/>
      </c>
      <c r="V36" s="60" t="str">
        <f>IF('Registrar expedidas_ingresos'!V36="","",ROUND('Registrar expedidas_ingresos'!V36,2))</f>
        <v/>
      </c>
      <c r="W36" s="60" t="str">
        <f>IF(S36="S2",0,IF('Registrar expedidas_ingresos'!W36="","",'Registrar expedidas_ingresos'!W36))</f>
        <v/>
      </c>
      <c r="X36" s="60" t="str">
        <f>IF(S36="S2",0,IF('Registrar expedidas_ingresos'!X36="","",ROUND('Registrar expedidas_ingresos'!X36,2)))</f>
        <v/>
      </c>
      <c r="Y36" s="60" t="str">
        <f>IF('Registrar expedidas_ingresos'!Y36="","",'Registrar expedidas_ingresos'!Y36)</f>
        <v/>
      </c>
      <c r="Z36" s="60" t="str">
        <f>IF('Registrar expedidas_ingresos'!Z36="","",ROUND('Registrar expedidas_ingresos'!Z36,2))</f>
        <v/>
      </c>
      <c r="AA36" s="64" t="str">
        <f>IF(R36&lt;&gt;"07","",IF('Registrar expedidas_ingresos'!AA36="","",'Registrar expedidas_ingresos'!AA36))</f>
        <v/>
      </c>
      <c r="AB36" s="60" t="str">
        <f>IF(R36&lt;&gt;"07","",IF('Registrar expedidas_ingresos'!AB36="","",'Registrar expedidas_ingresos'!AB36))</f>
        <v/>
      </c>
      <c r="AC36" s="61" t="str">
        <f>IF(R36&lt;&gt;"07","",IF(ISERROR(VLOOKUP(CONCATENATE("MEDIO UTILIZADO",'Registrar expedidas_ingresos'!AC36),'CODIGO-LITERAL'!$C:$D,2,FALSE)),"",VLOOKUP(CONCATENATE("MEDIO UTILIZADO",'Registrar expedidas_ingresos'!AC36),'CODIGO-LITERAL'!$C:$D,2,FALSE)))</f>
        <v/>
      </c>
      <c r="AD36" s="60" t="str">
        <f>IF(R36&lt;&gt;"07","",IF('Registrar expedidas_ingresos'!AD36="","",'Registrar expedidas_ingresos'!AD36))</f>
        <v/>
      </c>
      <c r="AE36" s="65"/>
      <c r="AF36" s="65"/>
      <c r="AG36" s="60" t="str">
        <f>IF('Registrar expedidas_ingresos'!AG36="","",'Registrar expedidas_ingresos'!AG36)</f>
        <v/>
      </c>
      <c r="AH36" s="61" t="str">
        <f>IF(ISERROR(VLOOKUP(CONCATENATE("SITUACION",'Registrar expedidas_ingresos'!AH36),'CODIGO-LITERAL'!$C:$D,2,FALSE)),"",VLOOKUP(CONCATENATE("SITUACION",'Registrar expedidas_ingresos'!AH36),'CODIGO-LITERAL'!$C:$D,2,FALSE))</f>
        <v/>
      </c>
      <c r="AI36" s="60" t="str">
        <f>IF('Registrar expedidas_ingresos'!AI36="","",'Registrar expedidas_ingresos'!AI36)</f>
        <v/>
      </c>
      <c r="AJ36" s="60" t="str">
        <f>IF('Registrar expedidas_ingresos'!AJ36="","",'Registrar expedidas_ingresos'!AJ36)</f>
        <v/>
      </c>
    </row>
    <row r="37" spans="1:36" x14ac:dyDescent="0.25">
      <c r="A37" s="59" t="str">
        <f>IF('Registrar expedidas_ingresos'!J37="",IF('Registrar expedidas_ingresos'!I37="","",YEAR('Registrar expedidas_ingresos'!I37)),YEAR('Registrar expedidas_ingresos'!J37))</f>
        <v/>
      </c>
      <c r="B37" s="60" t="str">
        <f>IF('Registrar expedidas_ingresos'!B37="","",'Registrar expedidas_ingresos'!B37)</f>
        <v/>
      </c>
      <c r="C37" s="60" t="str">
        <f>IF('Registrar expedidas_ingresos'!C37="","",VLOOKUP(CONCATENATE("ACTIVIDAD",'Registrar expedidas_ingresos'!C37),'CODIGO-LITERAL'!C:D,2,FALSE))</f>
        <v/>
      </c>
      <c r="D37" s="60" t="str">
        <f>IF(OR(C37="C",C37="D"),"",IF(ISERROR(VLOOKUP(CONCATENATE(C37,'Registrar expedidas_ingresos'!D37),'CODIGO-LITERAL'!$C:$D,2,FALSE)),"",VLOOKUP(CONCATENATE(C37,'Registrar expedidas_ingresos'!D37),'CODIGO-LITERAL'!$C:$D,2,FALSE)))</f>
        <v/>
      </c>
      <c r="E37" s="60" t="str">
        <f>IF('Registrar expedidas_ingresos'!E37="","",'Registrar expedidas_ingresos'!E37)</f>
        <v/>
      </c>
      <c r="F37" s="61" t="str">
        <f>IF(ISERROR(VLOOKUP(CONCATENATE("TIPO FACTURA",'Registrar expedidas_ingresos'!F37),'CODIGO-LITERAL'!$C:$D,2,FALSE)),"",VLOOKUP(CONCATENATE("TIPO FACTURA",'Registrar expedidas_ingresos'!F37),'CODIGO-LITERAL'!$C:$D,2,FALSE))</f>
        <v/>
      </c>
      <c r="G37" s="62"/>
      <c r="H37" s="63"/>
      <c r="I37" s="64" t="str">
        <f>IF('Registrar expedidas_ingresos'!I37="","",'Registrar expedidas_ingresos'!I37)</f>
        <v/>
      </c>
      <c r="J37" s="64" t="str">
        <f>IF('Registrar expedidas_ingresos'!J37="","",'Registrar expedidas_ingresos'!J37)</f>
        <v/>
      </c>
      <c r="K37" s="60" t="str">
        <f>IF('Registrar expedidas_ingresos'!K37="","",'Registrar expedidas_ingresos'!K37)</f>
        <v/>
      </c>
      <c r="L37" s="60" t="str">
        <f>IF('Registrar expedidas_ingresos'!L37="","",'Registrar expedidas_ingresos'!L37)</f>
        <v/>
      </c>
      <c r="M37" s="60" t="str">
        <f>IF('Registrar expedidas_ingresos'!M37="","",'Registrar expedidas_ingresos'!M37)</f>
        <v/>
      </c>
      <c r="N37" s="61" t="str">
        <f>IF(OR(F37="F2",LEFT('Registrar expedidas_ingresos'!N37,2)="01"),"",IF(ISERROR(VLOOKUP(CONCATENATE("TIPO NIF",'Registrar expedidas_ingresos'!N37),'CODIGO-LITERAL'!$C:$D,2,FALSE)),"",VLOOKUP(CONCATENATE("TIPO NIF",'Registrar expedidas_ingresos'!N37),'CODIGO-LITERAL'!$C:$D,2,FALSE)))</f>
        <v/>
      </c>
      <c r="O37" s="60" t="str">
        <f>IF(OR('Registrar expedidas_ingresos'!O37="",N37="02",F37="F2"),"",'Registrar expedidas_ingresos'!O37)</f>
        <v/>
      </c>
      <c r="P37" s="60" t="str">
        <f>IF('Registrar expedidas_ingresos'!P37="","",'Registrar expedidas_ingresos'!P37)</f>
        <v/>
      </c>
      <c r="Q37" s="60" t="str">
        <f>IF(F37="F2","VENTAS A CONSUMIDOR FINAL",IF('Registrar expedidas_ingresos'!Q37="","",'Registrar expedidas_ingresos'!Q37))</f>
        <v/>
      </c>
      <c r="R37" s="61" t="str">
        <f>IF(F37="DV","02",IF(ISERROR(VLOOKUP(CONCATENATE("CLAVE OPERACION",'Registrar expedidas_ingresos'!R37),'CODIGO-LITERAL'!$C:$D,2,FALSE)),"",VLOOKUP(CONCATENATE("CLAVE OPERACION",'Registrar expedidas_ingresos'!R37),'CODIGO-LITERAL'!$C:$D,2,FALSE)))</f>
        <v/>
      </c>
      <c r="S37" s="61" t="str">
        <f>IF(R37="03","S1",
 IF(R37="08","N2",
  IF(ISERROR(VLOOKUP(CONCATENATE("CALIFICACION OPERACION",'Registrar expedidas_ingresos'!S37),'CODIGO-LITERAL'!$C:$D,2,FALSE)),"",VLOOKUP(CONCATENATE("CALIFICACION OPERACION",'Registrar expedidas_ingresos'!S37),'CODIGO-LITERAL'!$C:$D,2,FALSE))))</f>
        <v/>
      </c>
      <c r="T37" s="61" t="str">
        <f>IF(R37="03","",IF(R37="08","",IF(ISERROR(VLOOKUP(CONCATENATE("OPERACION EXENTA",'Registrar expedidas_ingresos'!T37),'CODIGO-LITERAL'!$C:$D,2,FALSE)),"",VLOOKUP(CONCATENATE("OPERACION EXENTA",'Registrar expedidas_ingresos'!T37),'CODIGO-LITERAL'!$C:$D,2,FALSE))))</f>
        <v/>
      </c>
      <c r="U37" s="60" t="str">
        <f t="shared" si="1"/>
        <v/>
      </c>
      <c r="V37" s="60" t="str">
        <f>IF('Registrar expedidas_ingresos'!V37="","",ROUND('Registrar expedidas_ingresos'!V37,2))</f>
        <v/>
      </c>
      <c r="W37" s="60" t="str">
        <f>IF(S37="S2",0,IF('Registrar expedidas_ingresos'!W37="","",'Registrar expedidas_ingresos'!W37))</f>
        <v/>
      </c>
      <c r="X37" s="60" t="str">
        <f>IF(S37="S2",0,IF('Registrar expedidas_ingresos'!X37="","",ROUND('Registrar expedidas_ingresos'!X37,2)))</f>
        <v/>
      </c>
      <c r="Y37" s="60" t="str">
        <f>IF('Registrar expedidas_ingresos'!Y37="","",'Registrar expedidas_ingresos'!Y37)</f>
        <v/>
      </c>
      <c r="Z37" s="60" t="str">
        <f>IF('Registrar expedidas_ingresos'!Z37="","",ROUND('Registrar expedidas_ingresos'!Z37,2))</f>
        <v/>
      </c>
      <c r="AA37" s="64" t="str">
        <f>IF(R37&lt;&gt;"07","",IF('Registrar expedidas_ingresos'!AA37="","",'Registrar expedidas_ingresos'!AA37))</f>
        <v/>
      </c>
      <c r="AB37" s="60" t="str">
        <f>IF(R37&lt;&gt;"07","",IF('Registrar expedidas_ingresos'!AB37="","",'Registrar expedidas_ingresos'!AB37))</f>
        <v/>
      </c>
      <c r="AC37" s="61" t="str">
        <f>IF(R37&lt;&gt;"07","",IF(ISERROR(VLOOKUP(CONCATENATE("MEDIO UTILIZADO",'Registrar expedidas_ingresos'!AC37),'CODIGO-LITERAL'!$C:$D,2,FALSE)),"",VLOOKUP(CONCATENATE("MEDIO UTILIZADO",'Registrar expedidas_ingresos'!AC37),'CODIGO-LITERAL'!$C:$D,2,FALSE)))</f>
        <v/>
      </c>
      <c r="AD37" s="60" t="str">
        <f>IF(R37&lt;&gt;"07","",IF('Registrar expedidas_ingresos'!AD37="","",'Registrar expedidas_ingresos'!AD37))</f>
        <v/>
      </c>
      <c r="AE37" s="65"/>
      <c r="AF37" s="65"/>
      <c r="AG37" s="60" t="str">
        <f>IF('Registrar expedidas_ingresos'!AG37="","",'Registrar expedidas_ingresos'!AG37)</f>
        <v/>
      </c>
      <c r="AH37" s="61" t="str">
        <f>IF(ISERROR(VLOOKUP(CONCATENATE("SITUACION",'Registrar expedidas_ingresos'!AH37),'CODIGO-LITERAL'!$C:$D,2,FALSE)),"",VLOOKUP(CONCATENATE("SITUACION",'Registrar expedidas_ingresos'!AH37),'CODIGO-LITERAL'!$C:$D,2,FALSE))</f>
        <v/>
      </c>
      <c r="AI37" s="60" t="str">
        <f>IF('Registrar expedidas_ingresos'!AI37="","",'Registrar expedidas_ingresos'!AI37)</f>
        <v/>
      </c>
      <c r="AJ37" s="60" t="str">
        <f>IF('Registrar expedidas_ingresos'!AJ37="","",'Registrar expedidas_ingresos'!AJ37)</f>
        <v/>
      </c>
    </row>
    <row r="38" spans="1:36" x14ac:dyDescent="0.25">
      <c r="A38" s="59" t="str">
        <f>IF('Registrar expedidas_ingresos'!J38="",IF('Registrar expedidas_ingresos'!I38="","",YEAR('Registrar expedidas_ingresos'!I38)),YEAR('Registrar expedidas_ingresos'!J38))</f>
        <v/>
      </c>
      <c r="B38" s="60" t="str">
        <f>IF('Registrar expedidas_ingresos'!B38="","",'Registrar expedidas_ingresos'!B38)</f>
        <v/>
      </c>
      <c r="C38" s="60" t="str">
        <f>IF('Registrar expedidas_ingresos'!C38="","",VLOOKUP(CONCATENATE("ACTIVIDAD",'Registrar expedidas_ingresos'!C38),'CODIGO-LITERAL'!C:D,2,FALSE))</f>
        <v/>
      </c>
      <c r="D38" s="60" t="str">
        <f>IF(OR(C38="C",C38="D"),"",IF(ISERROR(VLOOKUP(CONCATENATE(C38,'Registrar expedidas_ingresos'!D38),'CODIGO-LITERAL'!$C:$D,2,FALSE)),"",VLOOKUP(CONCATENATE(C38,'Registrar expedidas_ingresos'!D38),'CODIGO-LITERAL'!$C:$D,2,FALSE)))</f>
        <v/>
      </c>
      <c r="E38" s="60" t="str">
        <f>IF('Registrar expedidas_ingresos'!E38="","",'Registrar expedidas_ingresos'!E38)</f>
        <v/>
      </c>
      <c r="F38" s="61" t="str">
        <f>IF(ISERROR(VLOOKUP(CONCATENATE("TIPO FACTURA",'Registrar expedidas_ingresos'!F38),'CODIGO-LITERAL'!$C:$D,2,FALSE)),"",VLOOKUP(CONCATENATE("TIPO FACTURA",'Registrar expedidas_ingresos'!F38),'CODIGO-LITERAL'!$C:$D,2,FALSE))</f>
        <v/>
      </c>
      <c r="G38" s="62"/>
      <c r="H38" s="63"/>
      <c r="I38" s="64" t="str">
        <f>IF('Registrar expedidas_ingresos'!I38="","",'Registrar expedidas_ingresos'!I38)</f>
        <v/>
      </c>
      <c r="J38" s="64" t="str">
        <f>IF('Registrar expedidas_ingresos'!J38="","",'Registrar expedidas_ingresos'!J38)</f>
        <v/>
      </c>
      <c r="K38" s="60" t="str">
        <f>IF('Registrar expedidas_ingresos'!K38="","",'Registrar expedidas_ingresos'!K38)</f>
        <v/>
      </c>
      <c r="L38" s="60" t="str">
        <f>IF('Registrar expedidas_ingresos'!L38="","",'Registrar expedidas_ingresos'!L38)</f>
        <v/>
      </c>
      <c r="M38" s="60" t="str">
        <f>IF('Registrar expedidas_ingresos'!M38="","",'Registrar expedidas_ingresos'!M38)</f>
        <v/>
      </c>
      <c r="N38" s="61" t="str">
        <f>IF(OR(F38="F2",LEFT('Registrar expedidas_ingresos'!N38,2)="01"),"",IF(ISERROR(VLOOKUP(CONCATENATE("TIPO NIF",'Registrar expedidas_ingresos'!N38),'CODIGO-LITERAL'!$C:$D,2,FALSE)),"",VLOOKUP(CONCATENATE("TIPO NIF",'Registrar expedidas_ingresos'!N38),'CODIGO-LITERAL'!$C:$D,2,FALSE)))</f>
        <v/>
      </c>
      <c r="O38" s="60" t="str">
        <f>IF(OR('Registrar expedidas_ingresos'!O38="",N38="02",F38="F2"),"",'Registrar expedidas_ingresos'!O38)</f>
        <v/>
      </c>
      <c r="P38" s="60" t="str">
        <f>IF('Registrar expedidas_ingresos'!P38="","",'Registrar expedidas_ingresos'!P38)</f>
        <v/>
      </c>
      <c r="Q38" s="60" t="str">
        <f>IF(F38="F2","VENTAS A CONSUMIDOR FINAL",IF('Registrar expedidas_ingresos'!Q38="","",'Registrar expedidas_ingresos'!Q38))</f>
        <v/>
      </c>
      <c r="R38" s="61" t="str">
        <f>IF(F38="DV","02",IF(ISERROR(VLOOKUP(CONCATENATE("CLAVE OPERACION",'Registrar expedidas_ingresos'!R38),'CODIGO-LITERAL'!$C:$D,2,FALSE)),"",VLOOKUP(CONCATENATE("CLAVE OPERACION",'Registrar expedidas_ingresos'!R38),'CODIGO-LITERAL'!$C:$D,2,FALSE)))</f>
        <v/>
      </c>
      <c r="S38" s="61" t="str">
        <f>IF(R38="03","S1",
 IF(R38="08","N2",
  IF(ISERROR(VLOOKUP(CONCATENATE("CALIFICACION OPERACION",'Registrar expedidas_ingresos'!S38),'CODIGO-LITERAL'!$C:$D,2,FALSE)),"",VLOOKUP(CONCATENATE("CALIFICACION OPERACION",'Registrar expedidas_ingresos'!S38),'CODIGO-LITERAL'!$C:$D,2,FALSE))))</f>
        <v/>
      </c>
      <c r="T38" s="61" t="str">
        <f>IF(R38="03","",IF(R38="08","",IF(ISERROR(VLOOKUP(CONCATENATE("OPERACION EXENTA",'Registrar expedidas_ingresos'!T38),'CODIGO-LITERAL'!$C:$D,2,FALSE)),"",VLOOKUP(CONCATENATE("OPERACION EXENTA",'Registrar expedidas_ingresos'!T38),'CODIGO-LITERAL'!$C:$D,2,FALSE))))</f>
        <v/>
      </c>
      <c r="U38" s="60" t="str">
        <f t="shared" ref="U38:U101" si="2">IF(AND(S38="",T38=""),"",IF(S38="S1",ROUND(SUM(V38,X38,Z38),2),ROUND(V38,2)))</f>
        <v/>
      </c>
      <c r="V38" s="60" t="str">
        <f>IF('Registrar expedidas_ingresos'!V38="","",ROUND('Registrar expedidas_ingresos'!V38,2))</f>
        <v/>
      </c>
      <c r="W38" s="60" t="str">
        <f>IF(S38="S2",0,IF('Registrar expedidas_ingresos'!W38="","",'Registrar expedidas_ingresos'!W38))</f>
        <v/>
      </c>
      <c r="X38" s="60" t="str">
        <f>IF(S38="S2",0,IF('Registrar expedidas_ingresos'!X38="","",ROUND('Registrar expedidas_ingresos'!X38,2)))</f>
        <v/>
      </c>
      <c r="Y38" s="60" t="str">
        <f>IF('Registrar expedidas_ingresos'!Y38="","",'Registrar expedidas_ingresos'!Y38)</f>
        <v/>
      </c>
      <c r="Z38" s="60" t="str">
        <f>IF('Registrar expedidas_ingresos'!Z38="","",ROUND('Registrar expedidas_ingresos'!Z38,2))</f>
        <v/>
      </c>
      <c r="AA38" s="64" t="str">
        <f>IF(R38&lt;&gt;"07","",IF('Registrar expedidas_ingresos'!AA38="","",'Registrar expedidas_ingresos'!AA38))</f>
        <v/>
      </c>
      <c r="AB38" s="60" t="str">
        <f>IF(R38&lt;&gt;"07","",IF('Registrar expedidas_ingresos'!AB38="","",'Registrar expedidas_ingresos'!AB38))</f>
        <v/>
      </c>
      <c r="AC38" s="61" t="str">
        <f>IF(R38&lt;&gt;"07","",IF(ISERROR(VLOOKUP(CONCATENATE("MEDIO UTILIZADO",'Registrar expedidas_ingresos'!AC38),'CODIGO-LITERAL'!$C:$D,2,FALSE)),"",VLOOKUP(CONCATENATE("MEDIO UTILIZADO",'Registrar expedidas_ingresos'!AC38),'CODIGO-LITERAL'!$C:$D,2,FALSE)))</f>
        <v/>
      </c>
      <c r="AD38" s="60" t="str">
        <f>IF(R38&lt;&gt;"07","",IF('Registrar expedidas_ingresos'!AD38="","",'Registrar expedidas_ingresos'!AD38))</f>
        <v/>
      </c>
      <c r="AE38" s="65"/>
      <c r="AF38" s="65"/>
      <c r="AG38" s="60" t="str">
        <f>IF('Registrar expedidas_ingresos'!AG38="","",'Registrar expedidas_ingresos'!AG38)</f>
        <v/>
      </c>
      <c r="AH38" s="61" t="str">
        <f>IF(ISERROR(VLOOKUP(CONCATENATE("SITUACION",'Registrar expedidas_ingresos'!AH38),'CODIGO-LITERAL'!$C:$D,2,FALSE)),"",VLOOKUP(CONCATENATE("SITUACION",'Registrar expedidas_ingresos'!AH38),'CODIGO-LITERAL'!$C:$D,2,FALSE))</f>
        <v/>
      </c>
      <c r="AI38" s="60" t="str">
        <f>IF('Registrar expedidas_ingresos'!AI38="","",'Registrar expedidas_ingresos'!AI38)</f>
        <v/>
      </c>
      <c r="AJ38" s="60" t="str">
        <f>IF('Registrar expedidas_ingresos'!AJ38="","",'Registrar expedidas_ingresos'!AJ38)</f>
        <v/>
      </c>
    </row>
    <row r="39" spans="1:36" x14ac:dyDescent="0.25">
      <c r="A39" s="59" t="str">
        <f>IF('Registrar expedidas_ingresos'!J39="",IF('Registrar expedidas_ingresos'!I39="","",YEAR('Registrar expedidas_ingresos'!I39)),YEAR('Registrar expedidas_ingresos'!J39))</f>
        <v/>
      </c>
      <c r="B39" s="60" t="str">
        <f>IF('Registrar expedidas_ingresos'!B39="","",'Registrar expedidas_ingresos'!B39)</f>
        <v/>
      </c>
      <c r="C39" s="60" t="str">
        <f>IF('Registrar expedidas_ingresos'!C39="","",VLOOKUP(CONCATENATE("ACTIVIDAD",'Registrar expedidas_ingresos'!C39),'CODIGO-LITERAL'!C:D,2,FALSE))</f>
        <v/>
      </c>
      <c r="D39" s="60" t="str">
        <f>IF(OR(C39="C",C39="D"),"",IF(ISERROR(VLOOKUP(CONCATENATE(C39,'Registrar expedidas_ingresos'!D39),'CODIGO-LITERAL'!$C:$D,2,FALSE)),"",VLOOKUP(CONCATENATE(C39,'Registrar expedidas_ingresos'!D39),'CODIGO-LITERAL'!$C:$D,2,FALSE)))</f>
        <v/>
      </c>
      <c r="E39" s="60" t="str">
        <f>IF('Registrar expedidas_ingresos'!E39="","",'Registrar expedidas_ingresos'!E39)</f>
        <v/>
      </c>
      <c r="F39" s="61" t="str">
        <f>IF(ISERROR(VLOOKUP(CONCATENATE("TIPO FACTURA",'Registrar expedidas_ingresos'!F39),'CODIGO-LITERAL'!$C:$D,2,FALSE)),"",VLOOKUP(CONCATENATE("TIPO FACTURA",'Registrar expedidas_ingresos'!F39),'CODIGO-LITERAL'!$C:$D,2,FALSE))</f>
        <v/>
      </c>
      <c r="G39" s="62"/>
      <c r="H39" s="63"/>
      <c r="I39" s="64" t="str">
        <f>IF('Registrar expedidas_ingresos'!I39="","",'Registrar expedidas_ingresos'!I39)</f>
        <v/>
      </c>
      <c r="J39" s="64" t="str">
        <f>IF('Registrar expedidas_ingresos'!J39="","",'Registrar expedidas_ingresos'!J39)</f>
        <v/>
      </c>
      <c r="K39" s="60" t="str">
        <f>IF('Registrar expedidas_ingresos'!K39="","",'Registrar expedidas_ingresos'!K39)</f>
        <v/>
      </c>
      <c r="L39" s="60" t="str">
        <f>IF('Registrar expedidas_ingresos'!L39="","",'Registrar expedidas_ingresos'!L39)</f>
        <v/>
      </c>
      <c r="M39" s="60" t="str">
        <f>IF('Registrar expedidas_ingresos'!M39="","",'Registrar expedidas_ingresos'!M39)</f>
        <v/>
      </c>
      <c r="N39" s="61" t="str">
        <f>IF(OR(F39="F2",LEFT('Registrar expedidas_ingresos'!N39,2)="01"),"",IF(ISERROR(VLOOKUP(CONCATENATE("TIPO NIF",'Registrar expedidas_ingresos'!N39),'CODIGO-LITERAL'!$C:$D,2,FALSE)),"",VLOOKUP(CONCATENATE("TIPO NIF",'Registrar expedidas_ingresos'!N39),'CODIGO-LITERAL'!$C:$D,2,FALSE)))</f>
        <v/>
      </c>
      <c r="O39" s="60" t="str">
        <f>IF(OR('Registrar expedidas_ingresos'!O39="",N39="02",F39="F2"),"",'Registrar expedidas_ingresos'!O39)</f>
        <v/>
      </c>
      <c r="P39" s="60" t="str">
        <f>IF('Registrar expedidas_ingresos'!P39="","",'Registrar expedidas_ingresos'!P39)</f>
        <v/>
      </c>
      <c r="Q39" s="60" t="str">
        <f>IF(F39="F2","VENTAS A CONSUMIDOR FINAL",IF('Registrar expedidas_ingresos'!Q39="","",'Registrar expedidas_ingresos'!Q39))</f>
        <v/>
      </c>
      <c r="R39" s="61" t="str">
        <f>IF(F39="DV","02",IF(ISERROR(VLOOKUP(CONCATENATE("CLAVE OPERACION",'Registrar expedidas_ingresos'!R39),'CODIGO-LITERAL'!$C:$D,2,FALSE)),"",VLOOKUP(CONCATENATE("CLAVE OPERACION",'Registrar expedidas_ingresos'!R39),'CODIGO-LITERAL'!$C:$D,2,FALSE)))</f>
        <v/>
      </c>
      <c r="S39" s="61" t="str">
        <f>IF(R39="03","S1",
 IF(R39="08","N2",
  IF(ISERROR(VLOOKUP(CONCATENATE("CALIFICACION OPERACION",'Registrar expedidas_ingresos'!S39),'CODIGO-LITERAL'!$C:$D,2,FALSE)),"",VLOOKUP(CONCATENATE("CALIFICACION OPERACION",'Registrar expedidas_ingresos'!S39),'CODIGO-LITERAL'!$C:$D,2,FALSE))))</f>
        <v/>
      </c>
      <c r="T39" s="61" t="str">
        <f>IF(R39="03","",IF(R39="08","",IF(ISERROR(VLOOKUP(CONCATENATE("OPERACION EXENTA",'Registrar expedidas_ingresos'!T39),'CODIGO-LITERAL'!$C:$D,2,FALSE)),"",VLOOKUP(CONCATENATE("OPERACION EXENTA",'Registrar expedidas_ingresos'!T39),'CODIGO-LITERAL'!$C:$D,2,FALSE))))</f>
        <v/>
      </c>
      <c r="U39" s="60" t="str">
        <f t="shared" si="2"/>
        <v/>
      </c>
      <c r="V39" s="60" t="str">
        <f>IF('Registrar expedidas_ingresos'!V39="","",ROUND('Registrar expedidas_ingresos'!V39,2))</f>
        <v/>
      </c>
      <c r="W39" s="60" t="str">
        <f>IF(S39="S2",0,IF('Registrar expedidas_ingresos'!W39="","",'Registrar expedidas_ingresos'!W39))</f>
        <v/>
      </c>
      <c r="X39" s="60" t="str">
        <f>IF(S39="S2",0,IF('Registrar expedidas_ingresos'!X39="","",ROUND('Registrar expedidas_ingresos'!X39,2)))</f>
        <v/>
      </c>
      <c r="Y39" s="60" t="str">
        <f>IF('Registrar expedidas_ingresos'!Y39="","",'Registrar expedidas_ingresos'!Y39)</f>
        <v/>
      </c>
      <c r="Z39" s="60" t="str">
        <f>IF('Registrar expedidas_ingresos'!Z39="","",ROUND('Registrar expedidas_ingresos'!Z39,2))</f>
        <v/>
      </c>
      <c r="AA39" s="64" t="str">
        <f>IF(R39&lt;&gt;"07","",IF('Registrar expedidas_ingresos'!AA39="","",'Registrar expedidas_ingresos'!AA39))</f>
        <v/>
      </c>
      <c r="AB39" s="60" t="str">
        <f>IF(R39&lt;&gt;"07","",IF('Registrar expedidas_ingresos'!AB39="","",'Registrar expedidas_ingresos'!AB39))</f>
        <v/>
      </c>
      <c r="AC39" s="61" t="str">
        <f>IF(R39&lt;&gt;"07","",IF(ISERROR(VLOOKUP(CONCATENATE("MEDIO UTILIZADO",'Registrar expedidas_ingresos'!AC39),'CODIGO-LITERAL'!$C:$D,2,FALSE)),"",VLOOKUP(CONCATENATE("MEDIO UTILIZADO",'Registrar expedidas_ingresos'!AC39),'CODIGO-LITERAL'!$C:$D,2,FALSE)))</f>
        <v/>
      </c>
      <c r="AD39" s="60" t="str">
        <f>IF(R39&lt;&gt;"07","",IF('Registrar expedidas_ingresos'!AD39="","",'Registrar expedidas_ingresos'!AD39))</f>
        <v/>
      </c>
      <c r="AE39" s="65"/>
      <c r="AF39" s="65"/>
      <c r="AG39" s="60" t="str">
        <f>IF('Registrar expedidas_ingresos'!AG39="","",'Registrar expedidas_ingresos'!AG39)</f>
        <v/>
      </c>
      <c r="AH39" s="61" t="str">
        <f>IF(ISERROR(VLOOKUP(CONCATENATE("SITUACION",'Registrar expedidas_ingresos'!AH39),'CODIGO-LITERAL'!$C:$D,2,FALSE)),"",VLOOKUP(CONCATENATE("SITUACION",'Registrar expedidas_ingresos'!AH39),'CODIGO-LITERAL'!$C:$D,2,FALSE))</f>
        <v/>
      </c>
      <c r="AI39" s="60" t="str">
        <f>IF('Registrar expedidas_ingresos'!AI39="","",'Registrar expedidas_ingresos'!AI39)</f>
        <v/>
      </c>
      <c r="AJ39" s="60" t="str">
        <f>IF('Registrar expedidas_ingresos'!AJ39="","",'Registrar expedidas_ingresos'!AJ39)</f>
        <v/>
      </c>
    </row>
    <row r="40" spans="1:36" x14ac:dyDescent="0.25">
      <c r="A40" s="59" t="str">
        <f>IF('Registrar expedidas_ingresos'!J40="",IF('Registrar expedidas_ingresos'!I40="","",YEAR('Registrar expedidas_ingresos'!I40)),YEAR('Registrar expedidas_ingresos'!J40))</f>
        <v/>
      </c>
      <c r="B40" s="60" t="str">
        <f>IF('Registrar expedidas_ingresos'!B40="","",'Registrar expedidas_ingresos'!B40)</f>
        <v/>
      </c>
      <c r="C40" s="60" t="str">
        <f>IF('Registrar expedidas_ingresos'!C40="","",VLOOKUP(CONCATENATE("ACTIVIDAD",'Registrar expedidas_ingresos'!C40),'CODIGO-LITERAL'!C:D,2,FALSE))</f>
        <v/>
      </c>
      <c r="D40" s="60" t="str">
        <f>IF(OR(C40="C",C40="D"),"",IF(ISERROR(VLOOKUP(CONCATENATE(C40,'Registrar expedidas_ingresos'!D40),'CODIGO-LITERAL'!$C:$D,2,FALSE)),"",VLOOKUP(CONCATENATE(C40,'Registrar expedidas_ingresos'!D40),'CODIGO-LITERAL'!$C:$D,2,FALSE)))</f>
        <v/>
      </c>
      <c r="E40" s="60" t="str">
        <f>IF('Registrar expedidas_ingresos'!E40="","",'Registrar expedidas_ingresos'!E40)</f>
        <v/>
      </c>
      <c r="F40" s="61" t="str">
        <f>IF(ISERROR(VLOOKUP(CONCATENATE("TIPO FACTURA",'Registrar expedidas_ingresos'!F40),'CODIGO-LITERAL'!$C:$D,2,FALSE)),"",VLOOKUP(CONCATENATE("TIPO FACTURA",'Registrar expedidas_ingresos'!F40),'CODIGO-LITERAL'!$C:$D,2,FALSE))</f>
        <v/>
      </c>
      <c r="G40" s="62"/>
      <c r="H40" s="63"/>
      <c r="I40" s="64" t="str">
        <f>IF('Registrar expedidas_ingresos'!I40="","",'Registrar expedidas_ingresos'!I40)</f>
        <v/>
      </c>
      <c r="J40" s="64" t="str">
        <f>IF('Registrar expedidas_ingresos'!J40="","",'Registrar expedidas_ingresos'!J40)</f>
        <v/>
      </c>
      <c r="K40" s="60" t="str">
        <f>IF('Registrar expedidas_ingresos'!K40="","",'Registrar expedidas_ingresos'!K40)</f>
        <v/>
      </c>
      <c r="L40" s="60" t="str">
        <f>IF('Registrar expedidas_ingresos'!L40="","",'Registrar expedidas_ingresos'!L40)</f>
        <v/>
      </c>
      <c r="M40" s="60" t="str">
        <f>IF('Registrar expedidas_ingresos'!M40="","",'Registrar expedidas_ingresos'!M40)</f>
        <v/>
      </c>
      <c r="N40" s="61" t="str">
        <f>IF(OR(F40="F2",LEFT('Registrar expedidas_ingresos'!N40,2)="01"),"",IF(ISERROR(VLOOKUP(CONCATENATE("TIPO NIF",'Registrar expedidas_ingresos'!N40),'CODIGO-LITERAL'!$C:$D,2,FALSE)),"",VLOOKUP(CONCATENATE("TIPO NIF",'Registrar expedidas_ingresos'!N40),'CODIGO-LITERAL'!$C:$D,2,FALSE)))</f>
        <v/>
      </c>
      <c r="O40" s="60" t="str">
        <f>IF(OR('Registrar expedidas_ingresos'!O40="",N40="02",F40="F2"),"",'Registrar expedidas_ingresos'!O40)</f>
        <v/>
      </c>
      <c r="P40" s="60" t="str">
        <f>IF('Registrar expedidas_ingresos'!P40="","",'Registrar expedidas_ingresos'!P40)</f>
        <v/>
      </c>
      <c r="Q40" s="60" t="str">
        <f>IF(F40="F2","VENTAS A CONSUMIDOR FINAL",IF('Registrar expedidas_ingresos'!Q40="","",'Registrar expedidas_ingresos'!Q40))</f>
        <v/>
      </c>
      <c r="R40" s="61" t="str">
        <f>IF(F40="DV","02",IF(ISERROR(VLOOKUP(CONCATENATE("CLAVE OPERACION",'Registrar expedidas_ingresos'!R40),'CODIGO-LITERAL'!$C:$D,2,FALSE)),"",VLOOKUP(CONCATENATE("CLAVE OPERACION",'Registrar expedidas_ingresos'!R40),'CODIGO-LITERAL'!$C:$D,2,FALSE)))</f>
        <v/>
      </c>
      <c r="S40" s="61" t="str">
        <f>IF(R40="03","S1",
 IF(R40="08","N2",
  IF(ISERROR(VLOOKUP(CONCATENATE("CALIFICACION OPERACION",'Registrar expedidas_ingresos'!S40),'CODIGO-LITERAL'!$C:$D,2,FALSE)),"",VLOOKUP(CONCATENATE("CALIFICACION OPERACION",'Registrar expedidas_ingresos'!S40),'CODIGO-LITERAL'!$C:$D,2,FALSE))))</f>
        <v/>
      </c>
      <c r="T40" s="61" t="str">
        <f>IF(R40="03","",IF(R40="08","",IF(ISERROR(VLOOKUP(CONCATENATE("OPERACION EXENTA",'Registrar expedidas_ingresos'!T40),'CODIGO-LITERAL'!$C:$D,2,FALSE)),"",VLOOKUP(CONCATENATE("OPERACION EXENTA",'Registrar expedidas_ingresos'!T40),'CODIGO-LITERAL'!$C:$D,2,FALSE))))</f>
        <v/>
      </c>
      <c r="U40" s="60" t="str">
        <f t="shared" si="2"/>
        <v/>
      </c>
      <c r="V40" s="60" t="str">
        <f>IF('Registrar expedidas_ingresos'!V40="","",ROUND('Registrar expedidas_ingresos'!V40,2))</f>
        <v/>
      </c>
      <c r="W40" s="60" t="str">
        <f>IF(S40="S2",0,IF('Registrar expedidas_ingresos'!W40="","",'Registrar expedidas_ingresos'!W40))</f>
        <v/>
      </c>
      <c r="X40" s="60" t="str">
        <f>IF(S40="S2",0,IF('Registrar expedidas_ingresos'!X40="","",ROUND('Registrar expedidas_ingresos'!X40,2)))</f>
        <v/>
      </c>
      <c r="Y40" s="60" t="str">
        <f>IF('Registrar expedidas_ingresos'!Y40="","",'Registrar expedidas_ingresos'!Y40)</f>
        <v/>
      </c>
      <c r="Z40" s="60" t="str">
        <f>IF('Registrar expedidas_ingresos'!Z40="","",ROUND('Registrar expedidas_ingresos'!Z40,2))</f>
        <v/>
      </c>
      <c r="AA40" s="64" t="str">
        <f>IF(R40&lt;&gt;"07","",IF('Registrar expedidas_ingresos'!AA40="","",'Registrar expedidas_ingresos'!AA40))</f>
        <v/>
      </c>
      <c r="AB40" s="60" t="str">
        <f>IF(R40&lt;&gt;"07","",IF('Registrar expedidas_ingresos'!AB40="","",'Registrar expedidas_ingresos'!AB40))</f>
        <v/>
      </c>
      <c r="AC40" s="61" t="str">
        <f>IF(R40&lt;&gt;"07","",IF(ISERROR(VLOOKUP(CONCATENATE("MEDIO UTILIZADO",'Registrar expedidas_ingresos'!AC40),'CODIGO-LITERAL'!$C:$D,2,FALSE)),"",VLOOKUP(CONCATENATE("MEDIO UTILIZADO",'Registrar expedidas_ingresos'!AC40),'CODIGO-LITERAL'!$C:$D,2,FALSE)))</f>
        <v/>
      </c>
      <c r="AD40" s="60" t="str">
        <f>IF(R40&lt;&gt;"07","",IF('Registrar expedidas_ingresos'!AD40="","",'Registrar expedidas_ingresos'!AD40))</f>
        <v/>
      </c>
      <c r="AE40" s="65"/>
      <c r="AF40" s="65"/>
      <c r="AG40" s="60" t="str">
        <f>IF('Registrar expedidas_ingresos'!AG40="","",'Registrar expedidas_ingresos'!AG40)</f>
        <v/>
      </c>
      <c r="AH40" s="61" t="str">
        <f>IF(ISERROR(VLOOKUP(CONCATENATE("SITUACION",'Registrar expedidas_ingresos'!AH40),'CODIGO-LITERAL'!$C:$D,2,FALSE)),"",VLOOKUP(CONCATENATE("SITUACION",'Registrar expedidas_ingresos'!AH40),'CODIGO-LITERAL'!$C:$D,2,FALSE))</f>
        <v/>
      </c>
      <c r="AI40" s="60" t="str">
        <f>IF('Registrar expedidas_ingresos'!AI40="","",'Registrar expedidas_ingresos'!AI40)</f>
        <v/>
      </c>
      <c r="AJ40" s="60" t="str">
        <f>IF('Registrar expedidas_ingresos'!AJ40="","",'Registrar expedidas_ingresos'!AJ40)</f>
        <v/>
      </c>
    </row>
    <row r="41" spans="1:36" x14ac:dyDescent="0.25">
      <c r="A41" s="59" t="str">
        <f>IF('Registrar expedidas_ingresos'!J41="",IF('Registrar expedidas_ingresos'!I41="","",YEAR('Registrar expedidas_ingresos'!I41)),YEAR('Registrar expedidas_ingresos'!J41))</f>
        <v/>
      </c>
      <c r="B41" s="60" t="str">
        <f>IF('Registrar expedidas_ingresos'!B41="","",'Registrar expedidas_ingresos'!B41)</f>
        <v/>
      </c>
      <c r="C41" s="60" t="str">
        <f>IF('Registrar expedidas_ingresos'!C41="","",VLOOKUP(CONCATENATE("ACTIVIDAD",'Registrar expedidas_ingresos'!C41),'CODIGO-LITERAL'!C:D,2,FALSE))</f>
        <v/>
      </c>
      <c r="D41" s="60" t="str">
        <f>IF(OR(C41="C",C41="D"),"",IF(ISERROR(VLOOKUP(CONCATENATE(C41,'Registrar expedidas_ingresos'!D41),'CODIGO-LITERAL'!$C:$D,2,FALSE)),"",VLOOKUP(CONCATENATE(C41,'Registrar expedidas_ingresos'!D41),'CODIGO-LITERAL'!$C:$D,2,FALSE)))</f>
        <v/>
      </c>
      <c r="E41" s="60" t="str">
        <f>IF('Registrar expedidas_ingresos'!E41="","",'Registrar expedidas_ingresos'!E41)</f>
        <v/>
      </c>
      <c r="F41" s="61" t="str">
        <f>IF(ISERROR(VLOOKUP(CONCATENATE("TIPO FACTURA",'Registrar expedidas_ingresos'!F41),'CODIGO-LITERAL'!$C:$D,2,FALSE)),"",VLOOKUP(CONCATENATE("TIPO FACTURA",'Registrar expedidas_ingresos'!F41),'CODIGO-LITERAL'!$C:$D,2,FALSE))</f>
        <v/>
      </c>
      <c r="G41" s="62"/>
      <c r="H41" s="63"/>
      <c r="I41" s="64" t="str">
        <f>IF('Registrar expedidas_ingresos'!I41="","",'Registrar expedidas_ingresos'!I41)</f>
        <v/>
      </c>
      <c r="J41" s="64" t="str">
        <f>IF('Registrar expedidas_ingresos'!J41="","",'Registrar expedidas_ingresos'!J41)</f>
        <v/>
      </c>
      <c r="K41" s="60" t="str">
        <f>IF('Registrar expedidas_ingresos'!K41="","",'Registrar expedidas_ingresos'!K41)</f>
        <v/>
      </c>
      <c r="L41" s="60" t="str">
        <f>IF('Registrar expedidas_ingresos'!L41="","",'Registrar expedidas_ingresos'!L41)</f>
        <v/>
      </c>
      <c r="M41" s="60" t="str">
        <f>IF('Registrar expedidas_ingresos'!M41="","",'Registrar expedidas_ingresos'!M41)</f>
        <v/>
      </c>
      <c r="N41" s="61" t="str">
        <f>IF(OR(F41="F2",LEFT('Registrar expedidas_ingresos'!N41,2)="01"),"",IF(ISERROR(VLOOKUP(CONCATENATE("TIPO NIF",'Registrar expedidas_ingresos'!N41),'CODIGO-LITERAL'!$C:$D,2,FALSE)),"",VLOOKUP(CONCATENATE("TIPO NIF",'Registrar expedidas_ingresos'!N41),'CODIGO-LITERAL'!$C:$D,2,FALSE)))</f>
        <v/>
      </c>
      <c r="O41" s="60" t="str">
        <f>IF(OR('Registrar expedidas_ingresos'!O41="",N41="02",F41="F2"),"",'Registrar expedidas_ingresos'!O41)</f>
        <v/>
      </c>
      <c r="P41" s="60" t="str">
        <f>IF('Registrar expedidas_ingresos'!P41="","",'Registrar expedidas_ingresos'!P41)</f>
        <v/>
      </c>
      <c r="Q41" s="60" t="str">
        <f>IF(F41="F2","VENTAS A CONSUMIDOR FINAL",IF('Registrar expedidas_ingresos'!Q41="","",'Registrar expedidas_ingresos'!Q41))</f>
        <v/>
      </c>
      <c r="R41" s="61" t="str">
        <f>IF(F41="DV","02",IF(ISERROR(VLOOKUP(CONCATENATE("CLAVE OPERACION",'Registrar expedidas_ingresos'!R41),'CODIGO-LITERAL'!$C:$D,2,FALSE)),"",VLOOKUP(CONCATENATE("CLAVE OPERACION",'Registrar expedidas_ingresos'!R41),'CODIGO-LITERAL'!$C:$D,2,FALSE)))</f>
        <v/>
      </c>
      <c r="S41" s="61" t="str">
        <f>IF(R41="03","S1",
 IF(R41="08","N2",
  IF(ISERROR(VLOOKUP(CONCATENATE("CALIFICACION OPERACION",'Registrar expedidas_ingresos'!S41),'CODIGO-LITERAL'!$C:$D,2,FALSE)),"",VLOOKUP(CONCATENATE("CALIFICACION OPERACION",'Registrar expedidas_ingresos'!S41),'CODIGO-LITERAL'!$C:$D,2,FALSE))))</f>
        <v/>
      </c>
      <c r="T41" s="61" t="str">
        <f>IF(R41="03","",IF(R41="08","",IF(ISERROR(VLOOKUP(CONCATENATE("OPERACION EXENTA",'Registrar expedidas_ingresos'!T41),'CODIGO-LITERAL'!$C:$D,2,FALSE)),"",VLOOKUP(CONCATENATE("OPERACION EXENTA",'Registrar expedidas_ingresos'!T41),'CODIGO-LITERAL'!$C:$D,2,FALSE))))</f>
        <v/>
      </c>
      <c r="U41" s="60" t="str">
        <f t="shared" si="2"/>
        <v/>
      </c>
      <c r="V41" s="60" t="str">
        <f>IF('Registrar expedidas_ingresos'!V41="","",ROUND('Registrar expedidas_ingresos'!V41,2))</f>
        <v/>
      </c>
      <c r="W41" s="60" t="str">
        <f>IF(S41="S2",0,IF('Registrar expedidas_ingresos'!W41="","",'Registrar expedidas_ingresos'!W41))</f>
        <v/>
      </c>
      <c r="X41" s="60" t="str">
        <f>IF(S41="S2",0,IF('Registrar expedidas_ingresos'!X41="","",ROUND('Registrar expedidas_ingresos'!X41,2)))</f>
        <v/>
      </c>
      <c r="Y41" s="60" t="str">
        <f>IF('Registrar expedidas_ingresos'!Y41="","",'Registrar expedidas_ingresos'!Y41)</f>
        <v/>
      </c>
      <c r="Z41" s="60" t="str">
        <f>IF('Registrar expedidas_ingresos'!Z41="","",ROUND('Registrar expedidas_ingresos'!Z41,2))</f>
        <v/>
      </c>
      <c r="AA41" s="64" t="str">
        <f>IF(R41&lt;&gt;"07","",IF('Registrar expedidas_ingresos'!AA41="","",'Registrar expedidas_ingresos'!AA41))</f>
        <v/>
      </c>
      <c r="AB41" s="60" t="str">
        <f>IF(R41&lt;&gt;"07","",IF('Registrar expedidas_ingresos'!AB41="","",'Registrar expedidas_ingresos'!AB41))</f>
        <v/>
      </c>
      <c r="AC41" s="61" t="str">
        <f>IF(R41&lt;&gt;"07","",IF(ISERROR(VLOOKUP(CONCATENATE("MEDIO UTILIZADO",'Registrar expedidas_ingresos'!AC41),'CODIGO-LITERAL'!$C:$D,2,FALSE)),"",VLOOKUP(CONCATENATE("MEDIO UTILIZADO",'Registrar expedidas_ingresos'!AC41),'CODIGO-LITERAL'!$C:$D,2,FALSE)))</f>
        <v/>
      </c>
      <c r="AD41" s="60" t="str">
        <f>IF(R41&lt;&gt;"07","",IF('Registrar expedidas_ingresos'!AD41="","",'Registrar expedidas_ingresos'!AD41))</f>
        <v/>
      </c>
      <c r="AE41" s="65"/>
      <c r="AF41" s="65"/>
      <c r="AG41" s="60" t="str">
        <f>IF('Registrar expedidas_ingresos'!AG41="","",'Registrar expedidas_ingresos'!AG41)</f>
        <v/>
      </c>
      <c r="AH41" s="61" t="str">
        <f>IF(ISERROR(VLOOKUP(CONCATENATE("SITUACION",'Registrar expedidas_ingresos'!AH41),'CODIGO-LITERAL'!$C:$D,2,FALSE)),"",VLOOKUP(CONCATENATE("SITUACION",'Registrar expedidas_ingresos'!AH41),'CODIGO-LITERAL'!$C:$D,2,FALSE))</f>
        <v/>
      </c>
      <c r="AI41" s="60" t="str">
        <f>IF('Registrar expedidas_ingresos'!AI41="","",'Registrar expedidas_ingresos'!AI41)</f>
        <v/>
      </c>
      <c r="AJ41" s="60" t="str">
        <f>IF('Registrar expedidas_ingresos'!AJ41="","",'Registrar expedidas_ingresos'!AJ41)</f>
        <v/>
      </c>
    </row>
    <row r="42" spans="1:36" x14ac:dyDescent="0.25">
      <c r="A42" s="59" t="str">
        <f>IF('Registrar expedidas_ingresos'!J42="",IF('Registrar expedidas_ingresos'!I42="","",YEAR('Registrar expedidas_ingresos'!I42)),YEAR('Registrar expedidas_ingresos'!J42))</f>
        <v/>
      </c>
      <c r="B42" s="60" t="str">
        <f>IF('Registrar expedidas_ingresos'!B42="","",'Registrar expedidas_ingresos'!B42)</f>
        <v/>
      </c>
      <c r="C42" s="60" t="str">
        <f>IF('Registrar expedidas_ingresos'!C42="","",VLOOKUP(CONCATENATE("ACTIVIDAD",'Registrar expedidas_ingresos'!C42),'CODIGO-LITERAL'!C:D,2,FALSE))</f>
        <v/>
      </c>
      <c r="D42" s="60" t="str">
        <f>IF(OR(C42="C",C42="D"),"",IF(ISERROR(VLOOKUP(CONCATENATE(C42,'Registrar expedidas_ingresos'!D42),'CODIGO-LITERAL'!$C:$D,2,FALSE)),"",VLOOKUP(CONCATENATE(C42,'Registrar expedidas_ingresos'!D42),'CODIGO-LITERAL'!$C:$D,2,FALSE)))</f>
        <v/>
      </c>
      <c r="E42" s="60" t="str">
        <f>IF('Registrar expedidas_ingresos'!E42="","",'Registrar expedidas_ingresos'!E42)</f>
        <v/>
      </c>
      <c r="F42" s="61" t="str">
        <f>IF(ISERROR(VLOOKUP(CONCATENATE("TIPO FACTURA",'Registrar expedidas_ingresos'!F42),'CODIGO-LITERAL'!$C:$D,2,FALSE)),"",VLOOKUP(CONCATENATE("TIPO FACTURA",'Registrar expedidas_ingresos'!F42),'CODIGO-LITERAL'!$C:$D,2,FALSE))</f>
        <v/>
      </c>
      <c r="G42" s="62"/>
      <c r="H42" s="63"/>
      <c r="I42" s="64" t="str">
        <f>IF('Registrar expedidas_ingresos'!I42="","",'Registrar expedidas_ingresos'!I42)</f>
        <v/>
      </c>
      <c r="J42" s="64" t="str">
        <f>IF('Registrar expedidas_ingresos'!J42="","",'Registrar expedidas_ingresos'!J42)</f>
        <v/>
      </c>
      <c r="K42" s="60" t="str">
        <f>IF('Registrar expedidas_ingresos'!K42="","",'Registrar expedidas_ingresos'!K42)</f>
        <v/>
      </c>
      <c r="L42" s="60" t="str">
        <f>IF('Registrar expedidas_ingresos'!L42="","",'Registrar expedidas_ingresos'!L42)</f>
        <v/>
      </c>
      <c r="M42" s="60" t="str">
        <f>IF('Registrar expedidas_ingresos'!M42="","",'Registrar expedidas_ingresos'!M42)</f>
        <v/>
      </c>
      <c r="N42" s="61" t="str">
        <f>IF(OR(F42="F2",LEFT('Registrar expedidas_ingresos'!N42,2)="01"),"",IF(ISERROR(VLOOKUP(CONCATENATE("TIPO NIF",'Registrar expedidas_ingresos'!N42),'CODIGO-LITERAL'!$C:$D,2,FALSE)),"",VLOOKUP(CONCATENATE("TIPO NIF",'Registrar expedidas_ingresos'!N42),'CODIGO-LITERAL'!$C:$D,2,FALSE)))</f>
        <v/>
      </c>
      <c r="O42" s="60" t="str">
        <f>IF(OR('Registrar expedidas_ingresos'!O42="",N42="02",F42="F2"),"",'Registrar expedidas_ingresos'!O42)</f>
        <v/>
      </c>
      <c r="P42" s="60" t="str">
        <f>IF('Registrar expedidas_ingresos'!P42="","",'Registrar expedidas_ingresos'!P42)</f>
        <v/>
      </c>
      <c r="Q42" s="60" t="str">
        <f>IF(F42="F2","VENTAS A CONSUMIDOR FINAL",IF('Registrar expedidas_ingresos'!Q42="","",'Registrar expedidas_ingresos'!Q42))</f>
        <v/>
      </c>
      <c r="R42" s="61" t="str">
        <f>IF(F42="DV","02",IF(ISERROR(VLOOKUP(CONCATENATE("CLAVE OPERACION",'Registrar expedidas_ingresos'!R42),'CODIGO-LITERAL'!$C:$D,2,FALSE)),"",VLOOKUP(CONCATENATE("CLAVE OPERACION",'Registrar expedidas_ingresos'!R42),'CODIGO-LITERAL'!$C:$D,2,FALSE)))</f>
        <v/>
      </c>
      <c r="S42" s="61" t="str">
        <f>IF(R42="03","S1",
 IF(R42="08","N2",
  IF(ISERROR(VLOOKUP(CONCATENATE("CALIFICACION OPERACION",'Registrar expedidas_ingresos'!S42),'CODIGO-LITERAL'!$C:$D,2,FALSE)),"",VLOOKUP(CONCATENATE("CALIFICACION OPERACION",'Registrar expedidas_ingresos'!S42),'CODIGO-LITERAL'!$C:$D,2,FALSE))))</f>
        <v/>
      </c>
      <c r="T42" s="61" t="str">
        <f>IF(R42="03","",IF(R42="08","",IF(ISERROR(VLOOKUP(CONCATENATE("OPERACION EXENTA",'Registrar expedidas_ingresos'!T42),'CODIGO-LITERAL'!$C:$D,2,FALSE)),"",VLOOKUP(CONCATENATE("OPERACION EXENTA",'Registrar expedidas_ingresos'!T42),'CODIGO-LITERAL'!$C:$D,2,FALSE))))</f>
        <v/>
      </c>
      <c r="U42" s="60" t="str">
        <f t="shared" si="2"/>
        <v/>
      </c>
      <c r="V42" s="60" t="str">
        <f>IF('Registrar expedidas_ingresos'!V42="","",ROUND('Registrar expedidas_ingresos'!V42,2))</f>
        <v/>
      </c>
      <c r="W42" s="60" t="str">
        <f>IF(S42="S2",0,IF('Registrar expedidas_ingresos'!W42="","",'Registrar expedidas_ingresos'!W42))</f>
        <v/>
      </c>
      <c r="X42" s="60" t="str">
        <f>IF(S42="S2",0,IF('Registrar expedidas_ingresos'!X42="","",ROUND('Registrar expedidas_ingresos'!X42,2)))</f>
        <v/>
      </c>
      <c r="Y42" s="60" t="str">
        <f>IF('Registrar expedidas_ingresos'!Y42="","",'Registrar expedidas_ingresos'!Y42)</f>
        <v/>
      </c>
      <c r="Z42" s="60" t="str">
        <f>IF('Registrar expedidas_ingresos'!Z42="","",ROUND('Registrar expedidas_ingresos'!Z42,2))</f>
        <v/>
      </c>
      <c r="AA42" s="64" t="str">
        <f>IF(R42&lt;&gt;"07","",IF('Registrar expedidas_ingresos'!AA42="","",'Registrar expedidas_ingresos'!AA42))</f>
        <v/>
      </c>
      <c r="AB42" s="60" t="str">
        <f>IF(R42&lt;&gt;"07","",IF('Registrar expedidas_ingresos'!AB42="","",'Registrar expedidas_ingresos'!AB42))</f>
        <v/>
      </c>
      <c r="AC42" s="61" t="str">
        <f>IF(R42&lt;&gt;"07","",IF(ISERROR(VLOOKUP(CONCATENATE("MEDIO UTILIZADO",'Registrar expedidas_ingresos'!AC42),'CODIGO-LITERAL'!$C:$D,2,FALSE)),"",VLOOKUP(CONCATENATE("MEDIO UTILIZADO",'Registrar expedidas_ingresos'!AC42),'CODIGO-LITERAL'!$C:$D,2,FALSE)))</f>
        <v/>
      </c>
      <c r="AD42" s="60" t="str">
        <f>IF(R42&lt;&gt;"07","",IF('Registrar expedidas_ingresos'!AD42="","",'Registrar expedidas_ingresos'!AD42))</f>
        <v/>
      </c>
      <c r="AE42" s="65"/>
      <c r="AF42" s="65"/>
      <c r="AG42" s="60" t="str">
        <f>IF('Registrar expedidas_ingresos'!AG42="","",'Registrar expedidas_ingresos'!AG42)</f>
        <v/>
      </c>
      <c r="AH42" s="61" t="str">
        <f>IF(ISERROR(VLOOKUP(CONCATENATE("SITUACION",'Registrar expedidas_ingresos'!AH42),'CODIGO-LITERAL'!$C:$D,2,FALSE)),"",VLOOKUP(CONCATENATE("SITUACION",'Registrar expedidas_ingresos'!AH42),'CODIGO-LITERAL'!$C:$D,2,FALSE))</f>
        <v/>
      </c>
      <c r="AI42" s="60" t="str">
        <f>IF('Registrar expedidas_ingresos'!AI42="","",'Registrar expedidas_ingresos'!AI42)</f>
        <v/>
      </c>
      <c r="AJ42" s="60" t="str">
        <f>IF('Registrar expedidas_ingresos'!AJ42="","",'Registrar expedidas_ingresos'!AJ42)</f>
        <v/>
      </c>
    </row>
    <row r="43" spans="1:36" x14ac:dyDescent="0.25">
      <c r="A43" s="59" t="str">
        <f>IF('Registrar expedidas_ingresos'!J43="",IF('Registrar expedidas_ingresos'!I43="","",YEAR('Registrar expedidas_ingresos'!I43)),YEAR('Registrar expedidas_ingresos'!J43))</f>
        <v/>
      </c>
      <c r="B43" s="60" t="str">
        <f>IF('Registrar expedidas_ingresos'!B43="","",'Registrar expedidas_ingresos'!B43)</f>
        <v/>
      </c>
      <c r="C43" s="60" t="str">
        <f>IF('Registrar expedidas_ingresos'!C43="","",VLOOKUP(CONCATENATE("ACTIVIDAD",'Registrar expedidas_ingresos'!C43),'CODIGO-LITERAL'!C:D,2,FALSE))</f>
        <v/>
      </c>
      <c r="D43" s="60" t="str">
        <f>IF(OR(C43="C",C43="D"),"",IF(ISERROR(VLOOKUP(CONCATENATE(C43,'Registrar expedidas_ingresos'!D43),'CODIGO-LITERAL'!$C:$D,2,FALSE)),"",VLOOKUP(CONCATENATE(C43,'Registrar expedidas_ingresos'!D43),'CODIGO-LITERAL'!$C:$D,2,FALSE)))</f>
        <v/>
      </c>
      <c r="E43" s="60" t="str">
        <f>IF('Registrar expedidas_ingresos'!E43="","",'Registrar expedidas_ingresos'!E43)</f>
        <v/>
      </c>
      <c r="F43" s="61" t="str">
        <f>IF(ISERROR(VLOOKUP(CONCATENATE("TIPO FACTURA",'Registrar expedidas_ingresos'!F43),'CODIGO-LITERAL'!$C:$D,2,FALSE)),"",VLOOKUP(CONCATENATE("TIPO FACTURA",'Registrar expedidas_ingresos'!F43),'CODIGO-LITERAL'!$C:$D,2,FALSE))</f>
        <v/>
      </c>
      <c r="G43" s="62"/>
      <c r="H43" s="63"/>
      <c r="I43" s="64" t="str">
        <f>IF('Registrar expedidas_ingresos'!I43="","",'Registrar expedidas_ingresos'!I43)</f>
        <v/>
      </c>
      <c r="J43" s="64" t="str">
        <f>IF('Registrar expedidas_ingresos'!J43="","",'Registrar expedidas_ingresos'!J43)</f>
        <v/>
      </c>
      <c r="K43" s="60" t="str">
        <f>IF('Registrar expedidas_ingresos'!K43="","",'Registrar expedidas_ingresos'!K43)</f>
        <v/>
      </c>
      <c r="L43" s="60" t="str">
        <f>IF('Registrar expedidas_ingresos'!L43="","",'Registrar expedidas_ingresos'!L43)</f>
        <v/>
      </c>
      <c r="M43" s="60" t="str">
        <f>IF('Registrar expedidas_ingresos'!M43="","",'Registrar expedidas_ingresos'!M43)</f>
        <v/>
      </c>
      <c r="N43" s="61" t="str">
        <f>IF(OR(F43="F2",LEFT('Registrar expedidas_ingresos'!N43,2)="01"),"",IF(ISERROR(VLOOKUP(CONCATENATE("TIPO NIF",'Registrar expedidas_ingresos'!N43),'CODIGO-LITERAL'!$C:$D,2,FALSE)),"",VLOOKUP(CONCATENATE("TIPO NIF",'Registrar expedidas_ingresos'!N43),'CODIGO-LITERAL'!$C:$D,2,FALSE)))</f>
        <v/>
      </c>
      <c r="O43" s="60" t="str">
        <f>IF(OR('Registrar expedidas_ingresos'!O43="",N43="02",F43="F2"),"",'Registrar expedidas_ingresos'!O43)</f>
        <v/>
      </c>
      <c r="P43" s="60" t="str">
        <f>IF('Registrar expedidas_ingresos'!P43="","",'Registrar expedidas_ingresos'!P43)</f>
        <v/>
      </c>
      <c r="Q43" s="60" t="str">
        <f>IF(F43="F2","VENTAS A CONSUMIDOR FINAL",IF('Registrar expedidas_ingresos'!Q43="","",'Registrar expedidas_ingresos'!Q43))</f>
        <v/>
      </c>
      <c r="R43" s="61" t="str">
        <f>IF(F43="DV","02",IF(ISERROR(VLOOKUP(CONCATENATE("CLAVE OPERACION",'Registrar expedidas_ingresos'!R43),'CODIGO-LITERAL'!$C:$D,2,FALSE)),"",VLOOKUP(CONCATENATE("CLAVE OPERACION",'Registrar expedidas_ingresos'!R43),'CODIGO-LITERAL'!$C:$D,2,FALSE)))</f>
        <v/>
      </c>
      <c r="S43" s="61" t="str">
        <f>IF(R43="03","S1",
 IF(R43="08","N2",
  IF(ISERROR(VLOOKUP(CONCATENATE("CALIFICACION OPERACION",'Registrar expedidas_ingresos'!S43),'CODIGO-LITERAL'!$C:$D,2,FALSE)),"",VLOOKUP(CONCATENATE("CALIFICACION OPERACION",'Registrar expedidas_ingresos'!S43),'CODIGO-LITERAL'!$C:$D,2,FALSE))))</f>
        <v/>
      </c>
      <c r="T43" s="61" t="str">
        <f>IF(R43="03","",IF(R43="08","",IF(ISERROR(VLOOKUP(CONCATENATE("OPERACION EXENTA",'Registrar expedidas_ingresos'!T43),'CODIGO-LITERAL'!$C:$D,2,FALSE)),"",VLOOKUP(CONCATENATE("OPERACION EXENTA",'Registrar expedidas_ingresos'!T43),'CODIGO-LITERAL'!$C:$D,2,FALSE))))</f>
        <v/>
      </c>
      <c r="U43" s="60" t="str">
        <f t="shared" si="2"/>
        <v/>
      </c>
      <c r="V43" s="60" t="str">
        <f>IF('Registrar expedidas_ingresos'!V43="","",ROUND('Registrar expedidas_ingresos'!V43,2))</f>
        <v/>
      </c>
      <c r="W43" s="60" t="str">
        <f>IF(S43="S2",0,IF('Registrar expedidas_ingresos'!W43="","",'Registrar expedidas_ingresos'!W43))</f>
        <v/>
      </c>
      <c r="X43" s="60" t="str">
        <f>IF(S43="S2",0,IF('Registrar expedidas_ingresos'!X43="","",ROUND('Registrar expedidas_ingresos'!X43,2)))</f>
        <v/>
      </c>
      <c r="Y43" s="60" t="str">
        <f>IF('Registrar expedidas_ingresos'!Y43="","",'Registrar expedidas_ingresos'!Y43)</f>
        <v/>
      </c>
      <c r="Z43" s="60" t="str">
        <f>IF('Registrar expedidas_ingresos'!Z43="","",ROUND('Registrar expedidas_ingresos'!Z43,2))</f>
        <v/>
      </c>
      <c r="AA43" s="64" t="str">
        <f>IF(R43&lt;&gt;"07","",IF('Registrar expedidas_ingresos'!AA43="","",'Registrar expedidas_ingresos'!AA43))</f>
        <v/>
      </c>
      <c r="AB43" s="60" t="str">
        <f>IF(R43&lt;&gt;"07","",IF('Registrar expedidas_ingresos'!AB43="","",'Registrar expedidas_ingresos'!AB43))</f>
        <v/>
      </c>
      <c r="AC43" s="61" t="str">
        <f>IF(R43&lt;&gt;"07","",IF(ISERROR(VLOOKUP(CONCATENATE("MEDIO UTILIZADO",'Registrar expedidas_ingresos'!AC43),'CODIGO-LITERAL'!$C:$D,2,FALSE)),"",VLOOKUP(CONCATENATE("MEDIO UTILIZADO",'Registrar expedidas_ingresos'!AC43),'CODIGO-LITERAL'!$C:$D,2,FALSE)))</f>
        <v/>
      </c>
      <c r="AD43" s="60" t="str">
        <f>IF(R43&lt;&gt;"07","",IF('Registrar expedidas_ingresos'!AD43="","",'Registrar expedidas_ingresos'!AD43))</f>
        <v/>
      </c>
      <c r="AE43" s="65"/>
      <c r="AF43" s="65"/>
      <c r="AG43" s="60" t="str">
        <f>IF('Registrar expedidas_ingresos'!AG43="","",'Registrar expedidas_ingresos'!AG43)</f>
        <v/>
      </c>
      <c r="AH43" s="61" t="str">
        <f>IF(ISERROR(VLOOKUP(CONCATENATE("SITUACION",'Registrar expedidas_ingresos'!AH43),'CODIGO-LITERAL'!$C:$D,2,FALSE)),"",VLOOKUP(CONCATENATE("SITUACION",'Registrar expedidas_ingresos'!AH43),'CODIGO-LITERAL'!$C:$D,2,FALSE))</f>
        <v/>
      </c>
      <c r="AI43" s="60" t="str">
        <f>IF('Registrar expedidas_ingresos'!AI43="","",'Registrar expedidas_ingresos'!AI43)</f>
        <v/>
      </c>
      <c r="AJ43" s="60" t="str">
        <f>IF('Registrar expedidas_ingresos'!AJ43="","",'Registrar expedidas_ingresos'!AJ43)</f>
        <v/>
      </c>
    </row>
    <row r="44" spans="1:36" x14ac:dyDescent="0.25">
      <c r="A44" s="59" t="str">
        <f>IF('Registrar expedidas_ingresos'!J44="",IF('Registrar expedidas_ingresos'!I44="","",YEAR('Registrar expedidas_ingresos'!I44)),YEAR('Registrar expedidas_ingresos'!J44))</f>
        <v/>
      </c>
      <c r="B44" s="60" t="str">
        <f>IF('Registrar expedidas_ingresos'!B44="","",'Registrar expedidas_ingresos'!B44)</f>
        <v/>
      </c>
      <c r="C44" s="60" t="str">
        <f>IF('Registrar expedidas_ingresos'!C44="","",VLOOKUP(CONCATENATE("ACTIVIDAD",'Registrar expedidas_ingresos'!C44),'CODIGO-LITERAL'!C:D,2,FALSE))</f>
        <v/>
      </c>
      <c r="D44" s="60" t="str">
        <f>IF(OR(C44="C",C44="D"),"",IF(ISERROR(VLOOKUP(CONCATENATE(C44,'Registrar expedidas_ingresos'!D44),'CODIGO-LITERAL'!$C:$D,2,FALSE)),"",VLOOKUP(CONCATENATE(C44,'Registrar expedidas_ingresos'!D44),'CODIGO-LITERAL'!$C:$D,2,FALSE)))</f>
        <v/>
      </c>
      <c r="E44" s="60" t="str">
        <f>IF('Registrar expedidas_ingresos'!E44="","",'Registrar expedidas_ingresos'!E44)</f>
        <v/>
      </c>
      <c r="F44" s="61" t="str">
        <f>IF(ISERROR(VLOOKUP(CONCATENATE("TIPO FACTURA",'Registrar expedidas_ingresos'!F44),'CODIGO-LITERAL'!$C:$D,2,FALSE)),"",VLOOKUP(CONCATENATE("TIPO FACTURA",'Registrar expedidas_ingresos'!F44),'CODIGO-LITERAL'!$C:$D,2,FALSE))</f>
        <v/>
      </c>
      <c r="G44" s="62"/>
      <c r="H44" s="63"/>
      <c r="I44" s="64" t="str">
        <f>IF('Registrar expedidas_ingresos'!I44="","",'Registrar expedidas_ingresos'!I44)</f>
        <v/>
      </c>
      <c r="J44" s="64" t="str">
        <f>IF('Registrar expedidas_ingresos'!J44="","",'Registrar expedidas_ingresos'!J44)</f>
        <v/>
      </c>
      <c r="K44" s="60" t="str">
        <f>IF('Registrar expedidas_ingresos'!K44="","",'Registrar expedidas_ingresos'!K44)</f>
        <v/>
      </c>
      <c r="L44" s="60" t="str">
        <f>IF('Registrar expedidas_ingresos'!L44="","",'Registrar expedidas_ingresos'!L44)</f>
        <v/>
      </c>
      <c r="M44" s="60" t="str">
        <f>IF('Registrar expedidas_ingresos'!M44="","",'Registrar expedidas_ingresos'!M44)</f>
        <v/>
      </c>
      <c r="N44" s="61" t="str">
        <f>IF(OR(F44="F2",LEFT('Registrar expedidas_ingresos'!N44,2)="01"),"",IF(ISERROR(VLOOKUP(CONCATENATE("TIPO NIF",'Registrar expedidas_ingresos'!N44),'CODIGO-LITERAL'!$C:$D,2,FALSE)),"",VLOOKUP(CONCATENATE("TIPO NIF",'Registrar expedidas_ingresos'!N44),'CODIGO-LITERAL'!$C:$D,2,FALSE)))</f>
        <v/>
      </c>
      <c r="O44" s="60" t="str">
        <f>IF(OR('Registrar expedidas_ingresos'!O44="",N44="02",F44="F2"),"",'Registrar expedidas_ingresos'!O44)</f>
        <v/>
      </c>
      <c r="P44" s="60" t="str">
        <f>IF('Registrar expedidas_ingresos'!P44="","",'Registrar expedidas_ingresos'!P44)</f>
        <v/>
      </c>
      <c r="Q44" s="60" t="str">
        <f>IF(F44="F2","VENTAS A CONSUMIDOR FINAL",IF('Registrar expedidas_ingresos'!Q44="","",'Registrar expedidas_ingresos'!Q44))</f>
        <v/>
      </c>
      <c r="R44" s="61" t="str">
        <f>IF(F44="DV","02",IF(ISERROR(VLOOKUP(CONCATENATE("CLAVE OPERACION",'Registrar expedidas_ingresos'!R44),'CODIGO-LITERAL'!$C:$D,2,FALSE)),"",VLOOKUP(CONCATENATE("CLAVE OPERACION",'Registrar expedidas_ingresos'!R44),'CODIGO-LITERAL'!$C:$D,2,FALSE)))</f>
        <v/>
      </c>
      <c r="S44" s="61" t="str">
        <f>IF(R44="03","S1",
 IF(R44="08","N2",
  IF(ISERROR(VLOOKUP(CONCATENATE("CALIFICACION OPERACION",'Registrar expedidas_ingresos'!S44),'CODIGO-LITERAL'!$C:$D,2,FALSE)),"",VLOOKUP(CONCATENATE("CALIFICACION OPERACION",'Registrar expedidas_ingresos'!S44),'CODIGO-LITERAL'!$C:$D,2,FALSE))))</f>
        <v/>
      </c>
      <c r="T44" s="61" t="str">
        <f>IF(R44="03","",IF(R44="08","",IF(ISERROR(VLOOKUP(CONCATENATE("OPERACION EXENTA",'Registrar expedidas_ingresos'!T44),'CODIGO-LITERAL'!$C:$D,2,FALSE)),"",VLOOKUP(CONCATENATE("OPERACION EXENTA",'Registrar expedidas_ingresos'!T44),'CODIGO-LITERAL'!$C:$D,2,FALSE))))</f>
        <v/>
      </c>
      <c r="U44" s="60" t="str">
        <f t="shared" si="2"/>
        <v/>
      </c>
      <c r="V44" s="60" t="str">
        <f>IF('Registrar expedidas_ingresos'!V44="","",ROUND('Registrar expedidas_ingresos'!V44,2))</f>
        <v/>
      </c>
      <c r="W44" s="60" t="str">
        <f>IF(S44="S2",0,IF('Registrar expedidas_ingresos'!W44="","",'Registrar expedidas_ingresos'!W44))</f>
        <v/>
      </c>
      <c r="X44" s="60" t="str">
        <f>IF(S44="S2",0,IF('Registrar expedidas_ingresos'!X44="","",ROUND('Registrar expedidas_ingresos'!X44,2)))</f>
        <v/>
      </c>
      <c r="Y44" s="60" t="str">
        <f>IF('Registrar expedidas_ingresos'!Y44="","",'Registrar expedidas_ingresos'!Y44)</f>
        <v/>
      </c>
      <c r="Z44" s="60" t="str">
        <f>IF('Registrar expedidas_ingresos'!Z44="","",ROUND('Registrar expedidas_ingresos'!Z44,2))</f>
        <v/>
      </c>
      <c r="AA44" s="64" t="str">
        <f>IF(R44&lt;&gt;"07","",IF('Registrar expedidas_ingresos'!AA44="","",'Registrar expedidas_ingresos'!AA44))</f>
        <v/>
      </c>
      <c r="AB44" s="60" t="str">
        <f>IF(R44&lt;&gt;"07","",IF('Registrar expedidas_ingresos'!AB44="","",'Registrar expedidas_ingresos'!AB44))</f>
        <v/>
      </c>
      <c r="AC44" s="61" t="str">
        <f>IF(R44&lt;&gt;"07","",IF(ISERROR(VLOOKUP(CONCATENATE("MEDIO UTILIZADO",'Registrar expedidas_ingresos'!AC44),'CODIGO-LITERAL'!$C:$D,2,FALSE)),"",VLOOKUP(CONCATENATE("MEDIO UTILIZADO",'Registrar expedidas_ingresos'!AC44),'CODIGO-LITERAL'!$C:$D,2,FALSE)))</f>
        <v/>
      </c>
      <c r="AD44" s="60" t="str">
        <f>IF(R44&lt;&gt;"07","",IF('Registrar expedidas_ingresos'!AD44="","",'Registrar expedidas_ingresos'!AD44))</f>
        <v/>
      </c>
      <c r="AE44" s="65"/>
      <c r="AF44" s="65"/>
      <c r="AG44" s="60" t="str">
        <f>IF('Registrar expedidas_ingresos'!AG44="","",'Registrar expedidas_ingresos'!AG44)</f>
        <v/>
      </c>
      <c r="AH44" s="61" t="str">
        <f>IF(ISERROR(VLOOKUP(CONCATENATE("SITUACION",'Registrar expedidas_ingresos'!AH44),'CODIGO-LITERAL'!$C:$D,2,FALSE)),"",VLOOKUP(CONCATENATE("SITUACION",'Registrar expedidas_ingresos'!AH44),'CODIGO-LITERAL'!$C:$D,2,FALSE))</f>
        <v/>
      </c>
      <c r="AI44" s="60" t="str">
        <f>IF('Registrar expedidas_ingresos'!AI44="","",'Registrar expedidas_ingresos'!AI44)</f>
        <v/>
      </c>
      <c r="AJ44" s="60" t="str">
        <f>IF('Registrar expedidas_ingresos'!AJ44="","",'Registrar expedidas_ingresos'!AJ44)</f>
        <v/>
      </c>
    </row>
    <row r="45" spans="1:36" x14ac:dyDescent="0.25">
      <c r="A45" s="59" t="str">
        <f>IF('Registrar expedidas_ingresos'!J45="",IF('Registrar expedidas_ingresos'!I45="","",YEAR('Registrar expedidas_ingresos'!I45)),YEAR('Registrar expedidas_ingresos'!J45))</f>
        <v/>
      </c>
      <c r="B45" s="60" t="str">
        <f>IF('Registrar expedidas_ingresos'!B45="","",'Registrar expedidas_ingresos'!B45)</f>
        <v/>
      </c>
      <c r="C45" s="60" t="str">
        <f>IF('Registrar expedidas_ingresos'!C45="","",VLOOKUP(CONCATENATE("ACTIVIDAD",'Registrar expedidas_ingresos'!C45),'CODIGO-LITERAL'!C:D,2,FALSE))</f>
        <v/>
      </c>
      <c r="D45" s="60" t="str">
        <f>IF(OR(C45="C",C45="D"),"",IF(ISERROR(VLOOKUP(CONCATENATE(C45,'Registrar expedidas_ingresos'!D45),'CODIGO-LITERAL'!$C:$D,2,FALSE)),"",VLOOKUP(CONCATENATE(C45,'Registrar expedidas_ingresos'!D45),'CODIGO-LITERAL'!$C:$D,2,FALSE)))</f>
        <v/>
      </c>
      <c r="E45" s="60" t="str">
        <f>IF('Registrar expedidas_ingresos'!E45="","",'Registrar expedidas_ingresos'!E45)</f>
        <v/>
      </c>
      <c r="F45" s="61" t="str">
        <f>IF(ISERROR(VLOOKUP(CONCATENATE("TIPO FACTURA",'Registrar expedidas_ingresos'!F45),'CODIGO-LITERAL'!$C:$D,2,FALSE)),"",VLOOKUP(CONCATENATE("TIPO FACTURA",'Registrar expedidas_ingresos'!F45),'CODIGO-LITERAL'!$C:$D,2,FALSE))</f>
        <v/>
      </c>
      <c r="G45" s="62"/>
      <c r="H45" s="63"/>
      <c r="I45" s="64" t="str">
        <f>IF('Registrar expedidas_ingresos'!I45="","",'Registrar expedidas_ingresos'!I45)</f>
        <v/>
      </c>
      <c r="J45" s="64" t="str">
        <f>IF('Registrar expedidas_ingresos'!J45="","",'Registrar expedidas_ingresos'!J45)</f>
        <v/>
      </c>
      <c r="K45" s="60" t="str">
        <f>IF('Registrar expedidas_ingresos'!K45="","",'Registrar expedidas_ingresos'!K45)</f>
        <v/>
      </c>
      <c r="L45" s="60" t="str">
        <f>IF('Registrar expedidas_ingresos'!L45="","",'Registrar expedidas_ingresos'!L45)</f>
        <v/>
      </c>
      <c r="M45" s="60" t="str">
        <f>IF('Registrar expedidas_ingresos'!M45="","",'Registrar expedidas_ingresos'!M45)</f>
        <v/>
      </c>
      <c r="N45" s="61" t="str">
        <f>IF(OR(F45="F2",LEFT('Registrar expedidas_ingresos'!N45,2)="01"),"",IF(ISERROR(VLOOKUP(CONCATENATE("TIPO NIF",'Registrar expedidas_ingresos'!N45),'CODIGO-LITERAL'!$C:$D,2,FALSE)),"",VLOOKUP(CONCATENATE("TIPO NIF",'Registrar expedidas_ingresos'!N45),'CODIGO-LITERAL'!$C:$D,2,FALSE)))</f>
        <v/>
      </c>
      <c r="O45" s="60" t="str">
        <f>IF(OR('Registrar expedidas_ingresos'!O45="",N45="02",F45="F2"),"",'Registrar expedidas_ingresos'!O45)</f>
        <v/>
      </c>
      <c r="P45" s="60" t="str">
        <f>IF('Registrar expedidas_ingresos'!P45="","",'Registrar expedidas_ingresos'!P45)</f>
        <v/>
      </c>
      <c r="Q45" s="60" t="str">
        <f>IF(F45="F2","VENTAS A CONSUMIDOR FINAL",IF('Registrar expedidas_ingresos'!Q45="","",'Registrar expedidas_ingresos'!Q45))</f>
        <v/>
      </c>
      <c r="R45" s="61" t="str">
        <f>IF(F45="DV","02",IF(ISERROR(VLOOKUP(CONCATENATE("CLAVE OPERACION",'Registrar expedidas_ingresos'!R45),'CODIGO-LITERAL'!$C:$D,2,FALSE)),"",VLOOKUP(CONCATENATE("CLAVE OPERACION",'Registrar expedidas_ingresos'!R45),'CODIGO-LITERAL'!$C:$D,2,FALSE)))</f>
        <v/>
      </c>
      <c r="S45" s="61" t="str">
        <f>IF(R45="03","S1",
 IF(R45="08","N2",
  IF(ISERROR(VLOOKUP(CONCATENATE("CALIFICACION OPERACION",'Registrar expedidas_ingresos'!S45),'CODIGO-LITERAL'!$C:$D,2,FALSE)),"",VLOOKUP(CONCATENATE("CALIFICACION OPERACION",'Registrar expedidas_ingresos'!S45),'CODIGO-LITERAL'!$C:$D,2,FALSE))))</f>
        <v/>
      </c>
      <c r="T45" s="61" t="str">
        <f>IF(R45="03","",IF(R45="08","",IF(ISERROR(VLOOKUP(CONCATENATE("OPERACION EXENTA",'Registrar expedidas_ingresos'!T45),'CODIGO-LITERAL'!$C:$D,2,FALSE)),"",VLOOKUP(CONCATENATE("OPERACION EXENTA",'Registrar expedidas_ingresos'!T45),'CODIGO-LITERAL'!$C:$D,2,FALSE))))</f>
        <v/>
      </c>
      <c r="U45" s="60" t="str">
        <f t="shared" si="2"/>
        <v/>
      </c>
      <c r="V45" s="60" t="str">
        <f>IF('Registrar expedidas_ingresos'!V45="","",ROUND('Registrar expedidas_ingresos'!V45,2))</f>
        <v/>
      </c>
      <c r="W45" s="60" t="str">
        <f>IF(S45="S2",0,IF('Registrar expedidas_ingresos'!W45="","",'Registrar expedidas_ingresos'!W45))</f>
        <v/>
      </c>
      <c r="X45" s="60" t="str">
        <f>IF(S45="S2",0,IF('Registrar expedidas_ingresos'!X45="","",ROUND('Registrar expedidas_ingresos'!X45,2)))</f>
        <v/>
      </c>
      <c r="Y45" s="60" t="str">
        <f>IF('Registrar expedidas_ingresos'!Y45="","",'Registrar expedidas_ingresos'!Y45)</f>
        <v/>
      </c>
      <c r="Z45" s="60" t="str">
        <f>IF('Registrar expedidas_ingresos'!Z45="","",ROUND('Registrar expedidas_ingresos'!Z45,2))</f>
        <v/>
      </c>
      <c r="AA45" s="64" t="str">
        <f>IF(R45&lt;&gt;"07","",IF('Registrar expedidas_ingresos'!AA45="","",'Registrar expedidas_ingresos'!AA45))</f>
        <v/>
      </c>
      <c r="AB45" s="60" t="str">
        <f>IF(R45&lt;&gt;"07","",IF('Registrar expedidas_ingresos'!AB45="","",'Registrar expedidas_ingresos'!AB45))</f>
        <v/>
      </c>
      <c r="AC45" s="61" t="str">
        <f>IF(R45&lt;&gt;"07","",IF(ISERROR(VLOOKUP(CONCATENATE("MEDIO UTILIZADO",'Registrar expedidas_ingresos'!AC45),'CODIGO-LITERAL'!$C:$D,2,FALSE)),"",VLOOKUP(CONCATENATE("MEDIO UTILIZADO",'Registrar expedidas_ingresos'!AC45),'CODIGO-LITERAL'!$C:$D,2,FALSE)))</f>
        <v/>
      </c>
      <c r="AD45" s="60" t="str">
        <f>IF(R45&lt;&gt;"07","",IF('Registrar expedidas_ingresos'!AD45="","",'Registrar expedidas_ingresos'!AD45))</f>
        <v/>
      </c>
      <c r="AE45" s="65"/>
      <c r="AF45" s="65"/>
      <c r="AG45" s="60" t="str">
        <f>IF('Registrar expedidas_ingresos'!AG45="","",'Registrar expedidas_ingresos'!AG45)</f>
        <v/>
      </c>
      <c r="AH45" s="61" t="str">
        <f>IF(ISERROR(VLOOKUP(CONCATENATE("SITUACION",'Registrar expedidas_ingresos'!AH45),'CODIGO-LITERAL'!$C:$D,2,FALSE)),"",VLOOKUP(CONCATENATE("SITUACION",'Registrar expedidas_ingresos'!AH45),'CODIGO-LITERAL'!$C:$D,2,FALSE))</f>
        <v/>
      </c>
      <c r="AI45" s="60" t="str">
        <f>IF('Registrar expedidas_ingresos'!AI45="","",'Registrar expedidas_ingresos'!AI45)</f>
        <v/>
      </c>
      <c r="AJ45" s="60" t="str">
        <f>IF('Registrar expedidas_ingresos'!AJ45="","",'Registrar expedidas_ingresos'!AJ45)</f>
        <v/>
      </c>
    </row>
    <row r="46" spans="1:36" x14ac:dyDescent="0.25">
      <c r="A46" s="59" t="str">
        <f>IF('Registrar expedidas_ingresos'!J46="",IF('Registrar expedidas_ingresos'!I46="","",YEAR('Registrar expedidas_ingresos'!I46)),YEAR('Registrar expedidas_ingresos'!J46))</f>
        <v/>
      </c>
      <c r="B46" s="60" t="str">
        <f>IF('Registrar expedidas_ingresos'!B46="","",'Registrar expedidas_ingresos'!B46)</f>
        <v/>
      </c>
      <c r="C46" s="60" t="str">
        <f>IF('Registrar expedidas_ingresos'!C46="","",VLOOKUP(CONCATENATE("ACTIVIDAD",'Registrar expedidas_ingresos'!C46),'CODIGO-LITERAL'!C:D,2,FALSE))</f>
        <v/>
      </c>
      <c r="D46" s="60" t="str">
        <f>IF(OR(C46="C",C46="D"),"",IF(ISERROR(VLOOKUP(CONCATENATE(C46,'Registrar expedidas_ingresos'!D46),'CODIGO-LITERAL'!$C:$D,2,FALSE)),"",VLOOKUP(CONCATENATE(C46,'Registrar expedidas_ingresos'!D46),'CODIGO-LITERAL'!$C:$D,2,FALSE)))</f>
        <v/>
      </c>
      <c r="E46" s="60" t="str">
        <f>IF('Registrar expedidas_ingresos'!E46="","",'Registrar expedidas_ingresos'!E46)</f>
        <v/>
      </c>
      <c r="F46" s="61" t="str">
        <f>IF(ISERROR(VLOOKUP(CONCATENATE("TIPO FACTURA",'Registrar expedidas_ingresos'!F46),'CODIGO-LITERAL'!$C:$D,2,FALSE)),"",VLOOKUP(CONCATENATE("TIPO FACTURA",'Registrar expedidas_ingresos'!F46),'CODIGO-LITERAL'!$C:$D,2,FALSE))</f>
        <v/>
      </c>
      <c r="G46" s="62"/>
      <c r="H46" s="63"/>
      <c r="I46" s="64" t="str">
        <f>IF('Registrar expedidas_ingresos'!I46="","",'Registrar expedidas_ingresos'!I46)</f>
        <v/>
      </c>
      <c r="J46" s="64" t="str">
        <f>IF('Registrar expedidas_ingresos'!J46="","",'Registrar expedidas_ingresos'!J46)</f>
        <v/>
      </c>
      <c r="K46" s="60" t="str">
        <f>IF('Registrar expedidas_ingresos'!K46="","",'Registrar expedidas_ingresos'!K46)</f>
        <v/>
      </c>
      <c r="L46" s="60" t="str">
        <f>IF('Registrar expedidas_ingresos'!L46="","",'Registrar expedidas_ingresos'!L46)</f>
        <v/>
      </c>
      <c r="M46" s="60" t="str">
        <f>IF('Registrar expedidas_ingresos'!M46="","",'Registrar expedidas_ingresos'!M46)</f>
        <v/>
      </c>
      <c r="N46" s="61" t="str">
        <f>IF(OR(F46="F2",LEFT('Registrar expedidas_ingresos'!N46,2)="01"),"",IF(ISERROR(VLOOKUP(CONCATENATE("TIPO NIF",'Registrar expedidas_ingresos'!N46),'CODIGO-LITERAL'!$C:$D,2,FALSE)),"",VLOOKUP(CONCATENATE("TIPO NIF",'Registrar expedidas_ingresos'!N46),'CODIGO-LITERAL'!$C:$D,2,FALSE)))</f>
        <v/>
      </c>
      <c r="O46" s="60" t="str">
        <f>IF(OR('Registrar expedidas_ingresos'!O46="",N46="02",F46="F2"),"",'Registrar expedidas_ingresos'!O46)</f>
        <v/>
      </c>
      <c r="P46" s="60" t="str">
        <f>IF('Registrar expedidas_ingresos'!P46="","",'Registrar expedidas_ingresos'!P46)</f>
        <v/>
      </c>
      <c r="Q46" s="60" t="str">
        <f>IF(F46="F2","VENTAS A CONSUMIDOR FINAL",IF('Registrar expedidas_ingresos'!Q46="","",'Registrar expedidas_ingresos'!Q46))</f>
        <v/>
      </c>
      <c r="R46" s="61" t="str">
        <f>IF(F46="DV","02",IF(ISERROR(VLOOKUP(CONCATENATE("CLAVE OPERACION",'Registrar expedidas_ingresos'!R46),'CODIGO-LITERAL'!$C:$D,2,FALSE)),"",VLOOKUP(CONCATENATE("CLAVE OPERACION",'Registrar expedidas_ingresos'!R46),'CODIGO-LITERAL'!$C:$D,2,FALSE)))</f>
        <v/>
      </c>
      <c r="S46" s="61" t="str">
        <f>IF(R46="03","S1",
 IF(R46="08","N2",
  IF(ISERROR(VLOOKUP(CONCATENATE("CALIFICACION OPERACION",'Registrar expedidas_ingresos'!S46),'CODIGO-LITERAL'!$C:$D,2,FALSE)),"",VLOOKUP(CONCATENATE("CALIFICACION OPERACION",'Registrar expedidas_ingresos'!S46),'CODIGO-LITERAL'!$C:$D,2,FALSE))))</f>
        <v/>
      </c>
      <c r="T46" s="61" t="str">
        <f>IF(R46="03","",IF(R46="08","",IF(ISERROR(VLOOKUP(CONCATENATE("OPERACION EXENTA",'Registrar expedidas_ingresos'!T46),'CODIGO-LITERAL'!$C:$D,2,FALSE)),"",VLOOKUP(CONCATENATE("OPERACION EXENTA",'Registrar expedidas_ingresos'!T46),'CODIGO-LITERAL'!$C:$D,2,FALSE))))</f>
        <v/>
      </c>
      <c r="U46" s="60" t="str">
        <f t="shared" si="2"/>
        <v/>
      </c>
      <c r="V46" s="60" t="str">
        <f>IF('Registrar expedidas_ingresos'!V46="","",ROUND('Registrar expedidas_ingresos'!V46,2))</f>
        <v/>
      </c>
      <c r="W46" s="60" t="str">
        <f>IF(S46="S2",0,IF('Registrar expedidas_ingresos'!W46="","",'Registrar expedidas_ingresos'!W46))</f>
        <v/>
      </c>
      <c r="X46" s="60" t="str">
        <f>IF(S46="S2",0,IF('Registrar expedidas_ingresos'!X46="","",ROUND('Registrar expedidas_ingresos'!X46,2)))</f>
        <v/>
      </c>
      <c r="Y46" s="60" t="str">
        <f>IF('Registrar expedidas_ingresos'!Y46="","",'Registrar expedidas_ingresos'!Y46)</f>
        <v/>
      </c>
      <c r="Z46" s="60" t="str">
        <f>IF('Registrar expedidas_ingresos'!Z46="","",ROUND('Registrar expedidas_ingresos'!Z46,2))</f>
        <v/>
      </c>
      <c r="AA46" s="64" t="str">
        <f>IF(R46&lt;&gt;"07","",IF('Registrar expedidas_ingresos'!AA46="","",'Registrar expedidas_ingresos'!AA46))</f>
        <v/>
      </c>
      <c r="AB46" s="60" t="str">
        <f>IF(R46&lt;&gt;"07","",IF('Registrar expedidas_ingresos'!AB46="","",'Registrar expedidas_ingresos'!AB46))</f>
        <v/>
      </c>
      <c r="AC46" s="61" t="str">
        <f>IF(R46&lt;&gt;"07","",IF(ISERROR(VLOOKUP(CONCATENATE("MEDIO UTILIZADO",'Registrar expedidas_ingresos'!AC46),'CODIGO-LITERAL'!$C:$D,2,FALSE)),"",VLOOKUP(CONCATENATE("MEDIO UTILIZADO",'Registrar expedidas_ingresos'!AC46),'CODIGO-LITERAL'!$C:$D,2,FALSE)))</f>
        <v/>
      </c>
      <c r="AD46" s="60" t="str">
        <f>IF(R46&lt;&gt;"07","",IF('Registrar expedidas_ingresos'!AD46="","",'Registrar expedidas_ingresos'!AD46))</f>
        <v/>
      </c>
      <c r="AE46" s="65"/>
      <c r="AF46" s="65"/>
      <c r="AG46" s="60" t="str">
        <f>IF('Registrar expedidas_ingresos'!AG46="","",'Registrar expedidas_ingresos'!AG46)</f>
        <v/>
      </c>
      <c r="AH46" s="61" t="str">
        <f>IF(ISERROR(VLOOKUP(CONCATENATE("SITUACION",'Registrar expedidas_ingresos'!AH46),'CODIGO-LITERAL'!$C:$D,2,FALSE)),"",VLOOKUP(CONCATENATE("SITUACION",'Registrar expedidas_ingresos'!AH46),'CODIGO-LITERAL'!$C:$D,2,FALSE))</f>
        <v/>
      </c>
      <c r="AI46" s="60" t="str">
        <f>IF('Registrar expedidas_ingresos'!AI46="","",'Registrar expedidas_ingresos'!AI46)</f>
        <v/>
      </c>
      <c r="AJ46" s="60" t="str">
        <f>IF('Registrar expedidas_ingresos'!AJ46="","",'Registrar expedidas_ingresos'!AJ46)</f>
        <v/>
      </c>
    </row>
    <row r="47" spans="1:36" x14ac:dyDescent="0.25">
      <c r="A47" s="59" t="str">
        <f>IF('Registrar expedidas_ingresos'!J47="",IF('Registrar expedidas_ingresos'!I47="","",YEAR('Registrar expedidas_ingresos'!I47)),YEAR('Registrar expedidas_ingresos'!J47))</f>
        <v/>
      </c>
      <c r="B47" s="60" t="str">
        <f>IF('Registrar expedidas_ingresos'!B47="","",'Registrar expedidas_ingresos'!B47)</f>
        <v/>
      </c>
      <c r="C47" s="60" t="str">
        <f>IF('Registrar expedidas_ingresos'!C47="","",VLOOKUP(CONCATENATE("ACTIVIDAD",'Registrar expedidas_ingresos'!C47),'CODIGO-LITERAL'!C:D,2,FALSE))</f>
        <v/>
      </c>
      <c r="D47" s="60" t="str">
        <f>IF(OR(C47="C",C47="D"),"",IF(ISERROR(VLOOKUP(CONCATENATE(C47,'Registrar expedidas_ingresos'!D47),'CODIGO-LITERAL'!$C:$D,2,FALSE)),"",VLOOKUP(CONCATENATE(C47,'Registrar expedidas_ingresos'!D47),'CODIGO-LITERAL'!$C:$D,2,FALSE)))</f>
        <v/>
      </c>
      <c r="E47" s="60" t="str">
        <f>IF('Registrar expedidas_ingresos'!E47="","",'Registrar expedidas_ingresos'!E47)</f>
        <v/>
      </c>
      <c r="F47" s="61" t="str">
        <f>IF(ISERROR(VLOOKUP(CONCATENATE("TIPO FACTURA",'Registrar expedidas_ingresos'!F47),'CODIGO-LITERAL'!$C:$D,2,FALSE)),"",VLOOKUP(CONCATENATE("TIPO FACTURA",'Registrar expedidas_ingresos'!F47),'CODIGO-LITERAL'!$C:$D,2,FALSE))</f>
        <v/>
      </c>
      <c r="G47" s="62"/>
      <c r="H47" s="63"/>
      <c r="I47" s="64" t="str">
        <f>IF('Registrar expedidas_ingresos'!I47="","",'Registrar expedidas_ingresos'!I47)</f>
        <v/>
      </c>
      <c r="J47" s="64" t="str">
        <f>IF('Registrar expedidas_ingresos'!J47="","",'Registrar expedidas_ingresos'!J47)</f>
        <v/>
      </c>
      <c r="K47" s="60" t="str">
        <f>IF('Registrar expedidas_ingresos'!K47="","",'Registrar expedidas_ingresos'!K47)</f>
        <v/>
      </c>
      <c r="L47" s="60" t="str">
        <f>IF('Registrar expedidas_ingresos'!L47="","",'Registrar expedidas_ingresos'!L47)</f>
        <v/>
      </c>
      <c r="M47" s="60" t="str">
        <f>IF('Registrar expedidas_ingresos'!M47="","",'Registrar expedidas_ingresos'!M47)</f>
        <v/>
      </c>
      <c r="N47" s="61" t="str">
        <f>IF(OR(F47="F2",LEFT('Registrar expedidas_ingresos'!N47,2)="01"),"",IF(ISERROR(VLOOKUP(CONCATENATE("TIPO NIF",'Registrar expedidas_ingresos'!N47),'CODIGO-LITERAL'!$C:$D,2,FALSE)),"",VLOOKUP(CONCATENATE("TIPO NIF",'Registrar expedidas_ingresos'!N47),'CODIGO-LITERAL'!$C:$D,2,FALSE)))</f>
        <v/>
      </c>
      <c r="O47" s="60" t="str">
        <f>IF(OR('Registrar expedidas_ingresos'!O47="",N47="02",F47="F2"),"",'Registrar expedidas_ingresos'!O47)</f>
        <v/>
      </c>
      <c r="P47" s="60" t="str">
        <f>IF('Registrar expedidas_ingresos'!P47="","",'Registrar expedidas_ingresos'!P47)</f>
        <v/>
      </c>
      <c r="Q47" s="60" t="str">
        <f>IF(F47="F2","VENTAS A CONSUMIDOR FINAL",IF('Registrar expedidas_ingresos'!Q47="","",'Registrar expedidas_ingresos'!Q47))</f>
        <v/>
      </c>
      <c r="R47" s="61" t="str">
        <f>IF(F47="DV","02",IF(ISERROR(VLOOKUP(CONCATENATE("CLAVE OPERACION",'Registrar expedidas_ingresos'!R47),'CODIGO-LITERAL'!$C:$D,2,FALSE)),"",VLOOKUP(CONCATENATE("CLAVE OPERACION",'Registrar expedidas_ingresos'!R47),'CODIGO-LITERAL'!$C:$D,2,FALSE)))</f>
        <v/>
      </c>
      <c r="S47" s="61" t="str">
        <f>IF(R47="03","S1",
 IF(R47="08","N2",
  IF(ISERROR(VLOOKUP(CONCATENATE("CALIFICACION OPERACION",'Registrar expedidas_ingresos'!S47),'CODIGO-LITERAL'!$C:$D,2,FALSE)),"",VLOOKUP(CONCATENATE("CALIFICACION OPERACION",'Registrar expedidas_ingresos'!S47),'CODIGO-LITERAL'!$C:$D,2,FALSE))))</f>
        <v/>
      </c>
      <c r="T47" s="61" t="str">
        <f>IF(R47="03","",IF(R47="08","",IF(ISERROR(VLOOKUP(CONCATENATE("OPERACION EXENTA",'Registrar expedidas_ingresos'!T47),'CODIGO-LITERAL'!$C:$D,2,FALSE)),"",VLOOKUP(CONCATENATE("OPERACION EXENTA",'Registrar expedidas_ingresos'!T47),'CODIGO-LITERAL'!$C:$D,2,FALSE))))</f>
        <v/>
      </c>
      <c r="U47" s="60" t="str">
        <f t="shared" si="2"/>
        <v/>
      </c>
      <c r="V47" s="60" t="str">
        <f>IF('Registrar expedidas_ingresos'!V47="","",ROUND('Registrar expedidas_ingresos'!V47,2))</f>
        <v/>
      </c>
      <c r="W47" s="60" t="str">
        <f>IF(S47="S2",0,IF('Registrar expedidas_ingresos'!W47="","",'Registrar expedidas_ingresos'!W47))</f>
        <v/>
      </c>
      <c r="X47" s="60" t="str">
        <f>IF(S47="S2",0,IF('Registrar expedidas_ingresos'!X47="","",ROUND('Registrar expedidas_ingresos'!X47,2)))</f>
        <v/>
      </c>
      <c r="Y47" s="60" t="str">
        <f>IF('Registrar expedidas_ingresos'!Y47="","",'Registrar expedidas_ingresos'!Y47)</f>
        <v/>
      </c>
      <c r="Z47" s="60" t="str">
        <f>IF('Registrar expedidas_ingresos'!Z47="","",ROUND('Registrar expedidas_ingresos'!Z47,2))</f>
        <v/>
      </c>
      <c r="AA47" s="64" t="str">
        <f>IF(R47&lt;&gt;"07","",IF('Registrar expedidas_ingresos'!AA47="","",'Registrar expedidas_ingresos'!AA47))</f>
        <v/>
      </c>
      <c r="AB47" s="60" t="str">
        <f>IF(R47&lt;&gt;"07","",IF('Registrar expedidas_ingresos'!AB47="","",'Registrar expedidas_ingresos'!AB47))</f>
        <v/>
      </c>
      <c r="AC47" s="61" t="str">
        <f>IF(R47&lt;&gt;"07","",IF(ISERROR(VLOOKUP(CONCATENATE("MEDIO UTILIZADO",'Registrar expedidas_ingresos'!AC47),'CODIGO-LITERAL'!$C:$D,2,FALSE)),"",VLOOKUP(CONCATENATE("MEDIO UTILIZADO",'Registrar expedidas_ingresos'!AC47),'CODIGO-LITERAL'!$C:$D,2,FALSE)))</f>
        <v/>
      </c>
      <c r="AD47" s="60" t="str">
        <f>IF(R47&lt;&gt;"07","",IF('Registrar expedidas_ingresos'!AD47="","",'Registrar expedidas_ingresos'!AD47))</f>
        <v/>
      </c>
      <c r="AE47" s="65"/>
      <c r="AF47" s="65"/>
      <c r="AG47" s="60" t="str">
        <f>IF('Registrar expedidas_ingresos'!AG47="","",'Registrar expedidas_ingresos'!AG47)</f>
        <v/>
      </c>
      <c r="AH47" s="61" t="str">
        <f>IF(ISERROR(VLOOKUP(CONCATENATE("SITUACION",'Registrar expedidas_ingresos'!AH47),'CODIGO-LITERAL'!$C:$D,2,FALSE)),"",VLOOKUP(CONCATENATE("SITUACION",'Registrar expedidas_ingresos'!AH47),'CODIGO-LITERAL'!$C:$D,2,FALSE))</f>
        <v/>
      </c>
      <c r="AI47" s="60" t="str">
        <f>IF('Registrar expedidas_ingresos'!AI47="","",'Registrar expedidas_ingresos'!AI47)</f>
        <v/>
      </c>
      <c r="AJ47" s="60" t="str">
        <f>IF('Registrar expedidas_ingresos'!AJ47="","",'Registrar expedidas_ingresos'!AJ47)</f>
        <v/>
      </c>
    </row>
    <row r="48" spans="1:36" x14ac:dyDescent="0.25">
      <c r="A48" s="59" t="str">
        <f>IF('Registrar expedidas_ingresos'!J48="",IF('Registrar expedidas_ingresos'!I48="","",YEAR('Registrar expedidas_ingresos'!I48)),YEAR('Registrar expedidas_ingresos'!J48))</f>
        <v/>
      </c>
      <c r="B48" s="60" t="str">
        <f>IF('Registrar expedidas_ingresos'!B48="","",'Registrar expedidas_ingresos'!B48)</f>
        <v/>
      </c>
      <c r="C48" s="60" t="str">
        <f>IF('Registrar expedidas_ingresos'!C48="","",VLOOKUP(CONCATENATE("ACTIVIDAD",'Registrar expedidas_ingresos'!C48),'CODIGO-LITERAL'!C:D,2,FALSE))</f>
        <v/>
      </c>
      <c r="D48" s="60" t="str">
        <f>IF(OR(C48="C",C48="D"),"",IF(ISERROR(VLOOKUP(CONCATENATE(C48,'Registrar expedidas_ingresos'!D48),'CODIGO-LITERAL'!$C:$D,2,FALSE)),"",VLOOKUP(CONCATENATE(C48,'Registrar expedidas_ingresos'!D48),'CODIGO-LITERAL'!$C:$D,2,FALSE)))</f>
        <v/>
      </c>
      <c r="E48" s="60" t="str">
        <f>IF('Registrar expedidas_ingresos'!E48="","",'Registrar expedidas_ingresos'!E48)</f>
        <v/>
      </c>
      <c r="F48" s="61" t="str">
        <f>IF(ISERROR(VLOOKUP(CONCATENATE("TIPO FACTURA",'Registrar expedidas_ingresos'!F48),'CODIGO-LITERAL'!$C:$D,2,FALSE)),"",VLOOKUP(CONCATENATE("TIPO FACTURA",'Registrar expedidas_ingresos'!F48),'CODIGO-LITERAL'!$C:$D,2,FALSE))</f>
        <v/>
      </c>
      <c r="G48" s="62"/>
      <c r="H48" s="63"/>
      <c r="I48" s="64" t="str">
        <f>IF('Registrar expedidas_ingresos'!I48="","",'Registrar expedidas_ingresos'!I48)</f>
        <v/>
      </c>
      <c r="J48" s="64" t="str">
        <f>IF('Registrar expedidas_ingresos'!J48="","",'Registrar expedidas_ingresos'!J48)</f>
        <v/>
      </c>
      <c r="K48" s="60" t="str">
        <f>IF('Registrar expedidas_ingresos'!K48="","",'Registrar expedidas_ingresos'!K48)</f>
        <v/>
      </c>
      <c r="L48" s="60" t="str">
        <f>IF('Registrar expedidas_ingresos'!L48="","",'Registrar expedidas_ingresos'!L48)</f>
        <v/>
      </c>
      <c r="M48" s="60" t="str">
        <f>IF('Registrar expedidas_ingresos'!M48="","",'Registrar expedidas_ingresos'!M48)</f>
        <v/>
      </c>
      <c r="N48" s="61" t="str">
        <f>IF(OR(F48="F2",LEFT('Registrar expedidas_ingresos'!N48,2)="01"),"",IF(ISERROR(VLOOKUP(CONCATENATE("TIPO NIF",'Registrar expedidas_ingresos'!N48),'CODIGO-LITERAL'!$C:$D,2,FALSE)),"",VLOOKUP(CONCATENATE("TIPO NIF",'Registrar expedidas_ingresos'!N48),'CODIGO-LITERAL'!$C:$D,2,FALSE)))</f>
        <v/>
      </c>
      <c r="O48" s="60" t="str">
        <f>IF(OR('Registrar expedidas_ingresos'!O48="",N48="02",F48="F2"),"",'Registrar expedidas_ingresos'!O48)</f>
        <v/>
      </c>
      <c r="P48" s="60" t="str">
        <f>IF('Registrar expedidas_ingresos'!P48="","",'Registrar expedidas_ingresos'!P48)</f>
        <v/>
      </c>
      <c r="Q48" s="60" t="str">
        <f>IF(F48="F2","VENTAS A CONSUMIDOR FINAL",IF('Registrar expedidas_ingresos'!Q48="","",'Registrar expedidas_ingresos'!Q48))</f>
        <v/>
      </c>
      <c r="R48" s="61" t="str">
        <f>IF(F48="DV","02",IF(ISERROR(VLOOKUP(CONCATENATE("CLAVE OPERACION",'Registrar expedidas_ingresos'!R48),'CODIGO-LITERAL'!$C:$D,2,FALSE)),"",VLOOKUP(CONCATENATE("CLAVE OPERACION",'Registrar expedidas_ingresos'!R48),'CODIGO-LITERAL'!$C:$D,2,FALSE)))</f>
        <v/>
      </c>
      <c r="S48" s="61" t="str">
        <f>IF(R48="03","S1",
 IF(R48="08","N2",
  IF(ISERROR(VLOOKUP(CONCATENATE("CALIFICACION OPERACION",'Registrar expedidas_ingresos'!S48),'CODIGO-LITERAL'!$C:$D,2,FALSE)),"",VLOOKUP(CONCATENATE("CALIFICACION OPERACION",'Registrar expedidas_ingresos'!S48),'CODIGO-LITERAL'!$C:$D,2,FALSE))))</f>
        <v/>
      </c>
      <c r="T48" s="61" t="str">
        <f>IF(R48="03","",IF(R48="08","",IF(ISERROR(VLOOKUP(CONCATENATE("OPERACION EXENTA",'Registrar expedidas_ingresos'!T48),'CODIGO-LITERAL'!$C:$D,2,FALSE)),"",VLOOKUP(CONCATENATE("OPERACION EXENTA",'Registrar expedidas_ingresos'!T48),'CODIGO-LITERAL'!$C:$D,2,FALSE))))</f>
        <v/>
      </c>
      <c r="U48" s="60" t="str">
        <f t="shared" si="2"/>
        <v/>
      </c>
      <c r="V48" s="60" t="str">
        <f>IF('Registrar expedidas_ingresos'!V48="","",ROUND('Registrar expedidas_ingresos'!V48,2))</f>
        <v/>
      </c>
      <c r="W48" s="60" t="str">
        <f>IF(S48="S2",0,IF('Registrar expedidas_ingresos'!W48="","",'Registrar expedidas_ingresos'!W48))</f>
        <v/>
      </c>
      <c r="X48" s="60" t="str">
        <f>IF(S48="S2",0,IF('Registrar expedidas_ingresos'!X48="","",ROUND('Registrar expedidas_ingresos'!X48,2)))</f>
        <v/>
      </c>
      <c r="Y48" s="60" t="str">
        <f>IF('Registrar expedidas_ingresos'!Y48="","",'Registrar expedidas_ingresos'!Y48)</f>
        <v/>
      </c>
      <c r="Z48" s="60" t="str">
        <f>IF('Registrar expedidas_ingresos'!Z48="","",ROUND('Registrar expedidas_ingresos'!Z48,2))</f>
        <v/>
      </c>
      <c r="AA48" s="64" t="str">
        <f>IF(R48&lt;&gt;"07","",IF('Registrar expedidas_ingresos'!AA48="","",'Registrar expedidas_ingresos'!AA48))</f>
        <v/>
      </c>
      <c r="AB48" s="60" t="str">
        <f>IF(R48&lt;&gt;"07","",IF('Registrar expedidas_ingresos'!AB48="","",'Registrar expedidas_ingresos'!AB48))</f>
        <v/>
      </c>
      <c r="AC48" s="61" t="str">
        <f>IF(R48&lt;&gt;"07","",IF(ISERROR(VLOOKUP(CONCATENATE("MEDIO UTILIZADO",'Registrar expedidas_ingresos'!AC48),'CODIGO-LITERAL'!$C:$D,2,FALSE)),"",VLOOKUP(CONCATENATE("MEDIO UTILIZADO",'Registrar expedidas_ingresos'!AC48),'CODIGO-LITERAL'!$C:$D,2,FALSE)))</f>
        <v/>
      </c>
      <c r="AD48" s="60" t="str">
        <f>IF(R48&lt;&gt;"07","",IF('Registrar expedidas_ingresos'!AD48="","",'Registrar expedidas_ingresos'!AD48))</f>
        <v/>
      </c>
      <c r="AE48" s="65"/>
      <c r="AF48" s="65"/>
      <c r="AG48" s="60" t="str">
        <f>IF('Registrar expedidas_ingresos'!AG48="","",'Registrar expedidas_ingresos'!AG48)</f>
        <v/>
      </c>
      <c r="AH48" s="61" t="str">
        <f>IF(ISERROR(VLOOKUP(CONCATENATE("SITUACION",'Registrar expedidas_ingresos'!AH48),'CODIGO-LITERAL'!$C:$D,2,FALSE)),"",VLOOKUP(CONCATENATE("SITUACION",'Registrar expedidas_ingresos'!AH48),'CODIGO-LITERAL'!$C:$D,2,FALSE))</f>
        <v/>
      </c>
      <c r="AI48" s="60" t="str">
        <f>IF('Registrar expedidas_ingresos'!AI48="","",'Registrar expedidas_ingresos'!AI48)</f>
        <v/>
      </c>
      <c r="AJ48" s="60" t="str">
        <f>IF('Registrar expedidas_ingresos'!AJ48="","",'Registrar expedidas_ingresos'!AJ48)</f>
        <v/>
      </c>
    </row>
    <row r="49" spans="1:36" x14ac:dyDescent="0.25">
      <c r="A49" s="59" t="str">
        <f>IF('Registrar expedidas_ingresos'!J49="",IF('Registrar expedidas_ingresos'!I49="","",YEAR('Registrar expedidas_ingresos'!I49)),YEAR('Registrar expedidas_ingresos'!J49))</f>
        <v/>
      </c>
      <c r="B49" s="60" t="str">
        <f>IF('Registrar expedidas_ingresos'!B49="","",'Registrar expedidas_ingresos'!B49)</f>
        <v/>
      </c>
      <c r="C49" s="60" t="str">
        <f>IF('Registrar expedidas_ingresos'!C49="","",VLOOKUP(CONCATENATE("ACTIVIDAD",'Registrar expedidas_ingresos'!C49),'CODIGO-LITERAL'!C:D,2,FALSE))</f>
        <v/>
      </c>
      <c r="D49" s="60" t="str">
        <f>IF(OR(C49="C",C49="D"),"",IF(ISERROR(VLOOKUP(CONCATENATE(C49,'Registrar expedidas_ingresos'!D49),'CODIGO-LITERAL'!$C:$D,2,FALSE)),"",VLOOKUP(CONCATENATE(C49,'Registrar expedidas_ingresos'!D49),'CODIGO-LITERAL'!$C:$D,2,FALSE)))</f>
        <v/>
      </c>
      <c r="E49" s="60" t="str">
        <f>IF('Registrar expedidas_ingresos'!E49="","",'Registrar expedidas_ingresos'!E49)</f>
        <v/>
      </c>
      <c r="F49" s="61" t="str">
        <f>IF(ISERROR(VLOOKUP(CONCATENATE("TIPO FACTURA",'Registrar expedidas_ingresos'!F49),'CODIGO-LITERAL'!$C:$D,2,FALSE)),"",VLOOKUP(CONCATENATE("TIPO FACTURA",'Registrar expedidas_ingresos'!F49),'CODIGO-LITERAL'!$C:$D,2,FALSE))</f>
        <v/>
      </c>
      <c r="G49" s="62"/>
      <c r="H49" s="63"/>
      <c r="I49" s="64" t="str">
        <f>IF('Registrar expedidas_ingresos'!I49="","",'Registrar expedidas_ingresos'!I49)</f>
        <v/>
      </c>
      <c r="J49" s="64" t="str">
        <f>IF('Registrar expedidas_ingresos'!J49="","",'Registrar expedidas_ingresos'!J49)</f>
        <v/>
      </c>
      <c r="K49" s="60" t="str">
        <f>IF('Registrar expedidas_ingresos'!K49="","",'Registrar expedidas_ingresos'!K49)</f>
        <v/>
      </c>
      <c r="L49" s="60" t="str">
        <f>IF('Registrar expedidas_ingresos'!L49="","",'Registrar expedidas_ingresos'!L49)</f>
        <v/>
      </c>
      <c r="M49" s="60" t="str">
        <f>IF('Registrar expedidas_ingresos'!M49="","",'Registrar expedidas_ingresos'!M49)</f>
        <v/>
      </c>
      <c r="N49" s="61" t="str">
        <f>IF(OR(F49="F2",LEFT('Registrar expedidas_ingresos'!N49,2)="01"),"",IF(ISERROR(VLOOKUP(CONCATENATE("TIPO NIF",'Registrar expedidas_ingresos'!N49),'CODIGO-LITERAL'!$C:$D,2,FALSE)),"",VLOOKUP(CONCATENATE("TIPO NIF",'Registrar expedidas_ingresos'!N49),'CODIGO-LITERAL'!$C:$D,2,FALSE)))</f>
        <v/>
      </c>
      <c r="O49" s="60" t="str">
        <f>IF(OR('Registrar expedidas_ingresos'!O49="",N49="02",F49="F2"),"",'Registrar expedidas_ingresos'!O49)</f>
        <v/>
      </c>
      <c r="P49" s="60" t="str">
        <f>IF('Registrar expedidas_ingresos'!P49="","",'Registrar expedidas_ingresos'!P49)</f>
        <v/>
      </c>
      <c r="Q49" s="60" t="str">
        <f>IF(F49="F2","VENTAS A CONSUMIDOR FINAL",IF('Registrar expedidas_ingresos'!Q49="","",'Registrar expedidas_ingresos'!Q49))</f>
        <v/>
      </c>
      <c r="R49" s="61" t="str">
        <f>IF(F49="DV","02",IF(ISERROR(VLOOKUP(CONCATENATE("CLAVE OPERACION",'Registrar expedidas_ingresos'!R49),'CODIGO-LITERAL'!$C:$D,2,FALSE)),"",VLOOKUP(CONCATENATE("CLAVE OPERACION",'Registrar expedidas_ingresos'!R49),'CODIGO-LITERAL'!$C:$D,2,FALSE)))</f>
        <v/>
      </c>
      <c r="S49" s="61" t="str">
        <f>IF(R49="03","S1",
 IF(R49="08","N2",
  IF(ISERROR(VLOOKUP(CONCATENATE("CALIFICACION OPERACION",'Registrar expedidas_ingresos'!S49),'CODIGO-LITERAL'!$C:$D,2,FALSE)),"",VLOOKUP(CONCATENATE("CALIFICACION OPERACION",'Registrar expedidas_ingresos'!S49),'CODIGO-LITERAL'!$C:$D,2,FALSE))))</f>
        <v/>
      </c>
      <c r="T49" s="61" t="str">
        <f>IF(R49="03","",IF(R49="08","",IF(ISERROR(VLOOKUP(CONCATENATE("OPERACION EXENTA",'Registrar expedidas_ingresos'!T49),'CODIGO-LITERAL'!$C:$D,2,FALSE)),"",VLOOKUP(CONCATENATE("OPERACION EXENTA",'Registrar expedidas_ingresos'!T49),'CODIGO-LITERAL'!$C:$D,2,FALSE))))</f>
        <v/>
      </c>
      <c r="U49" s="60" t="str">
        <f t="shared" si="2"/>
        <v/>
      </c>
      <c r="V49" s="60" t="str">
        <f>IF('Registrar expedidas_ingresos'!V49="","",ROUND('Registrar expedidas_ingresos'!V49,2))</f>
        <v/>
      </c>
      <c r="W49" s="60" t="str">
        <f>IF(S49="S2",0,IF('Registrar expedidas_ingresos'!W49="","",'Registrar expedidas_ingresos'!W49))</f>
        <v/>
      </c>
      <c r="X49" s="60" t="str">
        <f>IF(S49="S2",0,IF('Registrar expedidas_ingresos'!X49="","",ROUND('Registrar expedidas_ingresos'!X49,2)))</f>
        <v/>
      </c>
      <c r="Y49" s="60" t="str">
        <f>IF('Registrar expedidas_ingresos'!Y49="","",'Registrar expedidas_ingresos'!Y49)</f>
        <v/>
      </c>
      <c r="Z49" s="60" t="str">
        <f>IF('Registrar expedidas_ingresos'!Z49="","",ROUND('Registrar expedidas_ingresos'!Z49,2))</f>
        <v/>
      </c>
      <c r="AA49" s="64" t="str">
        <f>IF(R49&lt;&gt;"07","",IF('Registrar expedidas_ingresos'!AA49="","",'Registrar expedidas_ingresos'!AA49))</f>
        <v/>
      </c>
      <c r="AB49" s="60" t="str">
        <f>IF(R49&lt;&gt;"07","",IF('Registrar expedidas_ingresos'!AB49="","",'Registrar expedidas_ingresos'!AB49))</f>
        <v/>
      </c>
      <c r="AC49" s="61" t="str">
        <f>IF(R49&lt;&gt;"07","",IF(ISERROR(VLOOKUP(CONCATENATE("MEDIO UTILIZADO",'Registrar expedidas_ingresos'!AC49),'CODIGO-LITERAL'!$C:$D,2,FALSE)),"",VLOOKUP(CONCATENATE("MEDIO UTILIZADO",'Registrar expedidas_ingresos'!AC49),'CODIGO-LITERAL'!$C:$D,2,FALSE)))</f>
        <v/>
      </c>
      <c r="AD49" s="60" t="str">
        <f>IF(R49&lt;&gt;"07","",IF('Registrar expedidas_ingresos'!AD49="","",'Registrar expedidas_ingresos'!AD49))</f>
        <v/>
      </c>
      <c r="AE49" s="65"/>
      <c r="AF49" s="65"/>
      <c r="AG49" s="60" t="str">
        <f>IF('Registrar expedidas_ingresos'!AG49="","",'Registrar expedidas_ingresos'!AG49)</f>
        <v/>
      </c>
      <c r="AH49" s="61" t="str">
        <f>IF(ISERROR(VLOOKUP(CONCATENATE("SITUACION",'Registrar expedidas_ingresos'!AH49),'CODIGO-LITERAL'!$C:$D,2,FALSE)),"",VLOOKUP(CONCATENATE("SITUACION",'Registrar expedidas_ingresos'!AH49),'CODIGO-LITERAL'!$C:$D,2,FALSE))</f>
        <v/>
      </c>
      <c r="AI49" s="60" t="str">
        <f>IF('Registrar expedidas_ingresos'!AI49="","",'Registrar expedidas_ingresos'!AI49)</f>
        <v/>
      </c>
      <c r="AJ49" s="60" t="str">
        <f>IF('Registrar expedidas_ingresos'!AJ49="","",'Registrar expedidas_ingresos'!AJ49)</f>
        <v/>
      </c>
    </row>
    <row r="50" spans="1:36" x14ac:dyDescent="0.25">
      <c r="A50" s="59" t="str">
        <f>IF('Registrar expedidas_ingresos'!J50="",IF('Registrar expedidas_ingresos'!I50="","",YEAR('Registrar expedidas_ingresos'!I50)),YEAR('Registrar expedidas_ingresos'!J50))</f>
        <v/>
      </c>
      <c r="B50" s="60" t="str">
        <f>IF('Registrar expedidas_ingresos'!B50="","",'Registrar expedidas_ingresos'!B50)</f>
        <v/>
      </c>
      <c r="C50" s="60" t="str">
        <f>IF('Registrar expedidas_ingresos'!C50="","",VLOOKUP(CONCATENATE("ACTIVIDAD",'Registrar expedidas_ingresos'!C50),'CODIGO-LITERAL'!C:D,2,FALSE))</f>
        <v/>
      </c>
      <c r="D50" s="60" t="str">
        <f>IF(OR(C50="C",C50="D"),"",IF(ISERROR(VLOOKUP(CONCATENATE(C50,'Registrar expedidas_ingresos'!D50),'CODIGO-LITERAL'!$C:$D,2,FALSE)),"",VLOOKUP(CONCATENATE(C50,'Registrar expedidas_ingresos'!D50),'CODIGO-LITERAL'!$C:$D,2,FALSE)))</f>
        <v/>
      </c>
      <c r="E50" s="60" t="str">
        <f>IF('Registrar expedidas_ingresos'!E50="","",'Registrar expedidas_ingresos'!E50)</f>
        <v/>
      </c>
      <c r="F50" s="61" t="str">
        <f>IF(ISERROR(VLOOKUP(CONCATENATE("TIPO FACTURA",'Registrar expedidas_ingresos'!F50),'CODIGO-LITERAL'!$C:$D,2,FALSE)),"",VLOOKUP(CONCATENATE("TIPO FACTURA",'Registrar expedidas_ingresos'!F50),'CODIGO-LITERAL'!$C:$D,2,FALSE))</f>
        <v/>
      </c>
      <c r="G50" s="62"/>
      <c r="H50" s="63"/>
      <c r="I50" s="64" t="str">
        <f>IF('Registrar expedidas_ingresos'!I50="","",'Registrar expedidas_ingresos'!I50)</f>
        <v/>
      </c>
      <c r="J50" s="64" t="str">
        <f>IF('Registrar expedidas_ingresos'!J50="","",'Registrar expedidas_ingresos'!J50)</f>
        <v/>
      </c>
      <c r="K50" s="60" t="str">
        <f>IF('Registrar expedidas_ingresos'!K50="","",'Registrar expedidas_ingresos'!K50)</f>
        <v/>
      </c>
      <c r="L50" s="60" t="str">
        <f>IF('Registrar expedidas_ingresos'!L50="","",'Registrar expedidas_ingresos'!L50)</f>
        <v/>
      </c>
      <c r="M50" s="60" t="str">
        <f>IF('Registrar expedidas_ingresos'!M50="","",'Registrar expedidas_ingresos'!M50)</f>
        <v/>
      </c>
      <c r="N50" s="61" t="str">
        <f>IF(OR(F50="F2",LEFT('Registrar expedidas_ingresos'!N50,2)="01"),"",IF(ISERROR(VLOOKUP(CONCATENATE("TIPO NIF",'Registrar expedidas_ingresos'!N50),'CODIGO-LITERAL'!$C:$D,2,FALSE)),"",VLOOKUP(CONCATENATE("TIPO NIF",'Registrar expedidas_ingresos'!N50),'CODIGO-LITERAL'!$C:$D,2,FALSE)))</f>
        <v/>
      </c>
      <c r="O50" s="60" t="str">
        <f>IF(OR('Registrar expedidas_ingresos'!O50="",N50="02",F50="F2"),"",'Registrar expedidas_ingresos'!O50)</f>
        <v/>
      </c>
      <c r="P50" s="60" t="str">
        <f>IF('Registrar expedidas_ingresos'!P50="","",'Registrar expedidas_ingresos'!P50)</f>
        <v/>
      </c>
      <c r="Q50" s="60" t="str">
        <f>IF(F50="F2","VENTAS A CONSUMIDOR FINAL",IF('Registrar expedidas_ingresos'!Q50="","",'Registrar expedidas_ingresos'!Q50))</f>
        <v/>
      </c>
      <c r="R50" s="61" t="str">
        <f>IF(F50="DV","02",IF(ISERROR(VLOOKUP(CONCATENATE("CLAVE OPERACION",'Registrar expedidas_ingresos'!R50),'CODIGO-LITERAL'!$C:$D,2,FALSE)),"",VLOOKUP(CONCATENATE("CLAVE OPERACION",'Registrar expedidas_ingresos'!R50),'CODIGO-LITERAL'!$C:$D,2,FALSE)))</f>
        <v/>
      </c>
      <c r="S50" s="61" t="str">
        <f>IF(R50="03","S1",
 IF(R50="08","N2",
  IF(ISERROR(VLOOKUP(CONCATENATE("CALIFICACION OPERACION",'Registrar expedidas_ingresos'!S50),'CODIGO-LITERAL'!$C:$D,2,FALSE)),"",VLOOKUP(CONCATENATE("CALIFICACION OPERACION",'Registrar expedidas_ingresos'!S50),'CODIGO-LITERAL'!$C:$D,2,FALSE))))</f>
        <v/>
      </c>
      <c r="T50" s="61" t="str">
        <f>IF(R50="03","",IF(R50="08","",IF(ISERROR(VLOOKUP(CONCATENATE("OPERACION EXENTA",'Registrar expedidas_ingresos'!T50),'CODIGO-LITERAL'!$C:$D,2,FALSE)),"",VLOOKUP(CONCATENATE("OPERACION EXENTA",'Registrar expedidas_ingresos'!T50),'CODIGO-LITERAL'!$C:$D,2,FALSE))))</f>
        <v/>
      </c>
      <c r="U50" s="60" t="str">
        <f t="shared" si="2"/>
        <v/>
      </c>
      <c r="V50" s="60" t="str">
        <f>IF('Registrar expedidas_ingresos'!V50="","",ROUND('Registrar expedidas_ingresos'!V50,2))</f>
        <v/>
      </c>
      <c r="W50" s="60" t="str">
        <f>IF(S50="S2",0,IF('Registrar expedidas_ingresos'!W50="","",'Registrar expedidas_ingresos'!W50))</f>
        <v/>
      </c>
      <c r="X50" s="60" t="str">
        <f>IF(S50="S2",0,IF('Registrar expedidas_ingresos'!X50="","",ROUND('Registrar expedidas_ingresos'!X50,2)))</f>
        <v/>
      </c>
      <c r="Y50" s="60" t="str">
        <f>IF('Registrar expedidas_ingresos'!Y50="","",'Registrar expedidas_ingresos'!Y50)</f>
        <v/>
      </c>
      <c r="Z50" s="60" t="str">
        <f>IF('Registrar expedidas_ingresos'!Z50="","",ROUND('Registrar expedidas_ingresos'!Z50,2))</f>
        <v/>
      </c>
      <c r="AA50" s="64" t="str">
        <f>IF(R50&lt;&gt;"07","",IF('Registrar expedidas_ingresos'!AA50="","",'Registrar expedidas_ingresos'!AA50))</f>
        <v/>
      </c>
      <c r="AB50" s="60" t="str">
        <f>IF(R50&lt;&gt;"07","",IF('Registrar expedidas_ingresos'!AB50="","",'Registrar expedidas_ingresos'!AB50))</f>
        <v/>
      </c>
      <c r="AC50" s="61" t="str">
        <f>IF(R50&lt;&gt;"07","",IF(ISERROR(VLOOKUP(CONCATENATE("MEDIO UTILIZADO",'Registrar expedidas_ingresos'!AC50),'CODIGO-LITERAL'!$C:$D,2,FALSE)),"",VLOOKUP(CONCATENATE("MEDIO UTILIZADO",'Registrar expedidas_ingresos'!AC50),'CODIGO-LITERAL'!$C:$D,2,FALSE)))</f>
        <v/>
      </c>
      <c r="AD50" s="60" t="str">
        <f>IF(R50&lt;&gt;"07","",IF('Registrar expedidas_ingresos'!AD50="","",'Registrar expedidas_ingresos'!AD50))</f>
        <v/>
      </c>
      <c r="AE50" s="65"/>
      <c r="AF50" s="65"/>
      <c r="AG50" s="60" t="str">
        <f>IF('Registrar expedidas_ingresos'!AG50="","",'Registrar expedidas_ingresos'!AG50)</f>
        <v/>
      </c>
      <c r="AH50" s="61" t="str">
        <f>IF(ISERROR(VLOOKUP(CONCATENATE("SITUACION",'Registrar expedidas_ingresos'!AH50),'CODIGO-LITERAL'!$C:$D,2,FALSE)),"",VLOOKUP(CONCATENATE("SITUACION",'Registrar expedidas_ingresos'!AH50),'CODIGO-LITERAL'!$C:$D,2,FALSE))</f>
        <v/>
      </c>
      <c r="AI50" s="60" t="str">
        <f>IF('Registrar expedidas_ingresos'!AI50="","",'Registrar expedidas_ingresos'!AI50)</f>
        <v/>
      </c>
      <c r="AJ50" s="60" t="str">
        <f>IF('Registrar expedidas_ingresos'!AJ50="","",'Registrar expedidas_ingresos'!AJ50)</f>
        <v/>
      </c>
    </row>
    <row r="51" spans="1:36" x14ac:dyDescent="0.25">
      <c r="A51" s="59" t="str">
        <f>IF('Registrar expedidas_ingresos'!J51="",IF('Registrar expedidas_ingresos'!I51="","",YEAR('Registrar expedidas_ingresos'!I51)),YEAR('Registrar expedidas_ingresos'!J51))</f>
        <v/>
      </c>
      <c r="B51" s="60" t="str">
        <f>IF('Registrar expedidas_ingresos'!B51="","",'Registrar expedidas_ingresos'!B51)</f>
        <v/>
      </c>
      <c r="C51" s="60" t="str">
        <f>IF('Registrar expedidas_ingresos'!C51="","",VLOOKUP(CONCATENATE("ACTIVIDAD",'Registrar expedidas_ingresos'!C51),'CODIGO-LITERAL'!C:D,2,FALSE))</f>
        <v/>
      </c>
      <c r="D51" s="60" t="str">
        <f>IF(OR(C51="C",C51="D"),"",IF(ISERROR(VLOOKUP(CONCATENATE(C51,'Registrar expedidas_ingresos'!D51),'CODIGO-LITERAL'!$C:$D,2,FALSE)),"",VLOOKUP(CONCATENATE(C51,'Registrar expedidas_ingresos'!D51),'CODIGO-LITERAL'!$C:$D,2,FALSE)))</f>
        <v/>
      </c>
      <c r="E51" s="60" t="str">
        <f>IF('Registrar expedidas_ingresos'!E51="","",'Registrar expedidas_ingresos'!E51)</f>
        <v/>
      </c>
      <c r="F51" s="61" t="str">
        <f>IF(ISERROR(VLOOKUP(CONCATENATE("TIPO FACTURA",'Registrar expedidas_ingresos'!F51),'CODIGO-LITERAL'!$C:$D,2,FALSE)),"",VLOOKUP(CONCATENATE("TIPO FACTURA",'Registrar expedidas_ingresos'!F51),'CODIGO-LITERAL'!$C:$D,2,FALSE))</f>
        <v/>
      </c>
      <c r="G51" s="62"/>
      <c r="H51" s="63"/>
      <c r="I51" s="64" t="str">
        <f>IF('Registrar expedidas_ingresos'!I51="","",'Registrar expedidas_ingresos'!I51)</f>
        <v/>
      </c>
      <c r="J51" s="64" t="str">
        <f>IF('Registrar expedidas_ingresos'!J51="","",'Registrar expedidas_ingresos'!J51)</f>
        <v/>
      </c>
      <c r="K51" s="60" t="str">
        <f>IF('Registrar expedidas_ingresos'!K51="","",'Registrar expedidas_ingresos'!K51)</f>
        <v/>
      </c>
      <c r="L51" s="60" t="str">
        <f>IF('Registrar expedidas_ingresos'!L51="","",'Registrar expedidas_ingresos'!L51)</f>
        <v/>
      </c>
      <c r="M51" s="60" t="str">
        <f>IF('Registrar expedidas_ingresos'!M51="","",'Registrar expedidas_ingresos'!M51)</f>
        <v/>
      </c>
      <c r="N51" s="61" t="str">
        <f>IF(OR(F51="F2",LEFT('Registrar expedidas_ingresos'!N51,2)="01"),"",IF(ISERROR(VLOOKUP(CONCATENATE("TIPO NIF",'Registrar expedidas_ingresos'!N51),'CODIGO-LITERAL'!$C:$D,2,FALSE)),"",VLOOKUP(CONCATENATE("TIPO NIF",'Registrar expedidas_ingresos'!N51),'CODIGO-LITERAL'!$C:$D,2,FALSE)))</f>
        <v/>
      </c>
      <c r="O51" s="60" t="str">
        <f>IF(OR('Registrar expedidas_ingresos'!O51="",N51="02",F51="F2"),"",'Registrar expedidas_ingresos'!O51)</f>
        <v/>
      </c>
      <c r="P51" s="60" t="str">
        <f>IF('Registrar expedidas_ingresos'!P51="","",'Registrar expedidas_ingresos'!P51)</f>
        <v/>
      </c>
      <c r="Q51" s="60" t="str">
        <f>IF(F51="F2","VENTAS A CONSUMIDOR FINAL",IF('Registrar expedidas_ingresos'!Q51="","",'Registrar expedidas_ingresos'!Q51))</f>
        <v/>
      </c>
      <c r="R51" s="61" t="str">
        <f>IF(F51="DV","02",IF(ISERROR(VLOOKUP(CONCATENATE("CLAVE OPERACION",'Registrar expedidas_ingresos'!R51),'CODIGO-LITERAL'!$C:$D,2,FALSE)),"",VLOOKUP(CONCATENATE("CLAVE OPERACION",'Registrar expedidas_ingresos'!R51),'CODIGO-LITERAL'!$C:$D,2,FALSE)))</f>
        <v/>
      </c>
      <c r="S51" s="61" t="str">
        <f>IF(R51="03","S1",
 IF(R51="08","N2",
  IF(ISERROR(VLOOKUP(CONCATENATE("CALIFICACION OPERACION",'Registrar expedidas_ingresos'!S51),'CODIGO-LITERAL'!$C:$D,2,FALSE)),"",VLOOKUP(CONCATENATE("CALIFICACION OPERACION",'Registrar expedidas_ingresos'!S51),'CODIGO-LITERAL'!$C:$D,2,FALSE))))</f>
        <v/>
      </c>
      <c r="T51" s="61" t="str">
        <f>IF(R51="03","",IF(R51="08","",IF(ISERROR(VLOOKUP(CONCATENATE("OPERACION EXENTA",'Registrar expedidas_ingresos'!T51),'CODIGO-LITERAL'!$C:$D,2,FALSE)),"",VLOOKUP(CONCATENATE("OPERACION EXENTA",'Registrar expedidas_ingresos'!T51),'CODIGO-LITERAL'!$C:$D,2,FALSE))))</f>
        <v/>
      </c>
      <c r="U51" s="60" t="str">
        <f t="shared" si="2"/>
        <v/>
      </c>
      <c r="V51" s="60" t="str">
        <f>IF('Registrar expedidas_ingresos'!V51="","",ROUND('Registrar expedidas_ingresos'!V51,2))</f>
        <v/>
      </c>
      <c r="W51" s="60" t="str">
        <f>IF(S51="S2",0,IF('Registrar expedidas_ingresos'!W51="","",'Registrar expedidas_ingresos'!W51))</f>
        <v/>
      </c>
      <c r="X51" s="60" t="str">
        <f>IF(S51="S2",0,IF('Registrar expedidas_ingresos'!X51="","",ROUND('Registrar expedidas_ingresos'!X51,2)))</f>
        <v/>
      </c>
      <c r="Y51" s="60" t="str">
        <f>IF('Registrar expedidas_ingresos'!Y51="","",'Registrar expedidas_ingresos'!Y51)</f>
        <v/>
      </c>
      <c r="Z51" s="60" t="str">
        <f>IF('Registrar expedidas_ingresos'!Z51="","",ROUND('Registrar expedidas_ingresos'!Z51,2))</f>
        <v/>
      </c>
      <c r="AA51" s="64" t="str">
        <f>IF(R51&lt;&gt;"07","",IF('Registrar expedidas_ingresos'!AA51="","",'Registrar expedidas_ingresos'!AA51))</f>
        <v/>
      </c>
      <c r="AB51" s="60" t="str">
        <f>IF(R51&lt;&gt;"07","",IF('Registrar expedidas_ingresos'!AB51="","",'Registrar expedidas_ingresos'!AB51))</f>
        <v/>
      </c>
      <c r="AC51" s="61" t="str">
        <f>IF(R51&lt;&gt;"07","",IF(ISERROR(VLOOKUP(CONCATENATE("MEDIO UTILIZADO",'Registrar expedidas_ingresos'!AC51),'CODIGO-LITERAL'!$C:$D,2,FALSE)),"",VLOOKUP(CONCATENATE("MEDIO UTILIZADO",'Registrar expedidas_ingresos'!AC51),'CODIGO-LITERAL'!$C:$D,2,FALSE)))</f>
        <v/>
      </c>
      <c r="AD51" s="60" t="str">
        <f>IF(R51&lt;&gt;"07","",IF('Registrar expedidas_ingresos'!AD51="","",'Registrar expedidas_ingresos'!AD51))</f>
        <v/>
      </c>
      <c r="AE51" s="65"/>
      <c r="AF51" s="65"/>
      <c r="AG51" s="60" t="str">
        <f>IF('Registrar expedidas_ingresos'!AG51="","",'Registrar expedidas_ingresos'!AG51)</f>
        <v/>
      </c>
      <c r="AH51" s="61" t="str">
        <f>IF(ISERROR(VLOOKUP(CONCATENATE("SITUACION",'Registrar expedidas_ingresos'!AH51),'CODIGO-LITERAL'!$C:$D,2,FALSE)),"",VLOOKUP(CONCATENATE("SITUACION",'Registrar expedidas_ingresos'!AH51),'CODIGO-LITERAL'!$C:$D,2,FALSE))</f>
        <v/>
      </c>
      <c r="AI51" s="60" t="str">
        <f>IF('Registrar expedidas_ingresos'!AI51="","",'Registrar expedidas_ingresos'!AI51)</f>
        <v/>
      </c>
      <c r="AJ51" s="60" t="str">
        <f>IF('Registrar expedidas_ingresos'!AJ51="","",'Registrar expedidas_ingresos'!AJ51)</f>
        <v/>
      </c>
    </row>
    <row r="52" spans="1:36" x14ac:dyDescent="0.25">
      <c r="A52" s="59" t="str">
        <f>IF('Registrar expedidas_ingresos'!J52="",IF('Registrar expedidas_ingresos'!I52="","",YEAR('Registrar expedidas_ingresos'!I52)),YEAR('Registrar expedidas_ingresos'!J52))</f>
        <v/>
      </c>
      <c r="B52" s="60" t="str">
        <f>IF('Registrar expedidas_ingresos'!B52="","",'Registrar expedidas_ingresos'!B52)</f>
        <v/>
      </c>
      <c r="C52" s="60" t="str">
        <f>IF('Registrar expedidas_ingresos'!C52="","",VLOOKUP(CONCATENATE("ACTIVIDAD",'Registrar expedidas_ingresos'!C52),'CODIGO-LITERAL'!C:D,2,FALSE))</f>
        <v/>
      </c>
      <c r="D52" s="60" t="str">
        <f>IF(OR(C52="C",C52="D"),"",IF(ISERROR(VLOOKUP(CONCATENATE(C52,'Registrar expedidas_ingresos'!D52),'CODIGO-LITERAL'!$C:$D,2,FALSE)),"",VLOOKUP(CONCATENATE(C52,'Registrar expedidas_ingresos'!D52),'CODIGO-LITERAL'!$C:$D,2,FALSE)))</f>
        <v/>
      </c>
      <c r="E52" s="60" t="str">
        <f>IF('Registrar expedidas_ingresos'!E52="","",'Registrar expedidas_ingresos'!E52)</f>
        <v/>
      </c>
      <c r="F52" s="61" t="str">
        <f>IF(ISERROR(VLOOKUP(CONCATENATE("TIPO FACTURA",'Registrar expedidas_ingresos'!F52),'CODIGO-LITERAL'!$C:$D,2,FALSE)),"",VLOOKUP(CONCATENATE("TIPO FACTURA",'Registrar expedidas_ingresos'!F52),'CODIGO-LITERAL'!$C:$D,2,FALSE))</f>
        <v/>
      </c>
      <c r="G52" s="62"/>
      <c r="H52" s="63"/>
      <c r="I52" s="64" t="str">
        <f>IF('Registrar expedidas_ingresos'!I52="","",'Registrar expedidas_ingresos'!I52)</f>
        <v/>
      </c>
      <c r="J52" s="64" t="str">
        <f>IF('Registrar expedidas_ingresos'!J52="","",'Registrar expedidas_ingresos'!J52)</f>
        <v/>
      </c>
      <c r="K52" s="60" t="str">
        <f>IF('Registrar expedidas_ingresos'!K52="","",'Registrar expedidas_ingresos'!K52)</f>
        <v/>
      </c>
      <c r="L52" s="60" t="str">
        <f>IF('Registrar expedidas_ingresos'!L52="","",'Registrar expedidas_ingresos'!L52)</f>
        <v/>
      </c>
      <c r="M52" s="60" t="str">
        <f>IF('Registrar expedidas_ingresos'!M52="","",'Registrar expedidas_ingresos'!M52)</f>
        <v/>
      </c>
      <c r="N52" s="61" t="str">
        <f>IF(OR(F52="F2",LEFT('Registrar expedidas_ingresos'!N52,2)="01"),"",IF(ISERROR(VLOOKUP(CONCATENATE("TIPO NIF",'Registrar expedidas_ingresos'!N52),'CODIGO-LITERAL'!$C:$D,2,FALSE)),"",VLOOKUP(CONCATENATE("TIPO NIF",'Registrar expedidas_ingresos'!N52),'CODIGO-LITERAL'!$C:$D,2,FALSE)))</f>
        <v/>
      </c>
      <c r="O52" s="60" t="str">
        <f>IF(OR('Registrar expedidas_ingresos'!O52="",N52="02",F52="F2"),"",'Registrar expedidas_ingresos'!O52)</f>
        <v/>
      </c>
      <c r="P52" s="60" t="str">
        <f>IF('Registrar expedidas_ingresos'!P52="","",'Registrar expedidas_ingresos'!P52)</f>
        <v/>
      </c>
      <c r="Q52" s="60" t="str">
        <f>IF(F52="F2","VENTAS A CONSUMIDOR FINAL",IF('Registrar expedidas_ingresos'!Q52="","",'Registrar expedidas_ingresos'!Q52))</f>
        <v/>
      </c>
      <c r="R52" s="61" t="str">
        <f>IF(F52="DV","02",IF(ISERROR(VLOOKUP(CONCATENATE("CLAVE OPERACION",'Registrar expedidas_ingresos'!R52),'CODIGO-LITERAL'!$C:$D,2,FALSE)),"",VLOOKUP(CONCATENATE("CLAVE OPERACION",'Registrar expedidas_ingresos'!R52),'CODIGO-LITERAL'!$C:$D,2,FALSE)))</f>
        <v/>
      </c>
      <c r="S52" s="61" t="str">
        <f>IF(R52="03","S1",
 IF(R52="08","N2",
  IF(ISERROR(VLOOKUP(CONCATENATE("CALIFICACION OPERACION",'Registrar expedidas_ingresos'!S52),'CODIGO-LITERAL'!$C:$D,2,FALSE)),"",VLOOKUP(CONCATENATE("CALIFICACION OPERACION",'Registrar expedidas_ingresos'!S52),'CODIGO-LITERAL'!$C:$D,2,FALSE))))</f>
        <v/>
      </c>
      <c r="T52" s="61" t="str">
        <f>IF(R52="03","",IF(R52="08","",IF(ISERROR(VLOOKUP(CONCATENATE("OPERACION EXENTA",'Registrar expedidas_ingresos'!T52),'CODIGO-LITERAL'!$C:$D,2,FALSE)),"",VLOOKUP(CONCATENATE("OPERACION EXENTA",'Registrar expedidas_ingresos'!T52),'CODIGO-LITERAL'!$C:$D,2,FALSE))))</f>
        <v/>
      </c>
      <c r="U52" s="60" t="str">
        <f t="shared" si="2"/>
        <v/>
      </c>
      <c r="V52" s="60" t="str">
        <f>IF('Registrar expedidas_ingresos'!V52="","",ROUND('Registrar expedidas_ingresos'!V52,2))</f>
        <v/>
      </c>
      <c r="W52" s="60" t="str">
        <f>IF(S52="S2",0,IF('Registrar expedidas_ingresos'!W52="","",'Registrar expedidas_ingresos'!W52))</f>
        <v/>
      </c>
      <c r="X52" s="60" t="str">
        <f>IF(S52="S2",0,IF('Registrar expedidas_ingresos'!X52="","",ROUND('Registrar expedidas_ingresos'!X52,2)))</f>
        <v/>
      </c>
      <c r="Y52" s="60" t="str">
        <f>IF('Registrar expedidas_ingresos'!Y52="","",'Registrar expedidas_ingresos'!Y52)</f>
        <v/>
      </c>
      <c r="Z52" s="60" t="str">
        <f>IF('Registrar expedidas_ingresos'!Z52="","",ROUND('Registrar expedidas_ingresos'!Z52,2))</f>
        <v/>
      </c>
      <c r="AA52" s="64" t="str">
        <f>IF(R52&lt;&gt;"07","",IF('Registrar expedidas_ingresos'!AA52="","",'Registrar expedidas_ingresos'!AA52))</f>
        <v/>
      </c>
      <c r="AB52" s="60" t="str">
        <f>IF(R52&lt;&gt;"07","",IF('Registrar expedidas_ingresos'!AB52="","",'Registrar expedidas_ingresos'!AB52))</f>
        <v/>
      </c>
      <c r="AC52" s="61" t="str">
        <f>IF(R52&lt;&gt;"07","",IF(ISERROR(VLOOKUP(CONCATENATE("MEDIO UTILIZADO",'Registrar expedidas_ingresos'!AC52),'CODIGO-LITERAL'!$C:$D,2,FALSE)),"",VLOOKUP(CONCATENATE("MEDIO UTILIZADO",'Registrar expedidas_ingresos'!AC52),'CODIGO-LITERAL'!$C:$D,2,FALSE)))</f>
        <v/>
      </c>
      <c r="AD52" s="60" t="str">
        <f>IF(R52&lt;&gt;"07","",IF('Registrar expedidas_ingresos'!AD52="","",'Registrar expedidas_ingresos'!AD52))</f>
        <v/>
      </c>
      <c r="AE52" s="65"/>
      <c r="AF52" s="65"/>
      <c r="AG52" s="60" t="str">
        <f>IF('Registrar expedidas_ingresos'!AG52="","",'Registrar expedidas_ingresos'!AG52)</f>
        <v/>
      </c>
      <c r="AH52" s="61" t="str">
        <f>IF(ISERROR(VLOOKUP(CONCATENATE("SITUACION",'Registrar expedidas_ingresos'!AH52),'CODIGO-LITERAL'!$C:$D,2,FALSE)),"",VLOOKUP(CONCATENATE("SITUACION",'Registrar expedidas_ingresos'!AH52),'CODIGO-LITERAL'!$C:$D,2,FALSE))</f>
        <v/>
      </c>
      <c r="AI52" s="60" t="str">
        <f>IF('Registrar expedidas_ingresos'!AI52="","",'Registrar expedidas_ingresos'!AI52)</f>
        <v/>
      </c>
      <c r="AJ52" s="60" t="str">
        <f>IF('Registrar expedidas_ingresos'!AJ52="","",'Registrar expedidas_ingresos'!AJ52)</f>
        <v/>
      </c>
    </row>
    <row r="53" spans="1:36" x14ac:dyDescent="0.25">
      <c r="A53" s="59" t="str">
        <f>IF('Registrar expedidas_ingresos'!J53="",IF('Registrar expedidas_ingresos'!I53="","",YEAR('Registrar expedidas_ingresos'!I53)),YEAR('Registrar expedidas_ingresos'!J53))</f>
        <v/>
      </c>
      <c r="B53" s="60" t="str">
        <f>IF('Registrar expedidas_ingresos'!B53="","",'Registrar expedidas_ingresos'!B53)</f>
        <v/>
      </c>
      <c r="C53" s="60" t="str">
        <f>IF('Registrar expedidas_ingresos'!C53="","",VLOOKUP(CONCATENATE("ACTIVIDAD",'Registrar expedidas_ingresos'!C53),'CODIGO-LITERAL'!C:D,2,FALSE))</f>
        <v/>
      </c>
      <c r="D53" s="60" t="str">
        <f>IF(OR(C53="C",C53="D"),"",IF(ISERROR(VLOOKUP(CONCATENATE(C53,'Registrar expedidas_ingresos'!D53),'CODIGO-LITERAL'!$C:$D,2,FALSE)),"",VLOOKUP(CONCATENATE(C53,'Registrar expedidas_ingresos'!D53),'CODIGO-LITERAL'!$C:$D,2,FALSE)))</f>
        <v/>
      </c>
      <c r="E53" s="60" t="str">
        <f>IF('Registrar expedidas_ingresos'!E53="","",'Registrar expedidas_ingresos'!E53)</f>
        <v/>
      </c>
      <c r="F53" s="61" t="str">
        <f>IF(ISERROR(VLOOKUP(CONCATENATE("TIPO FACTURA",'Registrar expedidas_ingresos'!F53),'CODIGO-LITERAL'!$C:$D,2,FALSE)),"",VLOOKUP(CONCATENATE("TIPO FACTURA",'Registrar expedidas_ingresos'!F53),'CODIGO-LITERAL'!$C:$D,2,FALSE))</f>
        <v/>
      </c>
      <c r="G53" s="62"/>
      <c r="H53" s="63"/>
      <c r="I53" s="64" t="str">
        <f>IF('Registrar expedidas_ingresos'!I53="","",'Registrar expedidas_ingresos'!I53)</f>
        <v/>
      </c>
      <c r="J53" s="64" t="str">
        <f>IF('Registrar expedidas_ingresos'!J53="","",'Registrar expedidas_ingresos'!J53)</f>
        <v/>
      </c>
      <c r="K53" s="60" t="str">
        <f>IF('Registrar expedidas_ingresos'!K53="","",'Registrar expedidas_ingresos'!K53)</f>
        <v/>
      </c>
      <c r="L53" s="60" t="str">
        <f>IF('Registrar expedidas_ingresos'!L53="","",'Registrar expedidas_ingresos'!L53)</f>
        <v/>
      </c>
      <c r="M53" s="60" t="str">
        <f>IF('Registrar expedidas_ingresos'!M53="","",'Registrar expedidas_ingresos'!M53)</f>
        <v/>
      </c>
      <c r="N53" s="61" t="str">
        <f>IF(OR(F53="F2",LEFT('Registrar expedidas_ingresos'!N53,2)="01"),"",IF(ISERROR(VLOOKUP(CONCATENATE("TIPO NIF",'Registrar expedidas_ingresos'!N53),'CODIGO-LITERAL'!$C:$D,2,FALSE)),"",VLOOKUP(CONCATENATE("TIPO NIF",'Registrar expedidas_ingresos'!N53),'CODIGO-LITERAL'!$C:$D,2,FALSE)))</f>
        <v/>
      </c>
      <c r="O53" s="60" t="str">
        <f>IF(OR('Registrar expedidas_ingresos'!O53="",N53="02",F53="F2"),"",'Registrar expedidas_ingresos'!O53)</f>
        <v/>
      </c>
      <c r="P53" s="60" t="str">
        <f>IF('Registrar expedidas_ingresos'!P53="","",'Registrar expedidas_ingresos'!P53)</f>
        <v/>
      </c>
      <c r="Q53" s="60" t="str">
        <f>IF(F53="F2","VENTAS A CONSUMIDOR FINAL",IF('Registrar expedidas_ingresos'!Q53="","",'Registrar expedidas_ingresos'!Q53))</f>
        <v/>
      </c>
      <c r="R53" s="61" t="str">
        <f>IF(F53="DV","02",IF(ISERROR(VLOOKUP(CONCATENATE("CLAVE OPERACION",'Registrar expedidas_ingresos'!R53),'CODIGO-LITERAL'!$C:$D,2,FALSE)),"",VLOOKUP(CONCATENATE("CLAVE OPERACION",'Registrar expedidas_ingresos'!R53),'CODIGO-LITERAL'!$C:$D,2,FALSE)))</f>
        <v/>
      </c>
      <c r="S53" s="61" t="str">
        <f>IF(R53="03","S1",
 IF(R53="08","N2",
  IF(ISERROR(VLOOKUP(CONCATENATE("CALIFICACION OPERACION",'Registrar expedidas_ingresos'!S53),'CODIGO-LITERAL'!$C:$D,2,FALSE)),"",VLOOKUP(CONCATENATE("CALIFICACION OPERACION",'Registrar expedidas_ingresos'!S53),'CODIGO-LITERAL'!$C:$D,2,FALSE))))</f>
        <v/>
      </c>
      <c r="T53" s="61" t="str">
        <f>IF(R53="03","",IF(R53="08","",IF(ISERROR(VLOOKUP(CONCATENATE("OPERACION EXENTA",'Registrar expedidas_ingresos'!T53),'CODIGO-LITERAL'!$C:$D,2,FALSE)),"",VLOOKUP(CONCATENATE("OPERACION EXENTA",'Registrar expedidas_ingresos'!T53),'CODIGO-LITERAL'!$C:$D,2,FALSE))))</f>
        <v/>
      </c>
      <c r="U53" s="60" t="str">
        <f t="shared" si="2"/>
        <v/>
      </c>
      <c r="V53" s="60" t="str">
        <f>IF('Registrar expedidas_ingresos'!V53="","",ROUND('Registrar expedidas_ingresos'!V53,2))</f>
        <v/>
      </c>
      <c r="W53" s="60" t="str">
        <f>IF(S53="S2",0,IF('Registrar expedidas_ingresos'!W53="","",'Registrar expedidas_ingresos'!W53))</f>
        <v/>
      </c>
      <c r="X53" s="60" t="str">
        <f>IF(S53="S2",0,IF('Registrar expedidas_ingresos'!X53="","",ROUND('Registrar expedidas_ingresos'!X53,2)))</f>
        <v/>
      </c>
      <c r="Y53" s="60" t="str">
        <f>IF('Registrar expedidas_ingresos'!Y53="","",'Registrar expedidas_ingresos'!Y53)</f>
        <v/>
      </c>
      <c r="Z53" s="60" t="str">
        <f>IF('Registrar expedidas_ingresos'!Z53="","",ROUND('Registrar expedidas_ingresos'!Z53,2))</f>
        <v/>
      </c>
      <c r="AA53" s="64" t="str">
        <f>IF(R53&lt;&gt;"07","",IF('Registrar expedidas_ingresos'!AA53="","",'Registrar expedidas_ingresos'!AA53))</f>
        <v/>
      </c>
      <c r="AB53" s="60" t="str">
        <f>IF(R53&lt;&gt;"07","",IF('Registrar expedidas_ingresos'!AB53="","",'Registrar expedidas_ingresos'!AB53))</f>
        <v/>
      </c>
      <c r="AC53" s="61" t="str">
        <f>IF(R53&lt;&gt;"07","",IF(ISERROR(VLOOKUP(CONCATENATE("MEDIO UTILIZADO",'Registrar expedidas_ingresos'!AC53),'CODIGO-LITERAL'!$C:$D,2,FALSE)),"",VLOOKUP(CONCATENATE("MEDIO UTILIZADO",'Registrar expedidas_ingresos'!AC53),'CODIGO-LITERAL'!$C:$D,2,FALSE)))</f>
        <v/>
      </c>
      <c r="AD53" s="60" t="str">
        <f>IF(R53&lt;&gt;"07","",IF('Registrar expedidas_ingresos'!AD53="","",'Registrar expedidas_ingresos'!AD53))</f>
        <v/>
      </c>
      <c r="AE53" s="65"/>
      <c r="AF53" s="65"/>
      <c r="AG53" s="60" t="str">
        <f>IF('Registrar expedidas_ingresos'!AG53="","",'Registrar expedidas_ingresos'!AG53)</f>
        <v/>
      </c>
      <c r="AH53" s="61" t="str">
        <f>IF(ISERROR(VLOOKUP(CONCATENATE("SITUACION",'Registrar expedidas_ingresos'!AH53),'CODIGO-LITERAL'!$C:$D,2,FALSE)),"",VLOOKUP(CONCATENATE("SITUACION",'Registrar expedidas_ingresos'!AH53),'CODIGO-LITERAL'!$C:$D,2,FALSE))</f>
        <v/>
      </c>
      <c r="AI53" s="60" t="str">
        <f>IF('Registrar expedidas_ingresos'!AI53="","",'Registrar expedidas_ingresos'!AI53)</f>
        <v/>
      </c>
      <c r="AJ53" s="60" t="str">
        <f>IF('Registrar expedidas_ingresos'!AJ53="","",'Registrar expedidas_ingresos'!AJ53)</f>
        <v/>
      </c>
    </row>
    <row r="54" spans="1:36" x14ac:dyDescent="0.25">
      <c r="A54" s="59" t="str">
        <f>IF('Registrar expedidas_ingresos'!J54="",IF('Registrar expedidas_ingresos'!I54="","",YEAR('Registrar expedidas_ingresos'!I54)),YEAR('Registrar expedidas_ingresos'!J54))</f>
        <v/>
      </c>
      <c r="B54" s="60" t="str">
        <f>IF('Registrar expedidas_ingresos'!B54="","",'Registrar expedidas_ingresos'!B54)</f>
        <v/>
      </c>
      <c r="C54" s="60" t="str">
        <f>IF('Registrar expedidas_ingresos'!C54="","",VLOOKUP(CONCATENATE("ACTIVIDAD",'Registrar expedidas_ingresos'!C54),'CODIGO-LITERAL'!C:D,2,FALSE))</f>
        <v/>
      </c>
      <c r="D54" s="60" t="str">
        <f>IF(OR(C54="C",C54="D"),"",IF(ISERROR(VLOOKUP(CONCATENATE(C54,'Registrar expedidas_ingresos'!D54),'CODIGO-LITERAL'!$C:$D,2,FALSE)),"",VLOOKUP(CONCATENATE(C54,'Registrar expedidas_ingresos'!D54),'CODIGO-LITERAL'!$C:$D,2,FALSE)))</f>
        <v/>
      </c>
      <c r="E54" s="60" t="str">
        <f>IF('Registrar expedidas_ingresos'!E54="","",'Registrar expedidas_ingresos'!E54)</f>
        <v/>
      </c>
      <c r="F54" s="61" t="str">
        <f>IF(ISERROR(VLOOKUP(CONCATENATE("TIPO FACTURA",'Registrar expedidas_ingresos'!F54),'CODIGO-LITERAL'!$C:$D,2,FALSE)),"",VLOOKUP(CONCATENATE("TIPO FACTURA",'Registrar expedidas_ingresos'!F54),'CODIGO-LITERAL'!$C:$D,2,FALSE))</f>
        <v/>
      </c>
      <c r="G54" s="62"/>
      <c r="H54" s="63"/>
      <c r="I54" s="64" t="str">
        <f>IF('Registrar expedidas_ingresos'!I54="","",'Registrar expedidas_ingresos'!I54)</f>
        <v/>
      </c>
      <c r="J54" s="64" t="str">
        <f>IF('Registrar expedidas_ingresos'!J54="","",'Registrar expedidas_ingresos'!J54)</f>
        <v/>
      </c>
      <c r="K54" s="60" t="str">
        <f>IF('Registrar expedidas_ingresos'!K54="","",'Registrar expedidas_ingresos'!K54)</f>
        <v/>
      </c>
      <c r="L54" s="60" t="str">
        <f>IF('Registrar expedidas_ingresos'!L54="","",'Registrar expedidas_ingresos'!L54)</f>
        <v/>
      </c>
      <c r="M54" s="60" t="str">
        <f>IF('Registrar expedidas_ingresos'!M54="","",'Registrar expedidas_ingresos'!M54)</f>
        <v/>
      </c>
      <c r="N54" s="61" t="str">
        <f>IF(OR(F54="F2",LEFT('Registrar expedidas_ingresos'!N54,2)="01"),"",IF(ISERROR(VLOOKUP(CONCATENATE("TIPO NIF",'Registrar expedidas_ingresos'!N54),'CODIGO-LITERAL'!$C:$D,2,FALSE)),"",VLOOKUP(CONCATENATE("TIPO NIF",'Registrar expedidas_ingresos'!N54),'CODIGO-LITERAL'!$C:$D,2,FALSE)))</f>
        <v/>
      </c>
      <c r="O54" s="60" t="str">
        <f>IF(OR('Registrar expedidas_ingresos'!O54="",N54="02",F54="F2"),"",'Registrar expedidas_ingresos'!O54)</f>
        <v/>
      </c>
      <c r="P54" s="60" t="str">
        <f>IF('Registrar expedidas_ingresos'!P54="","",'Registrar expedidas_ingresos'!P54)</f>
        <v/>
      </c>
      <c r="Q54" s="60" t="str">
        <f>IF(F54="F2","VENTAS A CONSUMIDOR FINAL",IF('Registrar expedidas_ingresos'!Q54="","",'Registrar expedidas_ingresos'!Q54))</f>
        <v/>
      </c>
      <c r="R54" s="61" t="str">
        <f>IF(F54="DV","02",IF(ISERROR(VLOOKUP(CONCATENATE("CLAVE OPERACION",'Registrar expedidas_ingresos'!R54),'CODIGO-LITERAL'!$C:$D,2,FALSE)),"",VLOOKUP(CONCATENATE("CLAVE OPERACION",'Registrar expedidas_ingresos'!R54),'CODIGO-LITERAL'!$C:$D,2,FALSE)))</f>
        <v/>
      </c>
      <c r="S54" s="61" t="str">
        <f>IF(R54="03","S1",
 IF(R54="08","N2",
  IF(ISERROR(VLOOKUP(CONCATENATE("CALIFICACION OPERACION",'Registrar expedidas_ingresos'!S54),'CODIGO-LITERAL'!$C:$D,2,FALSE)),"",VLOOKUP(CONCATENATE("CALIFICACION OPERACION",'Registrar expedidas_ingresos'!S54),'CODIGO-LITERAL'!$C:$D,2,FALSE))))</f>
        <v/>
      </c>
      <c r="T54" s="61" t="str">
        <f>IF(R54="03","",IF(R54="08","",IF(ISERROR(VLOOKUP(CONCATENATE("OPERACION EXENTA",'Registrar expedidas_ingresos'!T54),'CODIGO-LITERAL'!$C:$D,2,FALSE)),"",VLOOKUP(CONCATENATE("OPERACION EXENTA",'Registrar expedidas_ingresos'!T54),'CODIGO-LITERAL'!$C:$D,2,FALSE))))</f>
        <v/>
      </c>
      <c r="U54" s="60" t="str">
        <f t="shared" si="2"/>
        <v/>
      </c>
      <c r="V54" s="60" t="str">
        <f>IF('Registrar expedidas_ingresos'!V54="","",ROUND('Registrar expedidas_ingresos'!V54,2))</f>
        <v/>
      </c>
      <c r="W54" s="60" t="str">
        <f>IF(S54="S2",0,IF('Registrar expedidas_ingresos'!W54="","",'Registrar expedidas_ingresos'!W54))</f>
        <v/>
      </c>
      <c r="X54" s="60" t="str">
        <f>IF(S54="S2",0,IF('Registrar expedidas_ingresos'!X54="","",ROUND('Registrar expedidas_ingresos'!X54,2)))</f>
        <v/>
      </c>
      <c r="Y54" s="60" t="str">
        <f>IF('Registrar expedidas_ingresos'!Y54="","",'Registrar expedidas_ingresos'!Y54)</f>
        <v/>
      </c>
      <c r="Z54" s="60" t="str">
        <f>IF('Registrar expedidas_ingresos'!Z54="","",ROUND('Registrar expedidas_ingresos'!Z54,2))</f>
        <v/>
      </c>
      <c r="AA54" s="64" t="str">
        <f>IF(R54&lt;&gt;"07","",IF('Registrar expedidas_ingresos'!AA54="","",'Registrar expedidas_ingresos'!AA54))</f>
        <v/>
      </c>
      <c r="AB54" s="60" t="str">
        <f>IF(R54&lt;&gt;"07","",IF('Registrar expedidas_ingresos'!AB54="","",'Registrar expedidas_ingresos'!AB54))</f>
        <v/>
      </c>
      <c r="AC54" s="61" t="str">
        <f>IF(R54&lt;&gt;"07","",IF(ISERROR(VLOOKUP(CONCATENATE("MEDIO UTILIZADO",'Registrar expedidas_ingresos'!AC54),'CODIGO-LITERAL'!$C:$D,2,FALSE)),"",VLOOKUP(CONCATENATE("MEDIO UTILIZADO",'Registrar expedidas_ingresos'!AC54),'CODIGO-LITERAL'!$C:$D,2,FALSE)))</f>
        <v/>
      </c>
      <c r="AD54" s="60" t="str">
        <f>IF(R54&lt;&gt;"07","",IF('Registrar expedidas_ingresos'!AD54="","",'Registrar expedidas_ingresos'!AD54))</f>
        <v/>
      </c>
      <c r="AE54" s="65"/>
      <c r="AF54" s="65"/>
      <c r="AG54" s="60" t="str">
        <f>IF('Registrar expedidas_ingresos'!AG54="","",'Registrar expedidas_ingresos'!AG54)</f>
        <v/>
      </c>
      <c r="AH54" s="61" t="str">
        <f>IF(ISERROR(VLOOKUP(CONCATENATE("SITUACION",'Registrar expedidas_ingresos'!AH54),'CODIGO-LITERAL'!$C:$D,2,FALSE)),"",VLOOKUP(CONCATENATE("SITUACION",'Registrar expedidas_ingresos'!AH54),'CODIGO-LITERAL'!$C:$D,2,FALSE))</f>
        <v/>
      </c>
      <c r="AI54" s="60" t="str">
        <f>IF('Registrar expedidas_ingresos'!AI54="","",'Registrar expedidas_ingresos'!AI54)</f>
        <v/>
      </c>
      <c r="AJ54" s="60" t="str">
        <f>IF('Registrar expedidas_ingresos'!AJ54="","",'Registrar expedidas_ingresos'!AJ54)</f>
        <v/>
      </c>
    </row>
    <row r="55" spans="1:36" x14ac:dyDescent="0.25">
      <c r="A55" s="59" t="str">
        <f>IF('Registrar expedidas_ingresos'!J55="",IF('Registrar expedidas_ingresos'!I55="","",YEAR('Registrar expedidas_ingresos'!I55)),YEAR('Registrar expedidas_ingresos'!J55))</f>
        <v/>
      </c>
      <c r="B55" s="60" t="str">
        <f>IF('Registrar expedidas_ingresos'!B55="","",'Registrar expedidas_ingresos'!B55)</f>
        <v/>
      </c>
      <c r="C55" s="60" t="str">
        <f>IF('Registrar expedidas_ingresos'!C55="","",VLOOKUP(CONCATENATE("ACTIVIDAD",'Registrar expedidas_ingresos'!C55),'CODIGO-LITERAL'!C:D,2,FALSE))</f>
        <v/>
      </c>
      <c r="D55" s="60" t="str">
        <f>IF(OR(C55="C",C55="D"),"",IF(ISERROR(VLOOKUP(CONCATENATE(C55,'Registrar expedidas_ingresos'!D55),'CODIGO-LITERAL'!$C:$D,2,FALSE)),"",VLOOKUP(CONCATENATE(C55,'Registrar expedidas_ingresos'!D55),'CODIGO-LITERAL'!$C:$D,2,FALSE)))</f>
        <v/>
      </c>
      <c r="E55" s="60" t="str">
        <f>IF('Registrar expedidas_ingresos'!E55="","",'Registrar expedidas_ingresos'!E55)</f>
        <v/>
      </c>
      <c r="F55" s="61" t="str">
        <f>IF(ISERROR(VLOOKUP(CONCATENATE("TIPO FACTURA",'Registrar expedidas_ingresos'!F55),'CODIGO-LITERAL'!$C:$D,2,FALSE)),"",VLOOKUP(CONCATENATE("TIPO FACTURA",'Registrar expedidas_ingresos'!F55),'CODIGO-LITERAL'!$C:$D,2,FALSE))</f>
        <v/>
      </c>
      <c r="G55" s="62"/>
      <c r="H55" s="63"/>
      <c r="I55" s="64" t="str">
        <f>IF('Registrar expedidas_ingresos'!I55="","",'Registrar expedidas_ingresos'!I55)</f>
        <v/>
      </c>
      <c r="J55" s="64" t="str">
        <f>IF('Registrar expedidas_ingresos'!J55="","",'Registrar expedidas_ingresos'!J55)</f>
        <v/>
      </c>
      <c r="K55" s="60" t="str">
        <f>IF('Registrar expedidas_ingresos'!K55="","",'Registrar expedidas_ingresos'!K55)</f>
        <v/>
      </c>
      <c r="L55" s="60" t="str">
        <f>IF('Registrar expedidas_ingresos'!L55="","",'Registrar expedidas_ingresos'!L55)</f>
        <v/>
      </c>
      <c r="M55" s="60" t="str">
        <f>IF('Registrar expedidas_ingresos'!M55="","",'Registrar expedidas_ingresos'!M55)</f>
        <v/>
      </c>
      <c r="N55" s="61" t="str">
        <f>IF(OR(F55="F2",LEFT('Registrar expedidas_ingresos'!N55,2)="01"),"",IF(ISERROR(VLOOKUP(CONCATENATE("TIPO NIF",'Registrar expedidas_ingresos'!N55),'CODIGO-LITERAL'!$C:$D,2,FALSE)),"",VLOOKUP(CONCATENATE("TIPO NIF",'Registrar expedidas_ingresos'!N55),'CODIGO-LITERAL'!$C:$D,2,FALSE)))</f>
        <v/>
      </c>
      <c r="O55" s="60" t="str">
        <f>IF(OR('Registrar expedidas_ingresos'!O55="",N55="02",F55="F2"),"",'Registrar expedidas_ingresos'!O55)</f>
        <v/>
      </c>
      <c r="P55" s="60" t="str">
        <f>IF('Registrar expedidas_ingresos'!P55="","",'Registrar expedidas_ingresos'!P55)</f>
        <v/>
      </c>
      <c r="Q55" s="60" t="str">
        <f>IF(F55="F2","VENTAS A CONSUMIDOR FINAL",IF('Registrar expedidas_ingresos'!Q55="","",'Registrar expedidas_ingresos'!Q55))</f>
        <v/>
      </c>
      <c r="R55" s="61" t="str">
        <f>IF(F55="DV","02",IF(ISERROR(VLOOKUP(CONCATENATE("CLAVE OPERACION",'Registrar expedidas_ingresos'!R55),'CODIGO-LITERAL'!$C:$D,2,FALSE)),"",VLOOKUP(CONCATENATE("CLAVE OPERACION",'Registrar expedidas_ingresos'!R55),'CODIGO-LITERAL'!$C:$D,2,FALSE)))</f>
        <v/>
      </c>
      <c r="S55" s="61" t="str">
        <f>IF(R55="03","S1",
 IF(R55="08","N2",
  IF(ISERROR(VLOOKUP(CONCATENATE("CALIFICACION OPERACION",'Registrar expedidas_ingresos'!S55),'CODIGO-LITERAL'!$C:$D,2,FALSE)),"",VLOOKUP(CONCATENATE("CALIFICACION OPERACION",'Registrar expedidas_ingresos'!S55),'CODIGO-LITERAL'!$C:$D,2,FALSE))))</f>
        <v/>
      </c>
      <c r="T55" s="61" t="str">
        <f>IF(R55="03","",IF(R55="08","",IF(ISERROR(VLOOKUP(CONCATENATE("OPERACION EXENTA",'Registrar expedidas_ingresos'!T55),'CODIGO-LITERAL'!$C:$D,2,FALSE)),"",VLOOKUP(CONCATENATE("OPERACION EXENTA",'Registrar expedidas_ingresos'!T55),'CODIGO-LITERAL'!$C:$D,2,FALSE))))</f>
        <v/>
      </c>
      <c r="U55" s="60" t="str">
        <f t="shared" si="2"/>
        <v/>
      </c>
      <c r="V55" s="60" t="str">
        <f>IF('Registrar expedidas_ingresos'!V55="","",ROUND('Registrar expedidas_ingresos'!V55,2))</f>
        <v/>
      </c>
      <c r="W55" s="60" t="str">
        <f>IF(S55="S2",0,IF('Registrar expedidas_ingresos'!W55="","",'Registrar expedidas_ingresos'!W55))</f>
        <v/>
      </c>
      <c r="X55" s="60" t="str">
        <f>IF(S55="S2",0,IF('Registrar expedidas_ingresos'!X55="","",ROUND('Registrar expedidas_ingresos'!X55,2)))</f>
        <v/>
      </c>
      <c r="Y55" s="60" t="str">
        <f>IF('Registrar expedidas_ingresos'!Y55="","",'Registrar expedidas_ingresos'!Y55)</f>
        <v/>
      </c>
      <c r="Z55" s="60" t="str">
        <f>IF('Registrar expedidas_ingresos'!Z55="","",ROUND('Registrar expedidas_ingresos'!Z55,2))</f>
        <v/>
      </c>
      <c r="AA55" s="64" t="str">
        <f>IF(R55&lt;&gt;"07","",IF('Registrar expedidas_ingresos'!AA55="","",'Registrar expedidas_ingresos'!AA55))</f>
        <v/>
      </c>
      <c r="AB55" s="60" t="str">
        <f>IF(R55&lt;&gt;"07","",IF('Registrar expedidas_ingresos'!AB55="","",'Registrar expedidas_ingresos'!AB55))</f>
        <v/>
      </c>
      <c r="AC55" s="61" t="str">
        <f>IF(R55&lt;&gt;"07","",IF(ISERROR(VLOOKUP(CONCATENATE("MEDIO UTILIZADO",'Registrar expedidas_ingresos'!AC55),'CODIGO-LITERAL'!$C:$D,2,FALSE)),"",VLOOKUP(CONCATENATE("MEDIO UTILIZADO",'Registrar expedidas_ingresos'!AC55),'CODIGO-LITERAL'!$C:$D,2,FALSE)))</f>
        <v/>
      </c>
      <c r="AD55" s="60" t="str">
        <f>IF(R55&lt;&gt;"07","",IF('Registrar expedidas_ingresos'!AD55="","",'Registrar expedidas_ingresos'!AD55))</f>
        <v/>
      </c>
      <c r="AE55" s="65"/>
      <c r="AF55" s="65"/>
      <c r="AG55" s="60" t="str">
        <f>IF('Registrar expedidas_ingresos'!AG55="","",'Registrar expedidas_ingresos'!AG55)</f>
        <v/>
      </c>
      <c r="AH55" s="61" t="str">
        <f>IF(ISERROR(VLOOKUP(CONCATENATE("SITUACION",'Registrar expedidas_ingresos'!AH55),'CODIGO-LITERAL'!$C:$D,2,FALSE)),"",VLOOKUP(CONCATENATE("SITUACION",'Registrar expedidas_ingresos'!AH55),'CODIGO-LITERAL'!$C:$D,2,FALSE))</f>
        <v/>
      </c>
      <c r="AI55" s="60" t="str">
        <f>IF('Registrar expedidas_ingresos'!AI55="","",'Registrar expedidas_ingresos'!AI55)</f>
        <v/>
      </c>
      <c r="AJ55" s="60" t="str">
        <f>IF('Registrar expedidas_ingresos'!AJ55="","",'Registrar expedidas_ingresos'!AJ55)</f>
        <v/>
      </c>
    </row>
    <row r="56" spans="1:36" x14ac:dyDescent="0.25">
      <c r="A56" s="59" t="str">
        <f>IF('Registrar expedidas_ingresos'!J56="",IF('Registrar expedidas_ingresos'!I56="","",YEAR('Registrar expedidas_ingresos'!I56)),YEAR('Registrar expedidas_ingresos'!J56))</f>
        <v/>
      </c>
      <c r="B56" s="60" t="str">
        <f>IF('Registrar expedidas_ingresos'!B56="","",'Registrar expedidas_ingresos'!B56)</f>
        <v/>
      </c>
      <c r="C56" s="60" t="str">
        <f>IF('Registrar expedidas_ingresos'!C56="","",VLOOKUP(CONCATENATE("ACTIVIDAD",'Registrar expedidas_ingresos'!C56),'CODIGO-LITERAL'!C:D,2,FALSE))</f>
        <v/>
      </c>
      <c r="D56" s="60" t="str">
        <f>IF(OR(C56="C",C56="D"),"",IF(ISERROR(VLOOKUP(CONCATENATE(C56,'Registrar expedidas_ingresos'!D56),'CODIGO-LITERAL'!$C:$D,2,FALSE)),"",VLOOKUP(CONCATENATE(C56,'Registrar expedidas_ingresos'!D56),'CODIGO-LITERAL'!$C:$D,2,FALSE)))</f>
        <v/>
      </c>
      <c r="E56" s="60" t="str">
        <f>IF('Registrar expedidas_ingresos'!E56="","",'Registrar expedidas_ingresos'!E56)</f>
        <v/>
      </c>
      <c r="F56" s="61" t="str">
        <f>IF(ISERROR(VLOOKUP(CONCATENATE("TIPO FACTURA",'Registrar expedidas_ingresos'!F56),'CODIGO-LITERAL'!$C:$D,2,FALSE)),"",VLOOKUP(CONCATENATE("TIPO FACTURA",'Registrar expedidas_ingresos'!F56),'CODIGO-LITERAL'!$C:$D,2,FALSE))</f>
        <v/>
      </c>
      <c r="G56" s="62"/>
      <c r="H56" s="63"/>
      <c r="I56" s="64" t="str">
        <f>IF('Registrar expedidas_ingresos'!I56="","",'Registrar expedidas_ingresos'!I56)</f>
        <v/>
      </c>
      <c r="J56" s="64" t="str">
        <f>IF('Registrar expedidas_ingresos'!J56="","",'Registrar expedidas_ingresos'!J56)</f>
        <v/>
      </c>
      <c r="K56" s="60" t="str">
        <f>IF('Registrar expedidas_ingresos'!K56="","",'Registrar expedidas_ingresos'!K56)</f>
        <v/>
      </c>
      <c r="L56" s="60" t="str">
        <f>IF('Registrar expedidas_ingresos'!L56="","",'Registrar expedidas_ingresos'!L56)</f>
        <v/>
      </c>
      <c r="M56" s="60" t="str">
        <f>IF('Registrar expedidas_ingresos'!M56="","",'Registrar expedidas_ingresos'!M56)</f>
        <v/>
      </c>
      <c r="N56" s="61" t="str">
        <f>IF(OR(F56="F2",LEFT('Registrar expedidas_ingresos'!N56,2)="01"),"",IF(ISERROR(VLOOKUP(CONCATENATE("TIPO NIF",'Registrar expedidas_ingresos'!N56),'CODIGO-LITERAL'!$C:$D,2,FALSE)),"",VLOOKUP(CONCATENATE("TIPO NIF",'Registrar expedidas_ingresos'!N56),'CODIGO-LITERAL'!$C:$D,2,FALSE)))</f>
        <v/>
      </c>
      <c r="O56" s="60" t="str">
        <f>IF(OR('Registrar expedidas_ingresos'!O56="",N56="02",F56="F2"),"",'Registrar expedidas_ingresos'!O56)</f>
        <v/>
      </c>
      <c r="P56" s="60" t="str">
        <f>IF('Registrar expedidas_ingresos'!P56="","",'Registrar expedidas_ingresos'!P56)</f>
        <v/>
      </c>
      <c r="Q56" s="60" t="str">
        <f>IF(F56="F2","VENTAS A CONSUMIDOR FINAL",IF('Registrar expedidas_ingresos'!Q56="","",'Registrar expedidas_ingresos'!Q56))</f>
        <v/>
      </c>
      <c r="R56" s="61" t="str">
        <f>IF(F56="DV","02",IF(ISERROR(VLOOKUP(CONCATENATE("CLAVE OPERACION",'Registrar expedidas_ingresos'!R56),'CODIGO-LITERAL'!$C:$D,2,FALSE)),"",VLOOKUP(CONCATENATE("CLAVE OPERACION",'Registrar expedidas_ingresos'!R56),'CODIGO-LITERAL'!$C:$D,2,FALSE)))</f>
        <v/>
      </c>
      <c r="S56" s="61" t="str">
        <f>IF(R56="03","S1",
 IF(R56="08","N2",
  IF(ISERROR(VLOOKUP(CONCATENATE("CALIFICACION OPERACION",'Registrar expedidas_ingresos'!S56),'CODIGO-LITERAL'!$C:$D,2,FALSE)),"",VLOOKUP(CONCATENATE("CALIFICACION OPERACION",'Registrar expedidas_ingresos'!S56),'CODIGO-LITERAL'!$C:$D,2,FALSE))))</f>
        <v/>
      </c>
      <c r="T56" s="61" t="str">
        <f>IF(R56="03","",IF(R56="08","",IF(ISERROR(VLOOKUP(CONCATENATE("OPERACION EXENTA",'Registrar expedidas_ingresos'!T56),'CODIGO-LITERAL'!$C:$D,2,FALSE)),"",VLOOKUP(CONCATENATE("OPERACION EXENTA",'Registrar expedidas_ingresos'!T56),'CODIGO-LITERAL'!$C:$D,2,FALSE))))</f>
        <v/>
      </c>
      <c r="U56" s="60" t="str">
        <f t="shared" si="2"/>
        <v/>
      </c>
      <c r="V56" s="60" t="str">
        <f>IF('Registrar expedidas_ingresos'!V56="","",ROUND('Registrar expedidas_ingresos'!V56,2))</f>
        <v/>
      </c>
      <c r="W56" s="60" t="str">
        <f>IF(S56="S2",0,IF('Registrar expedidas_ingresos'!W56="","",'Registrar expedidas_ingresos'!W56))</f>
        <v/>
      </c>
      <c r="X56" s="60" t="str">
        <f>IF(S56="S2",0,IF('Registrar expedidas_ingresos'!X56="","",ROUND('Registrar expedidas_ingresos'!X56,2)))</f>
        <v/>
      </c>
      <c r="Y56" s="60" t="str">
        <f>IF('Registrar expedidas_ingresos'!Y56="","",'Registrar expedidas_ingresos'!Y56)</f>
        <v/>
      </c>
      <c r="Z56" s="60" t="str">
        <f>IF('Registrar expedidas_ingresos'!Z56="","",ROUND('Registrar expedidas_ingresos'!Z56,2))</f>
        <v/>
      </c>
      <c r="AA56" s="64" t="str">
        <f>IF(R56&lt;&gt;"07","",IF('Registrar expedidas_ingresos'!AA56="","",'Registrar expedidas_ingresos'!AA56))</f>
        <v/>
      </c>
      <c r="AB56" s="60" t="str">
        <f>IF(R56&lt;&gt;"07","",IF('Registrar expedidas_ingresos'!AB56="","",'Registrar expedidas_ingresos'!AB56))</f>
        <v/>
      </c>
      <c r="AC56" s="61" t="str">
        <f>IF(R56&lt;&gt;"07","",IF(ISERROR(VLOOKUP(CONCATENATE("MEDIO UTILIZADO",'Registrar expedidas_ingresos'!AC56),'CODIGO-LITERAL'!$C:$D,2,FALSE)),"",VLOOKUP(CONCATENATE("MEDIO UTILIZADO",'Registrar expedidas_ingresos'!AC56),'CODIGO-LITERAL'!$C:$D,2,FALSE)))</f>
        <v/>
      </c>
      <c r="AD56" s="60" t="str">
        <f>IF(R56&lt;&gt;"07","",IF('Registrar expedidas_ingresos'!AD56="","",'Registrar expedidas_ingresos'!AD56))</f>
        <v/>
      </c>
      <c r="AE56" s="65"/>
      <c r="AF56" s="65"/>
      <c r="AG56" s="60" t="str">
        <f>IF('Registrar expedidas_ingresos'!AG56="","",'Registrar expedidas_ingresos'!AG56)</f>
        <v/>
      </c>
      <c r="AH56" s="61" t="str">
        <f>IF(ISERROR(VLOOKUP(CONCATENATE("SITUACION",'Registrar expedidas_ingresos'!AH56),'CODIGO-LITERAL'!$C:$D,2,FALSE)),"",VLOOKUP(CONCATENATE("SITUACION",'Registrar expedidas_ingresos'!AH56),'CODIGO-LITERAL'!$C:$D,2,FALSE))</f>
        <v/>
      </c>
      <c r="AI56" s="60" t="str">
        <f>IF('Registrar expedidas_ingresos'!AI56="","",'Registrar expedidas_ingresos'!AI56)</f>
        <v/>
      </c>
      <c r="AJ56" s="60" t="str">
        <f>IF('Registrar expedidas_ingresos'!AJ56="","",'Registrar expedidas_ingresos'!AJ56)</f>
        <v/>
      </c>
    </row>
    <row r="57" spans="1:36" x14ac:dyDescent="0.25">
      <c r="A57" s="59" t="str">
        <f>IF('Registrar expedidas_ingresos'!J57="",IF('Registrar expedidas_ingresos'!I57="","",YEAR('Registrar expedidas_ingresos'!I57)),YEAR('Registrar expedidas_ingresos'!J57))</f>
        <v/>
      </c>
      <c r="B57" s="60" t="str">
        <f>IF('Registrar expedidas_ingresos'!B57="","",'Registrar expedidas_ingresos'!B57)</f>
        <v/>
      </c>
      <c r="C57" s="60" t="str">
        <f>IF('Registrar expedidas_ingresos'!C57="","",VLOOKUP(CONCATENATE("ACTIVIDAD",'Registrar expedidas_ingresos'!C57),'CODIGO-LITERAL'!C:D,2,FALSE))</f>
        <v/>
      </c>
      <c r="D57" s="60" t="str">
        <f>IF(OR(C57="C",C57="D"),"",IF(ISERROR(VLOOKUP(CONCATENATE(C57,'Registrar expedidas_ingresos'!D57),'CODIGO-LITERAL'!$C:$D,2,FALSE)),"",VLOOKUP(CONCATENATE(C57,'Registrar expedidas_ingresos'!D57),'CODIGO-LITERAL'!$C:$D,2,FALSE)))</f>
        <v/>
      </c>
      <c r="E57" s="60" t="str">
        <f>IF('Registrar expedidas_ingresos'!E57="","",'Registrar expedidas_ingresos'!E57)</f>
        <v/>
      </c>
      <c r="F57" s="61" t="str">
        <f>IF(ISERROR(VLOOKUP(CONCATENATE("TIPO FACTURA",'Registrar expedidas_ingresos'!F57),'CODIGO-LITERAL'!$C:$D,2,FALSE)),"",VLOOKUP(CONCATENATE("TIPO FACTURA",'Registrar expedidas_ingresos'!F57),'CODIGO-LITERAL'!$C:$D,2,FALSE))</f>
        <v/>
      </c>
      <c r="G57" s="62"/>
      <c r="H57" s="63"/>
      <c r="I57" s="64" t="str">
        <f>IF('Registrar expedidas_ingresos'!I57="","",'Registrar expedidas_ingresos'!I57)</f>
        <v/>
      </c>
      <c r="J57" s="64" t="str">
        <f>IF('Registrar expedidas_ingresos'!J57="","",'Registrar expedidas_ingresos'!J57)</f>
        <v/>
      </c>
      <c r="K57" s="60" t="str">
        <f>IF('Registrar expedidas_ingresos'!K57="","",'Registrar expedidas_ingresos'!K57)</f>
        <v/>
      </c>
      <c r="L57" s="60" t="str">
        <f>IF('Registrar expedidas_ingresos'!L57="","",'Registrar expedidas_ingresos'!L57)</f>
        <v/>
      </c>
      <c r="M57" s="60" t="str">
        <f>IF('Registrar expedidas_ingresos'!M57="","",'Registrar expedidas_ingresos'!M57)</f>
        <v/>
      </c>
      <c r="N57" s="61" t="str">
        <f>IF(OR(F57="F2",LEFT('Registrar expedidas_ingresos'!N57,2)="01"),"",IF(ISERROR(VLOOKUP(CONCATENATE("TIPO NIF",'Registrar expedidas_ingresos'!N57),'CODIGO-LITERAL'!$C:$D,2,FALSE)),"",VLOOKUP(CONCATENATE("TIPO NIF",'Registrar expedidas_ingresos'!N57),'CODIGO-LITERAL'!$C:$D,2,FALSE)))</f>
        <v/>
      </c>
      <c r="O57" s="60" t="str">
        <f>IF(OR('Registrar expedidas_ingresos'!O57="",N57="02",F57="F2"),"",'Registrar expedidas_ingresos'!O57)</f>
        <v/>
      </c>
      <c r="P57" s="60" t="str">
        <f>IF('Registrar expedidas_ingresos'!P57="","",'Registrar expedidas_ingresos'!P57)</f>
        <v/>
      </c>
      <c r="Q57" s="60" t="str">
        <f>IF(F57="F2","VENTAS A CONSUMIDOR FINAL",IF('Registrar expedidas_ingresos'!Q57="","",'Registrar expedidas_ingresos'!Q57))</f>
        <v/>
      </c>
      <c r="R57" s="61" t="str">
        <f>IF(F57="DV","02",IF(ISERROR(VLOOKUP(CONCATENATE("CLAVE OPERACION",'Registrar expedidas_ingresos'!R57),'CODIGO-LITERAL'!$C:$D,2,FALSE)),"",VLOOKUP(CONCATENATE("CLAVE OPERACION",'Registrar expedidas_ingresos'!R57),'CODIGO-LITERAL'!$C:$D,2,FALSE)))</f>
        <v/>
      </c>
      <c r="S57" s="61" t="str">
        <f>IF(R57="03","S1",
 IF(R57="08","N2",
  IF(ISERROR(VLOOKUP(CONCATENATE("CALIFICACION OPERACION",'Registrar expedidas_ingresos'!S57),'CODIGO-LITERAL'!$C:$D,2,FALSE)),"",VLOOKUP(CONCATENATE("CALIFICACION OPERACION",'Registrar expedidas_ingresos'!S57),'CODIGO-LITERAL'!$C:$D,2,FALSE))))</f>
        <v/>
      </c>
      <c r="T57" s="61" t="str">
        <f>IF(R57="03","",IF(R57="08","",IF(ISERROR(VLOOKUP(CONCATENATE("OPERACION EXENTA",'Registrar expedidas_ingresos'!T57),'CODIGO-LITERAL'!$C:$D,2,FALSE)),"",VLOOKUP(CONCATENATE("OPERACION EXENTA",'Registrar expedidas_ingresos'!T57),'CODIGO-LITERAL'!$C:$D,2,FALSE))))</f>
        <v/>
      </c>
      <c r="U57" s="60" t="str">
        <f t="shared" si="2"/>
        <v/>
      </c>
      <c r="V57" s="60" t="str">
        <f>IF('Registrar expedidas_ingresos'!V57="","",ROUND('Registrar expedidas_ingresos'!V57,2))</f>
        <v/>
      </c>
      <c r="W57" s="60" t="str">
        <f>IF(S57="S2",0,IF('Registrar expedidas_ingresos'!W57="","",'Registrar expedidas_ingresos'!W57))</f>
        <v/>
      </c>
      <c r="X57" s="60" t="str">
        <f>IF(S57="S2",0,IF('Registrar expedidas_ingresos'!X57="","",ROUND('Registrar expedidas_ingresos'!X57,2)))</f>
        <v/>
      </c>
      <c r="Y57" s="60" t="str">
        <f>IF('Registrar expedidas_ingresos'!Y57="","",'Registrar expedidas_ingresos'!Y57)</f>
        <v/>
      </c>
      <c r="Z57" s="60" t="str">
        <f>IF('Registrar expedidas_ingresos'!Z57="","",ROUND('Registrar expedidas_ingresos'!Z57,2))</f>
        <v/>
      </c>
      <c r="AA57" s="64" t="str">
        <f>IF(R57&lt;&gt;"07","",IF('Registrar expedidas_ingresos'!AA57="","",'Registrar expedidas_ingresos'!AA57))</f>
        <v/>
      </c>
      <c r="AB57" s="60" t="str">
        <f>IF(R57&lt;&gt;"07","",IF('Registrar expedidas_ingresos'!AB57="","",'Registrar expedidas_ingresos'!AB57))</f>
        <v/>
      </c>
      <c r="AC57" s="61" t="str">
        <f>IF(R57&lt;&gt;"07","",IF(ISERROR(VLOOKUP(CONCATENATE("MEDIO UTILIZADO",'Registrar expedidas_ingresos'!AC57),'CODIGO-LITERAL'!$C:$D,2,FALSE)),"",VLOOKUP(CONCATENATE("MEDIO UTILIZADO",'Registrar expedidas_ingresos'!AC57),'CODIGO-LITERAL'!$C:$D,2,FALSE)))</f>
        <v/>
      </c>
      <c r="AD57" s="60" t="str">
        <f>IF(R57&lt;&gt;"07","",IF('Registrar expedidas_ingresos'!AD57="","",'Registrar expedidas_ingresos'!AD57))</f>
        <v/>
      </c>
      <c r="AE57" s="65"/>
      <c r="AF57" s="65"/>
      <c r="AG57" s="60" t="str">
        <f>IF('Registrar expedidas_ingresos'!AG57="","",'Registrar expedidas_ingresos'!AG57)</f>
        <v/>
      </c>
      <c r="AH57" s="61" t="str">
        <f>IF(ISERROR(VLOOKUP(CONCATENATE("SITUACION",'Registrar expedidas_ingresos'!AH57),'CODIGO-LITERAL'!$C:$D,2,FALSE)),"",VLOOKUP(CONCATENATE("SITUACION",'Registrar expedidas_ingresos'!AH57),'CODIGO-LITERAL'!$C:$D,2,FALSE))</f>
        <v/>
      </c>
      <c r="AI57" s="60" t="str">
        <f>IF('Registrar expedidas_ingresos'!AI57="","",'Registrar expedidas_ingresos'!AI57)</f>
        <v/>
      </c>
      <c r="AJ57" s="60" t="str">
        <f>IF('Registrar expedidas_ingresos'!AJ57="","",'Registrar expedidas_ingresos'!AJ57)</f>
        <v/>
      </c>
    </row>
    <row r="58" spans="1:36" x14ac:dyDescent="0.25">
      <c r="A58" s="59" t="str">
        <f>IF('Registrar expedidas_ingresos'!J58="",IF('Registrar expedidas_ingresos'!I58="","",YEAR('Registrar expedidas_ingresos'!I58)),YEAR('Registrar expedidas_ingresos'!J58))</f>
        <v/>
      </c>
      <c r="B58" s="60" t="str">
        <f>IF('Registrar expedidas_ingresos'!B58="","",'Registrar expedidas_ingresos'!B58)</f>
        <v/>
      </c>
      <c r="C58" s="60" t="str">
        <f>IF('Registrar expedidas_ingresos'!C58="","",VLOOKUP(CONCATENATE("ACTIVIDAD",'Registrar expedidas_ingresos'!C58),'CODIGO-LITERAL'!C:D,2,FALSE))</f>
        <v/>
      </c>
      <c r="D58" s="60" t="str">
        <f>IF(OR(C58="C",C58="D"),"",IF(ISERROR(VLOOKUP(CONCATENATE(C58,'Registrar expedidas_ingresos'!D58),'CODIGO-LITERAL'!$C:$D,2,FALSE)),"",VLOOKUP(CONCATENATE(C58,'Registrar expedidas_ingresos'!D58),'CODIGO-LITERAL'!$C:$D,2,FALSE)))</f>
        <v/>
      </c>
      <c r="E58" s="60" t="str">
        <f>IF('Registrar expedidas_ingresos'!E58="","",'Registrar expedidas_ingresos'!E58)</f>
        <v/>
      </c>
      <c r="F58" s="61" t="str">
        <f>IF(ISERROR(VLOOKUP(CONCATENATE("TIPO FACTURA",'Registrar expedidas_ingresos'!F58),'CODIGO-LITERAL'!$C:$D,2,FALSE)),"",VLOOKUP(CONCATENATE("TIPO FACTURA",'Registrar expedidas_ingresos'!F58),'CODIGO-LITERAL'!$C:$D,2,FALSE))</f>
        <v/>
      </c>
      <c r="G58" s="62"/>
      <c r="H58" s="63"/>
      <c r="I58" s="64" t="str">
        <f>IF('Registrar expedidas_ingresos'!I58="","",'Registrar expedidas_ingresos'!I58)</f>
        <v/>
      </c>
      <c r="J58" s="64" t="str">
        <f>IF('Registrar expedidas_ingresos'!J58="","",'Registrar expedidas_ingresos'!J58)</f>
        <v/>
      </c>
      <c r="K58" s="60" t="str">
        <f>IF('Registrar expedidas_ingresos'!K58="","",'Registrar expedidas_ingresos'!K58)</f>
        <v/>
      </c>
      <c r="L58" s="60" t="str">
        <f>IF('Registrar expedidas_ingresos'!L58="","",'Registrar expedidas_ingresos'!L58)</f>
        <v/>
      </c>
      <c r="M58" s="60" t="str">
        <f>IF('Registrar expedidas_ingresos'!M58="","",'Registrar expedidas_ingresos'!M58)</f>
        <v/>
      </c>
      <c r="N58" s="61" t="str">
        <f>IF(OR(F58="F2",LEFT('Registrar expedidas_ingresos'!N58,2)="01"),"",IF(ISERROR(VLOOKUP(CONCATENATE("TIPO NIF",'Registrar expedidas_ingresos'!N58),'CODIGO-LITERAL'!$C:$D,2,FALSE)),"",VLOOKUP(CONCATENATE("TIPO NIF",'Registrar expedidas_ingresos'!N58),'CODIGO-LITERAL'!$C:$D,2,FALSE)))</f>
        <v/>
      </c>
      <c r="O58" s="60" t="str">
        <f>IF(OR('Registrar expedidas_ingresos'!O58="",N58="02",F58="F2"),"",'Registrar expedidas_ingresos'!O58)</f>
        <v/>
      </c>
      <c r="P58" s="60" t="str">
        <f>IF('Registrar expedidas_ingresos'!P58="","",'Registrar expedidas_ingresos'!P58)</f>
        <v/>
      </c>
      <c r="Q58" s="60" t="str">
        <f>IF(F58="F2","VENTAS A CONSUMIDOR FINAL",IF('Registrar expedidas_ingresos'!Q58="","",'Registrar expedidas_ingresos'!Q58))</f>
        <v/>
      </c>
      <c r="R58" s="61" t="str">
        <f>IF(F58="DV","02",IF(ISERROR(VLOOKUP(CONCATENATE("CLAVE OPERACION",'Registrar expedidas_ingresos'!R58),'CODIGO-LITERAL'!$C:$D,2,FALSE)),"",VLOOKUP(CONCATENATE("CLAVE OPERACION",'Registrar expedidas_ingresos'!R58),'CODIGO-LITERAL'!$C:$D,2,FALSE)))</f>
        <v/>
      </c>
      <c r="S58" s="61" t="str">
        <f>IF(R58="03","S1",
 IF(R58="08","N2",
  IF(ISERROR(VLOOKUP(CONCATENATE("CALIFICACION OPERACION",'Registrar expedidas_ingresos'!S58),'CODIGO-LITERAL'!$C:$D,2,FALSE)),"",VLOOKUP(CONCATENATE("CALIFICACION OPERACION",'Registrar expedidas_ingresos'!S58),'CODIGO-LITERAL'!$C:$D,2,FALSE))))</f>
        <v/>
      </c>
      <c r="T58" s="61" t="str">
        <f>IF(R58="03","",IF(R58="08","",IF(ISERROR(VLOOKUP(CONCATENATE("OPERACION EXENTA",'Registrar expedidas_ingresos'!T58),'CODIGO-LITERAL'!$C:$D,2,FALSE)),"",VLOOKUP(CONCATENATE("OPERACION EXENTA",'Registrar expedidas_ingresos'!T58),'CODIGO-LITERAL'!$C:$D,2,FALSE))))</f>
        <v/>
      </c>
      <c r="U58" s="60" t="str">
        <f t="shared" si="2"/>
        <v/>
      </c>
      <c r="V58" s="60" t="str">
        <f>IF('Registrar expedidas_ingresos'!V58="","",ROUND('Registrar expedidas_ingresos'!V58,2))</f>
        <v/>
      </c>
      <c r="W58" s="60" t="str">
        <f>IF(S58="S2",0,IF('Registrar expedidas_ingresos'!W58="","",'Registrar expedidas_ingresos'!W58))</f>
        <v/>
      </c>
      <c r="X58" s="60" t="str">
        <f>IF(S58="S2",0,IF('Registrar expedidas_ingresos'!X58="","",ROUND('Registrar expedidas_ingresos'!X58,2)))</f>
        <v/>
      </c>
      <c r="Y58" s="60" t="str">
        <f>IF('Registrar expedidas_ingresos'!Y58="","",'Registrar expedidas_ingresos'!Y58)</f>
        <v/>
      </c>
      <c r="Z58" s="60" t="str">
        <f>IF('Registrar expedidas_ingresos'!Z58="","",ROUND('Registrar expedidas_ingresos'!Z58,2))</f>
        <v/>
      </c>
      <c r="AA58" s="64" t="str">
        <f>IF(R58&lt;&gt;"07","",IF('Registrar expedidas_ingresos'!AA58="","",'Registrar expedidas_ingresos'!AA58))</f>
        <v/>
      </c>
      <c r="AB58" s="60" t="str">
        <f>IF(R58&lt;&gt;"07","",IF('Registrar expedidas_ingresos'!AB58="","",'Registrar expedidas_ingresos'!AB58))</f>
        <v/>
      </c>
      <c r="AC58" s="61" t="str">
        <f>IF(R58&lt;&gt;"07","",IF(ISERROR(VLOOKUP(CONCATENATE("MEDIO UTILIZADO",'Registrar expedidas_ingresos'!AC58),'CODIGO-LITERAL'!$C:$D,2,FALSE)),"",VLOOKUP(CONCATENATE("MEDIO UTILIZADO",'Registrar expedidas_ingresos'!AC58),'CODIGO-LITERAL'!$C:$D,2,FALSE)))</f>
        <v/>
      </c>
      <c r="AD58" s="60" t="str">
        <f>IF(R58&lt;&gt;"07","",IF('Registrar expedidas_ingresos'!AD58="","",'Registrar expedidas_ingresos'!AD58))</f>
        <v/>
      </c>
      <c r="AE58" s="65"/>
      <c r="AF58" s="65"/>
      <c r="AG58" s="60" t="str">
        <f>IF('Registrar expedidas_ingresos'!AG58="","",'Registrar expedidas_ingresos'!AG58)</f>
        <v/>
      </c>
      <c r="AH58" s="61" t="str">
        <f>IF(ISERROR(VLOOKUP(CONCATENATE("SITUACION",'Registrar expedidas_ingresos'!AH58),'CODIGO-LITERAL'!$C:$D,2,FALSE)),"",VLOOKUP(CONCATENATE("SITUACION",'Registrar expedidas_ingresos'!AH58),'CODIGO-LITERAL'!$C:$D,2,FALSE))</f>
        <v/>
      </c>
      <c r="AI58" s="60" t="str">
        <f>IF('Registrar expedidas_ingresos'!AI58="","",'Registrar expedidas_ingresos'!AI58)</f>
        <v/>
      </c>
      <c r="AJ58" s="60" t="str">
        <f>IF('Registrar expedidas_ingresos'!AJ58="","",'Registrar expedidas_ingresos'!AJ58)</f>
        <v/>
      </c>
    </row>
    <row r="59" spans="1:36" x14ac:dyDescent="0.25">
      <c r="A59" s="59" t="str">
        <f>IF('Registrar expedidas_ingresos'!J59="",IF('Registrar expedidas_ingresos'!I59="","",YEAR('Registrar expedidas_ingresos'!I59)),YEAR('Registrar expedidas_ingresos'!J59))</f>
        <v/>
      </c>
      <c r="B59" s="60" t="str">
        <f>IF('Registrar expedidas_ingresos'!B59="","",'Registrar expedidas_ingresos'!B59)</f>
        <v/>
      </c>
      <c r="C59" s="60" t="str">
        <f>IF('Registrar expedidas_ingresos'!C59="","",VLOOKUP(CONCATENATE("ACTIVIDAD",'Registrar expedidas_ingresos'!C59),'CODIGO-LITERAL'!C:D,2,FALSE))</f>
        <v/>
      </c>
      <c r="D59" s="60" t="str">
        <f>IF(OR(C59="C",C59="D"),"",IF(ISERROR(VLOOKUP(CONCATENATE(C59,'Registrar expedidas_ingresos'!D59),'CODIGO-LITERAL'!$C:$D,2,FALSE)),"",VLOOKUP(CONCATENATE(C59,'Registrar expedidas_ingresos'!D59),'CODIGO-LITERAL'!$C:$D,2,FALSE)))</f>
        <v/>
      </c>
      <c r="E59" s="60" t="str">
        <f>IF('Registrar expedidas_ingresos'!E59="","",'Registrar expedidas_ingresos'!E59)</f>
        <v/>
      </c>
      <c r="F59" s="61" t="str">
        <f>IF(ISERROR(VLOOKUP(CONCATENATE("TIPO FACTURA",'Registrar expedidas_ingresos'!F59),'CODIGO-LITERAL'!$C:$D,2,FALSE)),"",VLOOKUP(CONCATENATE("TIPO FACTURA",'Registrar expedidas_ingresos'!F59),'CODIGO-LITERAL'!$C:$D,2,FALSE))</f>
        <v/>
      </c>
      <c r="G59" s="62"/>
      <c r="H59" s="63"/>
      <c r="I59" s="64" t="str">
        <f>IF('Registrar expedidas_ingresos'!I59="","",'Registrar expedidas_ingresos'!I59)</f>
        <v/>
      </c>
      <c r="J59" s="64" t="str">
        <f>IF('Registrar expedidas_ingresos'!J59="","",'Registrar expedidas_ingresos'!J59)</f>
        <v/>
      </c>
      <c r="K59" s="60" t="str">
        <f>IF('Registrar expedidas_ingresos'!K59="","",'Registrar expedidas_ingresos'!K59)</f>
        <v/>
      </c>
      <c r="L59" s="60" t="str">
        <f>IF('Registrar expedidas_ingresos'!L59="","",'Registrar expedidas_ingresos'!L59)</f>
        <v/>
      </c>
      <c r="M59" s="60" t="str">
        <f>IF('Registrar expedidas_ingresos'!M59="","",'Registrar expedidas_ingresos'!M59)</f>
        <v/>
      </c>
      <c r="N59" s="61" t="str">
        <f>IF(OR(F59="F2",LEFT('Registrar expedidas_ingresos'!N59,2)="01"),"",IF(ISERROR(VLOOKUP(CONCATENATE("TIPO NIF",'Registrar expedidas_ingresos'!N59),'CODIGO-LITERAL'!$C:$D,2,FALSE)),"",VLOOKUP(CONCATENATE("TIPO NIF",'Registrar expedidas_ingresos'!N59),'CODIGO-LITERAL'!$C:$D,2,FALSE)))</f>
        <v/>
      </c>
      <c r="O59" s="60" t="str">
        <f>IF(OR('Registrar expedidas_ingresos'!O59="",N59="02",F59="F2"),"",'Registrar expedidas_ingresos'!O59)</f>
        <v/>
      </c>
      <c r="P59" s="60" t="str">
        <f>IF('Registrar expedidas_ingresos'!P59="","",'Registrar expedidas_ingresos'!P59)</f>
        <v/>
      </c>
      <c r="Q59" s="60" t="str">
        <f>IF(F59="F2","VENTAS A CONSUMIDOR FINAL",IF('Registrar expedidas_ingresos'!Q59="","",'Registrar expedidas_ingresos'!Q59))</f>
        <v/>
      </c>
      <c r="R59" s="61" t="str">
        <f>IF(F59="DV","02",IF(ISERROR(VLOOKUP(CONCATENATE("CLAVE OPERACION",'Registrar expedidas_ingresos'!R59),'CODIGO-LITERAL'!$C:$D,2,FALSE)),"",VLOOKUP(CONCATENATE("CLAVE OPERACION",'Registrar expedidas_ingresos'!R59),'CODIGO-LITERAL'!$C:$D,2,FALSE)))</f>
        <v/>
      </c>
      <c r="S59" s="61" t="str">
        <f>IF(R59="03","S1",
 IF(R59="08","N2",
  IF(ISERROR(VLOOKUP(CONCATENATE("CALIFICACION OPERACION",'Registrar expedidas_ingresos'!S59),'CODIGO-LITERAL'!$C:$D,2,FALSE)),"",VLOOKUP(CONCATENATE("CALIFICACION OPERACION",'Registrar expedidas_ingresos'!S59),'CODIGO-LITERAL'!$C:$D,2,FALSE))))</f>
        <v/>
      </c>
      <c r="T59" s="61" t="str">
        <f>IF(R59="03","",IF(R59="08","",IF(ISERROR(VLOOKUP(CONCATENATE("OPERACION EXENTA",'Registrar expedidas_ingresos'!T59),'CODIGO-LITERAL'!$C:$D,2,FALSE)),"",VLOOKUP(CONCATENATE("OPERACION EXENTA",'Registrar expedidas_ingresos'!T59),'CODIGO-LITERAL'!$C:$D,2,FALSE))))</f>
        <v/>
      </c>
      <c r="U59" s="60" t="str">
        <f t="shared" si="2"/>
        <v/>
      </c>
      <c r="V59" s="60" t="str">
        <f>IF('Registrar expedidas_ingresos'!V59="","",ROUND('Registrar expedidas_ingresos'!V59,2))</f>
        <v/>
      </c>
      <c r="W59" s="60" t="str">
        <f>IF(S59="S2",0,IF('Registrar expedidas_ingresos'!W59="","",'Registrar expedidas_ingresos'!W59))</f>
        <v/>
      </c>
      <c r="X59" s="60" t="str">
        <f>IF(S59="S2",0,IF('Registrar expedidas_ingresos'!X59="","",ROUND('Registrar expedidas_ingresos'!X59,2)))</f>
        <v/>
      </c>
      <c r="Y59" s="60" t="str">
        <f>IF('Registrar expedidas_ingresos'!Y59="","",'Registrar expedidas_ingresos'!Y59)</f>
        <v/>
      </c>
      <c r="Z59" s="60" t="str">
        <f>IF('Registrar expedidas_ingresos'!Z59="","",ROUND('Registrar expedidas_ingresos'!Z59,2))</f>
        <v/>
      </c>
      <c r="AA59" s="64" t="str">
        <f>IF(R59&lt;&gt;"07","",IF('Registrar expedidas_ingresos'!AA59="","",'Registrar expedidas_ingresos'!AA59))</f>
        <v/>
      </c>
      <c r="AB59" s="60" t="str">
        <f>IF(R59&lt;&gt;"07","",IF('Registrar expedidas_ingresos'!AB59="","",'Registrar expedidas_ingresos'!AB59))</f>
        <v/>
      </c>
      <c r="AC59" s="61" t="str">
        <f>IF(R59&lt;&gt;"07","",IF(ISERROR(VLOOKUP(CONCATENATE("MEDIO UTILIZADO",'Registrar expedidas_ingresos'!AC59),'CODIGO-LITERAL'!$C:$D,2,FALSE)),"",VLOOKUP(CONCATENATE("MEDIO UTILIZADO",'Registrar expedidas_ingresos'!AC59),'CODIGO-LITERAL'!$C:$D,2,FALSE)))</f>
        <v/>
      </c>
      <c r="AD59" s="60" t="str">
        <f>IF(R59&lt;&gt;"07","",IF('Registrar expedidas_ingresos'!AD59="","",'Registrar expedidas_ingresos'!AD59))</f>
        <v/>
      </c>
      <c r="AE59" s="65"/>
      <c r="AF59" s="65"/>
      <c r="AG59" s="60" t="str">
        <f>IF('Registrar expedidas_ingresos'!AG59="","",'Registrar expedidas_ingresos'!AG59)</f>
        <v/>
      </c>
      <c r="AH59" s="61" t="str">
        <f>IF(ISERROR(VLOOKUP(CONCATENATE("SITUACION",'Registrar expedidas_ingresos'!AH59),'CODIGO-LITERAL'!$C:$D,2,FALSE)),"",VLOOKUP(CONCATENATE("SITUACION",'Registrar expedidas_ingresos'!AH59),'CODIGO-LITERAL'!$C:$D,2,FALSE))</f>
        <v/>
      </c>
      <c r="AI59" s="60" t="str">
        <f>IF('Registrar expedidas_ingresos'!AI59="","",'Registrar expedidas_ingresos'!AI59)</f>
        <v/>
      </c>
      <c r="AJ59" s="60" t="str">
        <f>IF('Registrar expedidas_ingresos'!AJ59="","",'Registrar expedidas_ingresos'!AJ59)</f>
        <v/>
      </c>
    </row>
    <row r="60" spans="1:36" x14ac:dyDescent="0.25">
      <c r="A60" s="59" t="str">
        <f>IF('Registrar expedidas_ingresos'!J60="",IF('Registrar expedidas_ingresos'!I60="","",YEAR('Registrar expedidas_ingresos'!I60)),YEAR('Registrar expedidas_ingresos'!J60))</f>
        <v/>
      </c>
      <c r="B60" s="60" t="str">
        <f>IF('Registrar expedidas_ingresos'!B60="","",'Registrar expedidas_ingresos'!B60)</f>
        <v/>
      </c>
      <c r="C60" s="60" t="str">
        <f>IF('Registrar expedidas_ingresos'!C60="","",VLOOKUP(CONCATENATE("ACTIVIDAD",'Registrar expedidas_ingresos'!C60),'CODIGO-LITERAL'!C:D,2,FALSE))</f>
        <v/>
      </c>
      <c r="D60" s="60" t="str">
        <f>IF(OR(C60="C",C60="D"),"",IF(ISERROR(VLOOKUP(CONCATENATE(C60,'Registrar expedidas_ingresos'!D60),'CODIGO-LITERAL'!$C:$D,2,FALSE)),"",VLOOKUP(CONCATENATE(C60,'Registrar expedidas_ingresos'!D60),'CODIGO-LITERAL'!$C:$D,2,FALSE)))</f>
        <v/>
      </c>
      <c r="E60" s="60" t="str">
        <f>IF('Registrar expedidas_ingresos'!E60="","",'Registrar expedidas_ingresos'!E60)</f>
        <v/>
      </c>
      <c r="F60" s="61" t="str">
        <f>IF(ISERROR(VLOOKUP(CONCATENATE("TIPO FACTURA",'Registrar expedidas_ingresos'!F60),'CODIGO-LITERAL'!$C:$D,2,FALSE)),"",VLOOKUP(CONCATENATE("TIPO FACTURA",'Registrar expedidas_ingresos'!F60),'CODIGO-LITERAL'!$C:$D,2,FALSE))</f>
        <v/>
      </c>
      <c r="G60" s="62"/>
      <c r="H60" s="63"/>
      <c r="I60" s="64" t="str">
        <f>IF('Registrar expedidas_ingresos'!I60="","",'Registrar expedidas_ingresos'!I60)</f>
        <v/>
      </c>
      <c r="J60" s="64" t="str">
        <f>IF('Registrar expedidas_ingresos'!J60="","",'Registrar expedidas_ingresos'!J60)</f>
        <v/>
      </c>
      <c r="K60" s="60" t="str">
        <f>IF('Registrar expedidas_ingresos'!K60="","",'Registrar expedidas_ingresos'!K60)</f>
        <v/>
      </c>
      <c r="L60" s="60" t="str">
        <f>IF('Registrar expedidas_ingresos'!L60="","",'Registrar expedidas_ingresos'!L60)</f>
        <v/>
      </c>
      <c r="M60" s="60" t="str">
        <f>IF('Registrar expedidas_ingresos'!M60="","",'Registrar expedidas_ingresos'!M60)</f>
        <v/>
      </c>
      <c r="N60" s="61" t="str">
        <f>IF(OR(F60="F2",LEFT('Registrar expedidas_ingresos'!N60,2)="01"),"",IF(ISERROR(VLOOKUP(CONCATENATE("TIPO NIF",'Registrar expedidas_ingresos'!N60),'CODIGO-LITERAL'!$C:$D,2,FALSE)),"",VLOOKUP(CONCATENATE("TIPO NIF",'Registrar expedidas_ingresos'!N60),'CODIGO-LITERAL'!$C:$D,2,FALSE)))</f>
        <v/>
      </c>
      <c r="O60" s="60" t="str">
        <f>IF(OR('Registrar expedidas_ingresos'!O60="",N60="02",F60="F2"),"",'Registrar expedidas_ingresos'!O60)</f>
        <v/>
      </c>
      <c r="P60" s="60" t="str">
        <f>IF('Registrar expedidas_ingresos'!P60="","",'Registrar expedidas_ingresos'!P60)</f>
        <v/>
      </c>
      <c r="Q60" s="60" t="str">
        <f>IF(F60="F2","VENTAS A CONSUMIDOR FINAL",IF('Registrar expedidas_ingresos'!Q60="","",'Registrar expedidas_ingresos'!Q60))</f>
        <v/>
      </c>
      <c r="R60" s="61" t="str">
        <f>IF(F60="DV","02",IF(ISERROR(VLOOKUP(CONCATENATE("CLAVE OPERACION",'Registrar expedidas_ingresos'!R60),'CODIGO-LITERAL'!$C:$D,2,FALSE)),"",VLOOKUP(CONCATENATE("CLAVE OPERACION",'Registrar expedidas_ingresos'!R60),'CODIGO-LITERAL'!$C:$D,2,FALSE)))</f>
        <v/>
      </c>
      <c r="S60" s="61" t="str">
        <f>IF(R60="03","S1",
 IF(R60="08","N2",
  IF(ISERROR(VLOOKUP(CONCATENATE("CALIFICACION OPERACION",'Registrar expedidas_ingresos'!S60),'CODIGO-LITERAL'!$C:$D,2,FALSE)),"",VLOOKUP(CONCATENATE("CALIFICACION OPERACION",'Registrar expedidas_ingresos'!S60),'CODIGO-LITERAL'!$C:$D,2,FALSE))))</f>
        <v/>
      </c>
      <c r="T60" s="61" t="str">
        <f>IF(R60="03","",IF(R60="08","",IF(ISERROR(VLOOKUP(CONCATENATE("OPERACION EXENTA",'Registrar expedidas_ingresos'!T60),'CODIGO-LITERAL'!$C:$D,2,FALSE)),"",VLOOKUP(CONCATENATE("OPERACION EXENTA",'Registrar expedidas_ingresos'!T60),'CODIGO-LITERAL'!$C:$D,2,FALSE))))</f>
        <v/>
      </c>
      <c r="U60" s="60" t="str">
        <f t="shared" si="2"/>
        <v/>
      </c>
      <c r="V60" s="60" t="str">
        <f>IF('Registrar expedidas_ingresos'!V60="","",ROUND('Registrar expedidas_ingresos'!V60,2))</f>
        <v/>
      </c>
      <c r="W60" s="60" t="str">
        <f>IF(S60="S2",0,IF('Registrar expedidas_ingresos'!W60="","",'Registrar expedidas_ingresos'!W60))</f>
        <v/>
      </c>
      <c r="X60" s="60" t="str">
        <f>IF(S60="S2",0,IF('Registrar expedidas_ingresos'!X60="","",ROUND('Registrar expedidas_ingresos'!X60,2)))</f>
        <v/>
      </c>
      <c r="Y60" s="60" t="str">
        <f>IF('Registrar expedidas_ingresos'!Y60="","",'Registrar expedidas_ingresos'!Y60)</f>
        <v/>
      </c>
      <c r="Z60" s="60" t="str">
        <f>IF('Registrar expedidas_ingresos'!Z60="","",ROUND('Registrar expedidas_ingresos'!Z60,2))</f>
        <v/>
      </c>
      <c r="AA60" s="64" t="str">
        <f>IF(R60&lt;&gt;"07","",IF('Registrar expedidas_ingresos'!AA60="","",'Registrar expedidas_ingresos'!AA60))</f>
        <v/>
      </c>
      <c r="AB60" s="60" t="str">
        <f>IF(R60&lt;&gt;"07","",IF('Registrar expedidas_ingresos'!AB60="","",'Registrar expedidas_ingresos'!AB60))</f>
        <v/>
      </c>
      <c r="AC60" s="61" t="str">
        <f>IF(R60&lt;&gt;"07","",IF(ISERROR(VLOOKUP(CONCATENATE("MEDIO UTILIZADO",'Registrar expedidas_ingresos'!AC60),'CODIGO-LITERAL'!$C:$D,2,FALSE)),"",VLOOKUP(CONCATENATE("MEDIO UTILIZADO",'Registrar expedidas_ingresos'!AC60),'CODIGO-LITERAL'!$C:$D,2,FALSE)))</f>
        <v/>
      </c>
      <c r="AD60" s="60" t="str">
        <f>IF(R60&lt;&gt;"07","",IF('Registrar expedidas_ingresos'!AD60="","",'Registrar expedidas_ingresos'!AD60))</f>
        <v/>
      </c>
      <c r="AE60" s="65"/>
      <c r="AF60" s="65"/>
      <c r="AG60" s="60" t="str">
        <f>IF('Registrar expedidas_ingresos'!AG60="","",'Registrar expedidas_ingresos'!AG60)</f>
        <v/>
      </c>
      <c r="AH60" s="61" t="str">
        <f>IF(ISERROR(VLOOKUP(CONCATENATE("SITUACION",'Registrar expedidas_ingresos'!AH60),'CODIGO-LITERAL'!$C:$D,2,FALSE)),"",VLOOKUP(CONCATENATE("SITUACION",'Registrar expedidas_ingresos'!AH60),'CODIGO-LITERAL'!$C:$D,2,FALSE))</f>
        <v/>
      </c>
      <c r="AI60" s="60" t="str">
        <f>IF('Registrar expedidas_ingresos'!AI60="","",'Registrar expedidas_ingresos'!AI60)</f>
        <v/>
      </c>
      <c r="AJ60" s="60" t="str">
        <f>IF('Registrar expedidas_ingresos'!AJ60="","",'Registrar expedidas_ingresos'!AJ60)</f>
        <v/>
      </c>
    </row>
    <row r="61" spans="1:36" x14ac:dyDescent="0.25">
      <c r="A61" s="59" t="str">
        <f>IF('Registrar expedidas_ingresos'!J61="",IF('Registrar expedidas_ingresos'!I61="","",YEAR('Registrar expedidas_ingresos'!I61)),YEAR('Registrar expedidas_ingresos'!J61))</f>
        <v/>
      </c>
      <c r="B61" s="60" t="str">
        <f>IF('Registrar expedidas_ingresos'!B61="","",'Registrar expedidas_ingresos'!B61)</f>
        <v/>
      </c>
      <c r="C61" s="60" t="str">
        <f>IF('Registrar expedidas_ingresos'!C61="","",VLOOKUP(CONCATENATE("ACTIVIDAD",'Registrar expedidas_ingresos'!C61),'CODIGO-LITERAL'!C:D,2,FALSE))</f>
        <v/>
      </c>
      <c r="D61" s="60" t="str">
        <f>IF(OR(C61="C",C61="D"),"",IF(ISERROR(VLOOKUP(CONCATENATE(C61,'Registrar expedidas_ingresos'!D61),'CODIGO-LITERAL'!$C:$D,2,FALSE)),"",VLOOKUP(CONCATENATE(C61,'Registrar expedidas_ingresos'!D61),'CODIGO-LITERAL'!$C:$D,2,FALSE)))</f>
        <v/>
      </c>
      <c r="E61" s="60" t="str">
        <f>IF('Registrar expedidas_ingresos'!E61="","",'Registrar expedidas_ingresos'!E61)</f>
        <v/>
      </c>
      <c r="F61" s="61" t="str">
        <f>IF(ISERROR(VLOOKUP(CONCATENATE("TIPO FACTURA",'Registrar expedidas_ingresos'!F61),'CODIGO-LITERAL'!$C:$D,2,FALSE)),"",VLOOKUP(CONCATENATE("TIPO FACTURA",'Registrar expedidas_ingresos'!F61),'CODIGO-LITERAL'!$C:$D,2,FALSE))</f>
        <v/>
      </c>
      <c r="G61" s="62"/>
      <c r="H61" s="63"/>
      <c r="I61" s="64" t="str">
        <f>IF('Registrar expedidas_ingresos'!I61="","",'Registrar expedidas_ingresos'!I61)</f>
        <v/>
      </c>
      <c r="J61" s="64" t="str">
        <f>IF('Registrar expedidas_ingresos'!J61="","",'Registrar expedidas_ingresos'!J61)</f>
        <v/>
      </c>
      <c r="K61" s="60" t="str">
        <f>IF('Registrar expedidas_ingresos'!K61="","",'Registrar expedidas_ingresos'!K61)</f>
        <v/>
      </c>
      <c r="L61" s="60" t="str">
        <f>IF('Registrar expedidas_ingresos'!L61="","",'Registrar expedidas_ingresos'!L61)</f>
        <v/>
      </c>
      <c r="M61" s="60" t="str">
        <f>IF('Registrar expedidas_ingresos'!M61="","",'Registrar expedidas_ingresos'!M61)</f>
        <v/>
      </c>
      <c r="N61" s="61" t="str">
        <f>IF(OR(F61="F2",LEFT('Registrar expedidas_ingresos'!N61,2)="01"),"",IF(ISERROR(VLOOKUP(CONCATENATE("TIPO NIF",'Registrar expedidas_ingresos'!N61),'CODIGO-LITERAL'!$C:$D,2,FALSE)),"",VLOOKUP(CONCATENATE("TIPO NIF",'Registrar expedidas_ingresos'!N61),'CODIGO-LITERAL'!$C:$D,2,FALSE)))</f>
        <v/>
      </c>
      <c r="O61" s="60" t="str">
        <f>IF(OR('Registrar expedidas_ingresos'!O61="",N61="02",F61="F2"),"",'Registrar expedidas_ingresos'!O61)</f>
        <v/>
      </c>
      <c r="P61" s="60" t="str">
        <f>IF('Registrar expedidas_ingresos'!P61="","",'Registrar expedidas_ingresos'!P61)</f>
        <v/>
      </c>
      <c r="Q61" s="60" t="str">
        <f>IF(F61="F2","VENTAS A CONSUMIDOR FINAL",IF('Registrar expedidas_ingresos'!Q61="","",'Registrar expedidas_ingresos'!Q61))</f>
        <v/>
      </c>
      <c r="R61" s="61" t="str">
        <f>IF(F61="DV","02",IF(ISERROR(VLOOKUP(CONCATENATE("CLAVE OPERACION",'Registrar expedidas_ingresos'!R61),'CODIGO-LITERAL'!$C:$D,2,FALSE)),"",VLOOKUP(CONCATENATE("CLAVE OPERACION",'Registrar expedidas_ingresos'!R61),'CODIGO-LITERAL'!$C:$D,2,FALSE)))</f>
        <v/>
      </c>
      <c r="S61" s="61" t="str">
        <f>IF(R61="03","S1",
 IF(R61="08","N2",
  IF(ISERROR(VLOOKUP(CONCATENATE("CALIFICACION OPERACION",'Registrar expedidas_ingresos'!S61),'CODIGO-LITERAL'!$C:$D,2,FALSE)),"",VLOOKUP(CONCATENATE("CALIFICACION OPERACION",'Registrar expedidas_ingresos'!S61),'CODIGO-LITERAL'!$C:$D,2,FALSE))))</f>
        <v/>
      </c>
      <c r="T61" s="61" t="str">
        <f>IF(R61="03","",IF(R61="08","",IF(ISERROR(VLOOKUP(CONCATENATE("OPERACION EXENTA",'Registrar expedidas_ingresos'!T61),'CODIGO-LITERAL'!$C:$D,2,FALSE)),"",VLOOKUP(CONCATENATE("OPERACION EXENTA",'Registrar expedidas_ingresos'!T61),'CODIGO-LITERAL'!$C:$D,2,FALSE))))</f>
        <v/>
      </c>
      <c r="U61" s="60" t="str">
        <f t="shared" si="2"/>
        <v/>
      </c>
      <c r="V61" s="60" t="str">
        <f>IF('Registrar expedidas_ingresos'!V61="","",ROUND('Registrar expedidas_ingresos'!V61,2))</f>
        <v/>
      </c>
      <c r="W61" s="60" t="str">
        <f>IF(S61="S2",0,IF('Registrar expedidas_ingresos'!W61="","",'Registrar expedidas_ingresos'!W61))</f>
        <v/>
      </c>
      <c r="X61" s="60" t="str">
        <f>IF(S61="S2",0,IF('Registrar expedidas_ingresos'!X61="","",ROUND('Registrar expedidas_ingresos'!X61,2)))</f>
        <v/>
      </c>
      <c r="Y61" s="60" t="str">
        <f>IF('Registrar expedidas_ingresos'!Y61="","",'Registrar expedidas_ingresos'!Y61)</f>
        <v/>
      </c>
      <c r="Z61" s="60" t="str">
        <f>IF('Registrar expedidas_ingresos'!Z61="","",ROUND('Registrar expedidas_ingresos'!Z61,2))</f>
        <v/>
      </c>
      <c r="AA61" s="64" t="str">
        <f>IF(R61&lt;&gt;"07","",IF('Registrar expedidas_ingresos'!AA61="","",'Registrar expedidas_ingresos'!AA61))</f>
        <v/>
      </c>
      <c r="AB61" s="60" t="str">
        <f>IF(R61&lt;&gt;"07","",IF('Registrar expedidas_ingresos'!AB61="","",'Registrar expedidas_ingresos'!AB61))</f>
        <v/>
      </c>
      <c r="AC61" s="61" t="str">
        <f>IF(R61&lt;&gt;"07","",IF(ISERROR(VLOOKUP(CONCATENATE("MEDIO UTILIZADO",'Registrar expedidas_ingresos'!AC61),'CODIGO-LITERAL'!$C:$D,2,FALSE)),"",VLOOKUP(CONCATENATE("MEDIO UTILIZADO",'Registrar expedidas_ingresos'!AC61),'CODIGO-LITERAL'!$C:$D,2,FALSE)))</f>
        <v/>
      </c>
      <c r="AD61" s="60" t="str">
        <f>IF(R61&lt;&gt;"07","",IF('Registrar expedidas_ingresos'!AD61="","",'Registrar expedidas_ingresos'!AD61))</f>
        <v/>
      </c>
      <c r="AE61" s="65"/>
      <c r="AF61" s="65"/>
      <c r="AG61" s="60" t="str">
        <f>IF('Registrar expedidas_ingresos'!AG61="","",'Registrar expedidas_ingresos'!AG61)</f>
        <v/>
      </c>
      <c r="AH61" s="61" t="str">
        <f>IF(ISERROR(VLOOKUP(CONCATENATE("SITUACION",'Registrar expedidas_ingresos'!AH61),'CODIGO-LITERAL'!$C:$D,2,FALSE)),"",VLOOKUP(CONCATENATE("SITUACION",'Registrar expedidas_ingresos'!AH61),'CODIGO-LITERAL'!$C:$D,2,FALSE))</f>
        <v/>
      </c>
      <c r="AI61" s="60" t="str">
        <f>IF('Registrar expedidas_ingresos'!AI61="","",'Registrar expedidas_ingresos'!AI61)</f>
        <v/>
      </c>
      <c r="AJ61" s="60" t="str">
        <f>IF('Registrar expedidas_ingresos'!AJ61="","",'Registrar expedidas_ingresos'!AJ61)</f>
        <v/>
      </c>
    </row>
    <row r="62" spans="1:36" x14ac:dyDescent="0.25">
      <c r="A62" s="59" t="str">
        <f>IF('Registrar expedidas_ingresos'!J62="",IF('Registrar expedidas_ingresos'!I62="","",YEAR('Registrar expedidas_ingresos'!I62)),YEAR('Registrar expedidas_ingresos'!J62))</f>
        <v/>
      </c>
      <c r="B62" s="60" t="str">
        <f>IF('Registrar expedidas_ingresos'!B62="","",'Registrar expedidas_ingresos'!B62)</f>
        <v/>
      </c>
      <c r="C62" s="60" t="str">
        <f>IF('Registrar expedidas_ingresos'!C62="","",VLOOKUP(CONCATENATE("ACTIVIDAD",'Registrar expedidas_ingresos'!C62),'CODIGO-LITERAL'!C:D,2,FALSE))</f>
        <v/>
      </c>
      <c r="D62" s="60" t="str">
        <f>IF(OR(C62="C",C62="D"),"",IF(ISERROR(VLOOKUP(CONCATENATE(C62,'Registrar expedidas_ingresos'!D62),'CODIGO-LITERAL'!$C:$D,2,FALSE)),"",VLOOKUP(CONCATENATE(C62,'Registrar expedidas_ingresos'!D62),'CODIGO-LITERAL'!$C:$D,2,FALSE)))</f>
        <v/>
      </c>
      <c r="E62" s="60" t="str">
        <f>IF('Registrar expedidas_ingresos'!E62="","",'Registrar expedidas_ingresos'!E62)</f>
        <v/>
      </c>
      <c r="F62" s="61" t="str">
        <f>IF(ISERROR(VLOOKUP(CONCATENATE("TIPO FACTURA",'Registrar expedidas_ingresos'!F62),'CODIGO-LITERAL'!$C:$D,2,FALSE)),"",VLOOKUP(CONCATENATE("TIPO FACTURA",'Registrar expedidas_ingresos'!F62),'CODIGO-LITERAL'!$C:$D,2,FALSE))</f>
        <v/>
      </c>
      <c r="G62" s="62"/>
      <c r="H62" s="63"/>
      <c r="I62" s="64" t="str">
        <f>IF('Registrar expedidas_ingresos'!I62="","",'Registrar expedidas_ingresos'!I62)</f>
        <v/>
      </c>
      <c r="J62" s="64" t="str">
        <f>IF('Registrar expedidas_ingresos'!J62="","",'Registrar expedidas_ingresos'!J62)</f>
        <v/>
      </c>
      <c r="K62" s="60" t="str">
        <f>IF('Registrar expedidas_ingresos'!K62="","",'Registrar expedidas_ingresos'!K62)</f>
        <v/>
      </c>
      <c r="L62" s="60" t="str">
        <f>IF('Registrar expedidas_ingresos'!L62="","",'Registrar expedidas_ingresos'!L62)</f>
        <v/>
      </c>
      <c r="M62" s="60" t="str">
        <f>IF('Registrar expedidas_ingresos'!M62="","",'Registrar expedidas_ingresos'!M62)</f>
        <v/>
      </c>
      <c r="N62" s="61" t="str">
        <f>IF(OR(F62="F2",LEFT('Registrar expedidas_ingresos'!N62,2)="01"),"",IF(ISERROR(VLOOKUP(CONCATENATE("TIPO NIF",'Registrar expedidas_ingresos'!N62),'CODIGO-LITERAL'!$C:$D,2,FALSE)),"",VLOOKUP(CONCATENATE("TIPO NIF",'Registrar expedidas_ingresos'!N62),'CODIGO-LITERAL'!$C:$D,2,FALSE)))</f>
        <v/>
      </c>
      <c r="O62" s="60" t="str">
        <f>IF(OR('Registrar expedidas_ingresos'!O62="",N62="02",F62="F2"),"",'Registrar expedidas_ingresos'!O62)</f>
        <v/>
      </c>
      <c r="P62" s="60" t="str">
        <f>IF('Registrar expedidas_ingresos'!P62="","",'Registrar expedidas_ingresos'!P62)</f>
        <v/>
      </c>
      <c r="Q62" s="60" t="str">
        <f>IF(F62="F2","VENTAS A CONSUMIDOR FINAL",IF('Registrar expedidas_ingresos'!Q62="","",'Registrar expedidas_ingresos'!Q62))</f>
        <v/>
      </c>
      <c r="R62" s="61" t="str">
        <f>IF(F62="DV","02",IF(ISERROR(VLOOKUP(CONCATENATE("CLAVE OPERACION",'Registrar expedidas_ingresos'!R62),'CODIGO-LITERAL'!$C:$D,2,FALSE)),"",VLOOKUP(CONCATENATE("CLAVE OPERACION",'Registrar expedidas_ingresos'!R62),'CODIGO-LITERAL'!$C:$D,2,FALSE)))</f>
        <v/>
      </c>
      <c r="S62" s="61" t="str">
        <f>IF(R62="03","S1",
 IF(R62="08","N2",
  IF(ISERROR(VLOOKUP(CONCATENATE("CALIFICACION OPERACION",'Registrar expedidas_ingresos'!S62),'CODIGO-LITERAL'!$C:$D,2,FALSE)),"",VLOOKUP(CONCATENATE("CALIFICACION OPERACION",'Registrar expedidas_ingresos'!S62),'CODIGO-LITERAL'!$C:$D,2,FALSE))))</f>
        <v/>
      </c>
      <c r="T62" s="61" t="str">
        <f>IF(R62="03","",IF(R62="08","",IF(ISERROR(VLOOKUP(CONCATENATE("OPERACION EXENTA",'Registrar expedidas_ingresos'!T62),'CODIGO-LITERAL'!$C:$D,2,FALSE)),"",VLOOKUP(CONCATENATE("OPERACION EXENTA",'Registrar expedidas_ingresos'!T62),'CODIGO-LITERAL'!$C:$D,2,FALSE))))</f>
        <v/>
      </c>
      <c r="U62" s="60" t="str">
        <f t="shared" si="2"/>
        <v/>
      </c>
      <c r="V62" s="60" t="str">
        <f>IF('Registrar expedidas_ingresos'!V62="","",ROUND('Registrar expedidas_ingresos'!V62,2))</f>
        <v/>
      </c>
      <c r="W62" s="60" t="str">
        <f>IF(S62="S2",0,IF('Registrar expedidas_ingresos'!W62="","",'Registrar expedidas_ingresos'!W62))</f>
        <v/>
      </c>
      <c r="X62" s="60" t="str">
        <f>IF(S62="S2",0,IF('Registrar expedidas_ingresos'!X62="","",ROUND('Registrar expedidas_ingresos'!X62,2)))</f>
        <v/>
      </c>
      <c r="Y62" s="60" t="str">
        <f>IF('Registrar expedidas_ingresos'!Y62="","",'Registrar expedidas_ingresos'!Y62)</f>
        <v/>
      </c>
      <c r="Z62" s="60" t="str">
        <f>IF('Registrar expedidas_ingresos'!Z62="","",ROUND('Registrar expedidas_ingresos'!Z62,2))</f>
        <v/>
      </c>
      <c r="AA62" s="64" t="str">
        <f>IF(R62&lt;&gt;"07","",IF('Registrar expedidas_ingresos'!AA62="","",'Registrar expedidas_ingresos'!AA62))</f>
        <v/>
      </c>
      <c r="AB62" s="60" t="str">
        <f>IF(R62&lt;&gt;"07","",IF('Registrar expedidas_ingresos'!AB62="","",'Registrar expedidas_ingresos'!AB62))</f>
        <v/>
      </c>
      <c r="AC62" s="61" t="str">
        <f>IF(R62&lt;&gt;"07","",IF(ISERROR(VLOOKUP(CONCATENATE("MEDIO UTILIZADO",'Registrar expedidas_ingresos'!AC62),'CODIGO-LITERAL'!$C:$D,2,FALSE)),"",VLOOKUP(CONCATENATE("MEDIO UTILIZADO",'Registrar expedidas_ingresos'!AC62),'CODIGO-LITERAL'!$C:$D,2,FALSE)))</f>
        <v/>
      </c>
      <c r="AD62" s="60" t="str">
        <f>IF(R62&lt;&gt;"07","",IF('Registrar expedidas_ingresos'!AD62="","",'Registrar expedidas_ingresos'!AD62))</f>
        <v/>
      </c>
      <c r="AE62" s="65"/>
      <c r="AF62" s="65"/>
      <c r="AG62" s="60" t="str">
        <f>IF('Registrar expedidas_ingresos'!AG62="","",'Registrar expedidas_ingresos'!AG62)</f>
        <v/>
      </c>
      <c r="AH62" s="61" t="str">
        <f>IF(ISERROR(VLOOKUP(CONCATENATE("SITUACION",'Registrar expedidas_ingresos'!AH62),'CODIGO-LITERAL'!$C:$D,2,FALSE)),"",VLOOKUP(CONCATENATE("SITUACION",'Registrar expedidas_ingresos'!AH62),'CODIGO-LITERAL'!$C:$D,2,FALSE))</f>
        <v/>
      </c>
      <c r="AI62" s="60" t="str">
        <f>IF('Registrar expedidas_ingresos'!AI62="","",'Registrar expedidas_ingresos'!AI62)</f>
        <v/>
      </c>
      <c r="AJ62" s="60" t="str">
        <f>IF('Registrar expedidas_ingresos'!AJ62="","",'Registrar expedidas_ingresos'!AJ62)</f>
        <v/>
      </c>
    </row>
    <row r="63" spans="1:36" x14ac:dyDescent="0.25">
      <c r="A63" s="59" t="str">
        <f>IF('Registrar expedidas_ingresos'!J63="",IF('Registrar expedidas_ingresos'!I63="","",YEAR('Registrar expedidas_ingresos'!I63)),YEAR('Registrar expedidas_ingresos'!J63))</f>
        <v/>
      </c>
      <c r="B63" s="60" t="str">
        <f>IF('Registrar expedidas_ingresos'!B63="","",'Registrar expedidas_ingresos'!B63)</f>
        <v/>
      </c>
      <c r="C63" s="60" t="str">
        <f>IF('Registrar expedidas_ingresos'!C63="","",VLOOKUP(CONCATENATE("ACTIVIDAD",'Registrar expedidas_ingresos'!C63),'CODIGO-LITERAL'!C:D,2,FALSE))</f>
        <v/>
      </c>
      <c r="D63" s="60" t="str">
        <f>IF(OR(C63="C",C63="D"),"",IF(ISERROR(VLOOKUP(CONCATENATE(C63,'Registrar expedidas_ingresos'!D63),'CODIGO-LITERAL'!$C:$D,2,FALSE)),"",VLOOKUP(CONCATENATE(C63,'Registrar expedidas_ingresos'!D63),'CODIGO-LITERAL'!$C:$D,2,FALSE)))</f>
        <v/>
      </c>
      <c r="E63" s="60" t="str">
        <f>IF('Registrar expedidas_ingresos'!E63="","",'Registrar expedidas_ingresos'!E63)</f>
        <v/>
      </c>
      <c r="F63" s="61" t="str">
        <f>IF(ISERROR(VLOOKUP(CONCATENATE("TIPO FACTURA",'Registrar expedidas_ingresos'!F63),'CODIGO-LITERAL'!$C:$D,2,FALSE)),"",VLOOKUP(CONCATENATE("TIPO FACTURA",'Registrar expedidas_ingresos'!F63),'CODIGO-LITERAL'!$C:$D,2,FALSE))</f>
        <v/>
      </c>
      <c r="G63" s="62"/>
      <c r="H63" s="63"/>
      <c r="I63" s="64" t="str">
        <f>IF('Registrar expedidas_ingresos'!I63="","",'Registrar expedidas_ingresos'!I63)</f>
        <v/>
      </c>
      <c r="J63" s="64" t="str">
        <f>IF('Registrar expedidas_ingresos'!J63="","",'Registrar expedidas_ingresos'!J63)</f>
        <v/>
      </c>
      <c r="K63" s="60" t="str">
        <f>IF('Registrar expedidas_ingresos'!K63="","",'Registrar expedidas_ingresos'!K63)</f>
        <v/>
      </c>
      <c r="L63" s="60" t="str">
        <f>IF('Registrar expedidas_ingresos'!L63="","",'Registrar expedidas_ingresos'!L63)</f>
        <v/>
      </c>
      <c r="M63" s="60" t="str">
        <f>IF('Registrar expedidas_ingresos'!M63="","",'Registrar expedidas_ingresos'!M63)</f>
        <v/>
      </c>
      <c r="N63" s="61" t="str">
        <f>IF(OR(F63="F2",LEFT('Registrar expedidas_ingresos'!N63,2)="01"),"",IF(ISERROR(VLOOKUP(CONCATENATE("TIPO NIF",'Registrar expedidas_ingresos'!N63),'CODIGO-LITERAL'!$C:$D,2,FALSE)),"",VLOOKUP(CONCATENATE("TIPO NIF",'Registrar expedidas_ingresos'!N63),'CODIGO-LITERAL'!$C:$D,2,FALSE)))</f>
        <v/>
      </c>
      <c r="O63" s="60" t="str">
        <f>IF(OR('Registrar expedidas_ingresos'!O63="",N63="02",F63="F2"),"",'Registrar expedidas_ingresos'!O63)</f>
        <v/>
      </c>
      <c r="P63" s="60" t="str">
        <f>IF('Registrar expedidas_ingresos'!P63="","",'Registrar expedidas_ingresos'!P63)</f>
        <v/>
      </c>
      <c r="Q63" s="60" t="str">
        <f>IF(F63="F2","VENTAS A CONSUMIDOR FINAL",IF('Registrar expedidas_ingresos'!Q63="","",'Registrar expedidas_ingresos'!Q63))</f>
        <v/>
      </c>
      <c r="R63" s="61" t="str">
        <f>IF(F63="DV","02",IF(ISERROR(VLOOKUP(CONCATENATE("CLAVE OPERACION",'Registrar expedidas_ingresos'!R63),'CODIGO-LITERAL'!$C:$D,2,FALSE)),"",VLOOKUP(CONCATENATE("CLAVE OPERACION",'Registrar expedidas_ingresos'!R63),'CODIGO-LITERAL'!$C:$D,2,FALSE)))</f>
        <v/>
      </c>
      <c r="S63" s="61" t="str">
        <f>IF(R63="03","S1",
 IF(R63="08","N2",
  IF(ISERROR(VLOOKUP(CONCATENATE("CALIFICACION OPERACION",'Registrar expedidas_ingresos'!S63),'CODIGO-LITERAL'!$C:$D,2,FALSE)),"",VLOOKUP(CONCATENATE("CALIFICACION OPERACION",'Registrar expedidas_ingresos'!S63),'CODIGO-LITERAL'!$C:$D,2,FALSE))))</f>
        <v/>
      </c>
      <c r="T63" s="61" t="str">
        <f>IF(R63="03","",IF(R63="08","",IF(ISERROR(VLOOKUP(CONCATENATE("OPERACION EXENTA",'Registrar expedidas_ingresos'!T63),'CODIGO-LITERAL'!$C:$D,2,FALSE)),"",VLOOKUP(CONCATENATE("OPERACION EXENTA",'Registrar expedidas_ingresos'!T63),'CODIGO-LITERAL'!$C:$D,2,FALSE))))</f>
        <v/>
      </c>
      <c r="U63" s="60" t="str">
        <f t="shared" si="2"/>
        <v/>
      </c>
      <c r="V63" s="60" t="str">
        <f>IF('Registrar expedidas_ingresos'!V63="","",ROUND('Registrar expedidas_ingresos'!V63,2))</f>
        <v/>
      </c>
      <c r="W63" s="60" t="str">
        <f>IF(S63="S2",0,IF('Registrar expedidas_ingresos'!W63="","",'Registrar expedidas_ingresos'!W63))</f>
        <v/>
      </c>
      <c r="X63" s="60" t="str">
        <f>IF(S63="S2",0,IF('Registrar expedidas_ingresos'!X63="","",ROUND('Registrar expedidas_ingresos'!X63,2)))</f>
        <v/>
      </c>
      <c r="Y63" s="60" t="str">
        <f>IF('Registrar expedidas_ingresos'!Y63="","",'Registrar expedidas_ingresos'!Y63)</f>
        <v/>
      </c>
      <c r="Z63" s="60" t="str">
        <f>IF('Registrar expedidas_ingresos'!Z63="","",ROUND('Registrar expedidas_ingresos'!Z63,2))</f>
        <v/>
      </c>
      <c r="AA63" s="64" t="str">
        <f>IF(R63&lt;&gt;"07","",IF('Registrar expedidas_ingresos'!AA63="","",'Registrar expedidas_ingresos'!AA63))</f>
        <v/>
      </c>
      <c r="AB63" s="60" t="str">
        <f>IF(R63&lt;&gt;"07","",IF('Registrar expedidas_ingresos'!AB63="","",'Registrar expedidas_ingresos'!AB63))</f>
        <v/>
      </c>
      <c r="AC63" s="61" t="str">
        <f>IF(R63&lt;&gt;"07","",IF(ISERROR(VLOOKUP(CONCATENATE("MEDIO UTILIZADO",'Registrar expedidas_ingresos'!AC63),'CODIGO-LITERAL'!$C:$D,2,FALSE)),"",VLOOKUP(CONCATENATE("MEDIO UTILIZADO",'Registrar expedidas_ingresos'!AC63),'CODIGO-LITERAL'!$C:$D,2,FALSE)))</f>
        <v/>
      </c>
      <c r="AD63" s="60" t="str">
        <f>IF(R63&lt;&gt;"07","",IF('Registrar expedidas_ingresos'!AD63="","",'Registrar expedidas_ingresos'!AD63))</f>
        <v/>
      </c>
      <c r="AE63" s="65"/>
      <c r="AF63" s="65"/>
      <c r="AG63" s="60" t="str">
        <f>IF('Registrar expedidas_ingresos'!AG63="","",'Registrar expedidas_ingresos'!AG63)</f>
        <v/>
      </c>
      <c r="AH63" s="61" t="str">
        <f>IF(ISERROR(VLOOKUP(CONCATENATE("SITUACION",'Registrar expedidas_ingresos'!AH63),'CODIGO-LITERAL'!$C:$D,2,FALSE)),"",VLOOKUP(CONCATENATE("SITUACION",'Registrar expedidas_ingresos'!AH63),'CODIGO-LITERAL'!$C:$D,2,FALSE))</f>
        <v/>
      </c>
      <c r="AI63" s="60" t="str">
        <f>IF('Registrar expedidas_ingresos'!AI63="","",'Registrar expedidas_ingresos'!AI63)</f>
        <v/>
      </c>
      <c r="AJ63" s="60" t="str">
        <f>IF('Registrar expedidas_ingresos'!AJ63="","",'Registrar expedidas_ingresos'!AJ63)</f>
        <v/>
      </c>
    </row>
    <row r="64" spans="1:36" x14ac:dyDescent="0.25">
      <c r="A64" s="59" t="str">
        <f>IF('Registrar expedidas_ingresos'!J64="",IF('Registrar expedidas_ingresos'!I64="","",YEAR('Registrar expedidas_ingresos'!I64)),YEAR('Registrar expedidas_ingresos'!J64))</f>
        <v/>
      </c>
      <c r="B64" s="60" t="str">
        <f>IF('Registrar expedidas_ingresos'!B64="","",'Registrar expedidas_ingresos'!B64)</f>
        <v/>
      </c>
      <c r="C64" s="60" t="str">
        <f>IF('Registrar expedidas_ingresos'!C64="","",VLOOKUP(CONCATENATE("ACTIVIDAD",'Registrar expedidas_ingresos'!C64),'CODIGO-LITERAL'!C:D,2,FALSE))</f>
        <v/>
      </c>
      <c r="D64" s="60" t="str">
        <f>IF(OR(C64="C",C64="D"),"",IF(ISERROR(VLOOKUP(CONCATENATE(C64,'Registrar expedidas_ingresos'!D64),'CODIGO-LITERAL'!$C:$D,2,FALSE)),"",VLOOKUP(CONCATENATE(C64,'Registrar expedidas_ingresos'!D64),'CODIGO-LITERAL'!$C:$D,2,FALSE)))</f>
        <v/>
      </c>
      <c r="E64" s="60" t="str">
        <f>IF('Registrar expedidas_ingresos'!E64="","",'Registrar expedidas_ingresos'!E64)</f>
        <v/>
      </c>
      <c r="F64" s="61" t="str">
        <f>IF(ISERROR(VLOOKUP(CONCATENATE("TIPO FACTURA",'Registrar expedidas_ingresos'!F64),'CODIGO-LITERAL'!$C:$D,2,FALSE)),"",VLOOKUP(CONCATENATE("TIPO FACTURA",'Registrar expedidas_ingresos'!F64),'CODIGO-LITERAL'!$C:$D,2,FALSE))</f>
        <v/>
      </c>
      <c r="G64" s="62"/>
      <c r="H64" s="63"/>
      <c r="I64" s="64" t="str">
        <f>IF('Registrar expedidas_ingresos'!I64="","",'Registrar expedidas_ingresos'!I64)</f>
        <v/>
      </c>
      <c r="J64" s="64" t="str">
        <f>IF('Registrar expedidas_ingresos'!J64="","",'Registrar expedidas_ingresos'!J64)</f>
        <v/>
      </c>
      <c r="K64" s="60" t="str">
        <f>IF('Registrar expedidas_ingresos'!K64="","",'Registrar expedidas_ingresos'!K64)</f>
        <v/>
      </c>
      <c r="L64" s="60" t="str">
        <f>IF('Registrar expedidas_ingresos'!L64="","",'Registrar expedidas_ingresos'!L64)</f>
        <v/>
      </c>
      <c r="M64" s="60" t="str">
        <f>IF('Registrar expedidas_ingresos'!M64="","",'Registrar expedidas_ingresos'!M64)</f>
        <v/>
      </c>
      <c r="N64" s="61" t="str">
        <f>IF(OR(F64="F2",LEFT('Registrar expedidas_ingresos'!N64,2)="01"),"",IF(ISERROR(VLOOKUP(CONCATENATE("TIPO NIF",'Registrar expedidas_ingresos'!N64),'CODIGO-LITERAL'!$C:$D,2,FALSE)),"",VLOOKUP(CONCATENATE("TIPO NIF",'Registrar expedidas_ingresos'!N64),'CODIGO-LITERAL'!$C:$D,2,FALSE)))</f>
        <v/>
      </c>
      <c r="O64" s="60" t="str">
        <f>IF(OR('Registrar expedidas_ingresos'!O64="",N64="02",F64="F2"),"",'Registrar expedidas_ingresos'!O64)</f>
        <v/>
      </c>
      <c r="P64" s="60" t="str">
        <f>IF('Registrar expedidas_ingresos'!P64="","",'Registrar expedidas_ingresos'!P64)</f>
        <v/>
      </c>
      <c r="Q64" s="60" t="str">
        <f>IF(F64="F2","VENTAS A CONSUMIDOR FINAL",IF('Registrar expedidas_ingresos'!Q64="","",'Registrar expedidas_ingresos'!Q64))</f>
        <v/>
      </c>
      <c r="R64" s="61" t="str">
        <f>IF(F64="DV","02",IF(ISERROR(VLOOKUP(CONCATENATE("CLAVE OPERACION",'Registrar expedidas_ingresos'!R64),'CODIGO-LITERAL'!$C:$D,2,FALSE)),"",VLOOKUP(CONCATENATE("CLAVE OPERACION",'Registrar expedidas_ingresos'!R64),'CODIGO-LITERAL'!$C:$D,2,FALSE)))</f>
        <v/>
      </c>
      <c r="S64" s="61" t="str">
        <f>IF(R64="03","S1",
 IF(R64="08","N2",
  IF(ISERROR(VLOOKUP(CONCATENATE("CALIFICACION OPERACION",'Registrar expedidas_ingresos'!S64),'CODIGO-LITERAL'!$C:$D,2,FALSE)),"",VLOOKUP(CONCATENATE("CALIFICACION OPERACION",'Registrar expedidas_ingresos'!S64),'CODIGO-LITERAL'!$C:$D,2,FALSE))))</f>
        <v/>
      </c>
      <c r="T64" s="61" t="str">
        <f>IF(R64="03","",IF(R64="08","",IF(ISERROR(VLOOKUP(CONCATENATE("OPERACION EXENTA",'Registrar expedidas_ingresos'!T64),'CODIGO-LITERAL'!$C:$D,2,FALSE)),"",VLOOKUP(CONCATENATE("OPERACION EXENTA",'Registrar expedidas_ingresos'!T64),'CODIGO-LITERAL'!$C:$D,2,FALSE))))</f>
        <v/>
      </c>
      <c r="U64" s="60" t="str">
        <f t="shared" si="2"/>
        <v/>
      </c>
      <c r="V64" s="60" t="str">
        <f>IF('Registrar expedidas_ingresos'!V64="","",ROUND('Registrar expedidas_ingresos'!V64,2))</f>
        <v/>
      </c>
      <c r="W64" s="60" t="str">
        <f>IF(S64="S2",0,IF('Registrar expedidas_ingresos'!W64="","",'Registrar expedidas_ingresos'!W64))</f>
        <v/>
      </c>
      <c r="X64" s="60" t="str">
        <f>IF(S64="S2",0,IF('Registrar expedidas_ingresos'!X64="","",ROUND('Registrar expedidas_ingresos'!X64,2)))</f>
        <v/>
      </c>
      <c r="Y64" s="60" t="str">
        <f>IF('Registrar expedidas_ingresos'!Y64="","",'Registrar expedidas_ingresos'!Y64)</f>
        <v/>
      </c>
      <c r="Z64" s="60" t="str">
        <f>IF('Registrar expedidas_ingresos'!Z64="","",ROUND('Registrar expedidas_ingresos'!Z64,2))</f>
        <v/>
      </c>
      <c r="AA64" s="64" t="str">
        <f>IF(R64&lt;&gt;"07","",IF('Registrar expedidas_ingresos'!AA64="","",'Registrar expedidas_ingresos'!AA64))</f>
        <v/>
      </c>
      <c r="AB64" s="60" t="str">
        <f>IF(R64&lt;&gt;"07","",IF('Registrar expedidas_ingresos'!AB64="","",'Registrar expedidas_ingresos'!AB64))</f>
        <v/>
      </c>
      <c r="AC64" s="61" t="str">
        <f>IF(R64&lt;&gt;"07","",IF(ISERROR(VLOOKUP(CONCATENATE("MEDIO UTILIZADO",'Registrar expedidas_ingresos'!AC64),'CODIGO-LITERAL'!$C:$D,2,FALSE)),"",VLOOKUP(CONCATENATE("MEDIO UTILIZADO",'Registrar expedidas_ingresos'!AC64),'CODIGO-LITERAL'!$C:$D,2,FALSE)))</f>
        <v/>
      </c>
      <c r="AD64" s="60" t="str">
        <f>IF(R64&lt;&gt;"07","",IF('Registrar expedidas_ingresos'!AD64="","",'Registrar expedidas_ingresos'!AD64))</f>
        <v/>
      </c>
      <c r="AE64" s="65"/>
      <c r="AF64" s="65"/>
      <c r="AG64" s="60" t="str">
        <f>IF('Registrar expedidas_ingresos'!AG64="","",'Registrar expedidas_ingresos'!AG64)</f>
        <v/>
      </c>
      <c r="AH64" s="61" t="str">
        <f>IF(ISERROR(VLOOKUP(CONCATENATE("SITUACION",'Registrar expedidas_ingresos'!AH64),'CODIGO-LITERAL'!$C:$D,2,FALSE)),"",VLOOKUP(CONCATENATE("SITUACION",'Registrar expedidas_ingresos'!AH64),'CODIGO-LITERAL'!$C:$D,2,FALSE))</f>
        <v/>
      </c>
      <c r="AI64" s="60" t="str">
        <f>IF('Registrar expedidas_ingresos'!AI64="","",'Registrar expedidas_ingresos'!AI64)</f>
        <v/>
      </c>
      <c r="AJ64" s="60" t="str">
        <f>IF('Registrar expedidas_ingresos'!AJ64="","",'Registrar expedidas_ingresos'!AJ64)</f>
        <v/>
      </c>
    </row>
    <row r="65" spans="1:36" x14ac:dyDescent="0.25">
      <c r="A65" s="59" t="str">
        <f>IF('Registrar expedidas_ingresos'!J65="",IF('Registrar expedidas_ingresos'!I65="","",YEAR('Registrar expedidas_ingresos'!I65)),YEAR('Registrar expedidas_ingresos'!J65))</f>
        <v/>
      </c>
      <c r="B65" s="60" t="str">
        <f>IF('Registrar expedidas_ingresos'!B65="","",'Registrar expedidas_ingresos'!B65)</f>
        <v/>
      </c>
      <c r="C65" s="60" t="str">
        <f>IF('Registrar expedidas_ingresos'!C65="","",VLOOKUP(CONCATENATE("ACTIVIDAD",'Registrar expedidas_ingresos'!C65),'CODIGO-LITERAL'!C:D,2,FALSE))</f>
        <v/>
      </c>
      <c r="D65" s="60" t="str">
        <f>IF(OR(C65="C",C65="D"),"",IF(ISERROR(VLOOKUP(CONCATENATE(C65,'Registrar expedidas_ingresos'!D65),'CODIGO-LITERAL'!$C:$D,2,FALSE)),"",VLOOKUP(CONCATENATE(C65,'Registrar expedidas_ingresos'!D65),'CODIGO-LITERAL'!$C:$D,2,FALSE)))</f>
        <v/>
      </c>
      <c r="E65" s="60" t="str">
        <f>IF('Registrar expedidas_ingresos'!E65="","",'Registrar expedidas_ingresos'!E65)</f>
        <v/>
      </c>
      <c r="F65" s="61" t="str">
        <f>IF(ISERROR(VLOOKUP(CONCATENATE("TIPO FACTURA",'Registrar expedidas_ingresos'!F65),'CODIGO-LITERAL'!$C:$D,2,FALSE)),"",VLOOKUP(CONCATENATE("TIPO FACTURA",'Registrar expedidas_ingresos'!F65),'CODIGO-LITERAL'!$C:$D,2,FALSE))</f>
        <v/>
      </c>
      <c r="G65" s="62"/>
      <c r="H65" s="63"/>
      <c r="I65" s="64" t="str">
        <f>IF('Registrar expedidas_ingresos'!I65="","",'Registrar expedidas_ingresos'!I65)</f>
        <v/>
      </c>
      <c r="J65" s="64" t="str">
        <f>IF('Registrar expedidas_ingresos'!J65="","",'Registrar expedidas_ingresos'!J65)</f>
        <v/>
      </c>
      <c r="K65" s="60" t="str">
        <f>IF('Registrar expedidas_ingresos'!K65="","",'Registrar expedidas_ingresos'!K65)</f>
        <v/>
      </c>
      <c r="L65" s="60" t="str">
        <f>IF('Registrar expedidas_ingresos'!L65="","",'Registrar expedidas_ingresos'!L65)</f>
        <v/>
      </c>
      <c r="M65" s="60" t="str">
        <f>IF('Registrar expedidas_ingresos'!M65="","",'Registrar expedidas_ingresos'!M65)</f>
        <v/>
      </c>
      <c r="N65" s="61" t="str">
        <f>IF(OR(F65="F2",LEFT('Registrar expedidas_ingresos'!N65,2)="01"),"",IF(ISERROR(VLOOKUP(CONCATENATE("TIPO NIF",'Registrar expedidas_ingresos'!N65),'CODIGO-LITERAL'!$C:$D,2,FALSE)),"",VLOOKUP(CONCATENATE("TIPO NIF",'Registrar expedidas_ingresos'!N65),'CODIGO-LITERAL'!$C:$D,2,FALSE)))</f>
        <v/>
      </c>
      <c r="O65" s="60" t="str">
        <f>IF(OR('Registrar expedidas_ingresos'!O65="",N65="02",F65="F2"),"",'Registrar expedidas_ingresos'!O65)</f>
        <v/>
      </c>
      <c r="P65" s="60" t="str">
        <f>IF('Registrar expedidas_ingresos'!P65="","",'Registrar expedidas_ingresos'!P65)</f>
        <v/>
      </c>
      <c r="Q65" s="60" t="str">
        <f>IF(F65="F2","VENTAS A CONSUMIDOR FINAL",IF('Registrar expedidas_ingresos'!Q65="","",'Registrar expedidas_ingresos'!Q65))</f>
        <v/>
      </c>
      <c r="R65" s="61" t="str">
        <f>IF(F65="DV","02",IF(ISERROR(VLOOKUP(CONCATENATE("CLAVE OPERACION",'Registrar expedidas_ingresos'!R65),'CODIGO-LITERAL'!$C:$D,2,FALSE)),"",VLOOKUP(CONCATENATE("CLAVE OPERACION",'Registrar expedidas_ingresos'!R65),'CODIGO-LITERAL'!$C:$D,2,FALSE)))</f>
        <v/>
      </c>
      <c r="S65" s="61" t="str">
        <f>IF(R65="03","S1",
 IF(R65="08","N2",
  IF(ISERROR(VLOOKUP(CONCATENATE("CALIFICACION OPERACION",'Registrar expedidas_ingresos'!S65),'CODIGO-LITERAL'!$C:$D,2,FALSE)),"",VLOOKUP(CONCATENATE("CALIFICACION OPERACION",'Registrar expedidas_ingresos'!S65),'CODIGO-LITERAL'!$C:$D,2,FALSE))))</f>
        <v/>
      </c>
      <c r="T65" s="61" t="str">
        <f>IF(R65="03","",IF(R65="08","",IF(ISERROR(VLOOKUP(CONCATENATE("OPERACION EXENTA",'Registrar expedidas_ingresos'!T65),'CODIGO-LITERAL'!$C:$D,2,FALSE)),"",VLOOKUP(CONCATENATE("OPERACION EXENTA",'Registrar expedidas_ingresos'!T65),'CODIGO-LITERAL'!$C:$D,2,FALSE))))</f>
        <v/>
      </c>
      <c r="U65" s="60" t="str">
        <f t="shared" si="2"/>
        <v/>
      </c>
      <c r="V65" s="60" t="str">
        <f>IF('Registrar expedidas_ingresos'!V65="","",ROUND('Registrar expedidas_ingresos'!V65,2))</f>
        <v/>
      </c>
      <c r="W65" s="60" t="str">
        <f>IF(S65="S2",0,IF('Registrar expedidas_ingresos'!W65="","",'Registrar expedidas_ingresos'!W65))</f>
        <v/>
      </c>
      <c r="X65" s="60" t="str">
        <f>IF(S65="S2",0,IF('Registrar expedidas_ingresos'!X65="","",ROUND('Registrar expedidas_ingresos'!X65,2)))</f>
        <v/>
      </c>
      <c r="Y65" s="60" t="str">
        <f>IF('Registrar expedidas_ingresos'!Y65="","",'Registrar expedidas_ingresos'!Y65)</f>
        <v/>
      </c>
      <c r="Z65" s="60" t="str">
        <f>IF('Registrar expedidas_ingresos'!Z65="","",ROUND('Registrar expedidas_ingresos'!Z65,2))</f>
        <v/>
      </c>
      <c r="AA65" s="64" t="str">
        <f>IF(R65&lt;&gt;"07","",IF('Registrar expedidas_ingresos'!AA65="","",'Registrar expedidas_ingresos'!AA65))</f>
        <v/>
      </c>
      <c r="AB65" s="60" t="str">
        <f>IF(R65&lt;&gt;"07","",IF('Registrar expedidas_ingresos'!AB65="","",'Registrar expedidas_ingresos'!AB65))</f>
        <v/>
      </c>
      <c r="AC65" s="61" t="str">
        <f>IF(R65&lt;&gt;"07","",IF(ISERROR(VLOOKUP(CONCATENATE("MEDIO UTILIZADO",'Registrar expedidas_ingresos'!AC65),'CODIGO-LITERAL'!$C:$D,2,FALSE)),"",VLOOKUP(CONCATENATE("MEDIO UTILIZADO",'Registrar expedidas_ingresos'!AC65),'CODIGO-LITERAL'!$C:$D,2,FALSE)))</f>
        <v/>
      </c>
      <c r="AD65" s="60" t="str">
        <f>IF(R65&lt;&gt;"07","",IF('Registrar expedidas_ingresos'!AD65="","",'Registrar expedidas_ingresos'!AD65))</f>
        <v/>
      </c>
      <c r="AE65" s="65"/>
      <c r="AF65" s="65"/>
      <c r="AG65" s="60" t="str">
        <f>IF('Registrar expedidas_ingresos'!AG65="","",'Registrar expedidas_ingresos'!AG65)</f>
        <v/>
      </c>
      <c r="AH65" s="61" t="str">
        <f>IF(ISERROR(VLOOKUP(CONCATENATE("SITUACION",'Registrar expedidas_ingresos'!AH65),'CODIGO-LITERAL'!$C:$D,2,FALSE)),"",VLOOKUP(CONCATENATE("SITUACION",'Registrar expedidas_ingresos'!AH65),'CODIGO-LITERAL'!$C:$D,2,FALSE))</f>
        <v/>
      </c>
      <c r="AI65" s="60" t="str">
        <f>IF('Registrar expedidas_ingresos'!AI65="","",'Registrar expedidas_ingresos'!AI65)</f>
        <v/>
      </c>
      <c r="AJ65" s="60" t="str">
        <f>IF('Registrar expedidas_ingresos'!AJ65="","",'Registrar expedidas_ingresos'!AJ65)</f>
        <v/>
      </c>
    </row>
    <row r="66" spans="1:36" x14ac:dyDescent="0.25">
      <c r="A66" s="59" t="str">
        <f>IF('Registrar expedidas_ingresos'!J66="",IF('Registrar expedidas_ingresos'!I66="","",YEAR('Registrar expedidas_ingresos'!I66)),YEAR('Registrar expedidas_ingresos'!J66))</f>
        <v/>
      </c>
      <c r="B66" s="60" t="str">
        <f>IF('Registrar expedidas_ingresos'!B66="","",'Registrar expedidas_ingresos'!B66)</f>
        <v/>
      </c>
      <c r="C66" s="60" t="str">
        <f>IF('Registrar expedidas_ingresos'!C66="","",VLOOKUP(CONCATENATE("ACTIVIDAD",'Registrar expedidas_ingresos'!C66),'CODIGO-LITERAL'!C:D,2,FALSE))</f>
        <v/>
      </c>
      <c r="D66" s="60" t="str">
        <f>IF(OR(C66="C",C66="D"),"",IF(ISERROR(VLOOKUP(CONCATENATE(C66,'Registrar expedidas_ingresos'!D66),'CODIGO-LITERAL'!$C:$D,2,FALSE)),"",VLOOKUP(CONCATENATE(C66,'Registrar expedidas_ingresos'!D66),'CODIGO-LITERAL'!$C:$D,2,FALSE)))</f>
        <v/>
      </c>
      <c r="E66" s="60" t="str">
        <f>IF('Registrar expedidas_ingresos'!E66="","",'Registrar expedidas_ingresos'!E66)</f>
        <v/>
      </c>
      <c r="F66" s="61" t="str">
        <f>IF(ISERROR(VLOOKUP(CONCATENATE("TIPO FACTURA",'Registrar expedidas_ingresos'!F66),'CODIGO-LITERAL'!$C:$D,2,FALSE)),"",VLOOKUP(CONCATENATE("TIPO FACTURA",'Registrar expedidas_ingresos'!F66),'CODIGO-LITERAL'!$C:$D,2,FALSE))</f>
        <v/>
      </c>
      <c r="G66" s="62"/>
      <c r="H66" s="63"/>
      <c r="I66" s="64" t="str">
        <f>IF('Registrar expedidas_ingresos'!I66="","",'Registrar expedidas_ingresos'!I66)</f>
        <v/>
      </c>
      <c r="J66" s="64" t="str">
        <f>IF('Registrar expedidas_ingresos'!J66="","",'Registrar expedidas_ingresos'!J66)</f>
        <v/>
      </c>
      <c r="K66" s="60" t="str">
        <f>IF('Registrar expedidas_ingresos'!K66="","",'Registrar expedidas_ingresos'!K66)</f>
        <v/>
      </c>
      <c r="L66" s="60" t="str">
        <f>IF('Registrar expedidas_ingresos'!L66="","",'Registrar expedidas_ingresos'!L66)</f>
        <v/>
      </c>
      <c r="M66" s="60" t="str">
        <f>IF('Registrar expedidas_ingresos'!M66="","",'Registrar expedidas_ingresos'!M66)</f>
        <v/>
      </c>
      <c r="N66" s="61" t="str">
        <f>IF(OR(F66="F2",LEFT('Registrar expedidas_ingresos'!N66,2)="01"),"",IF(ISERROR(VLOOKUP(CONCATENATE("TIPO NIF",'Registrar expedidas_ingresos'!N66),'CODIGO-LITERAL'!$C:$D,2,FALSE)),"",VLOOKUP(CONCATENATE("TIPO NIF",'Registrar expedidas_ingresos'!N66),'CODIGO-LITERAL'!$C:$D,2,FALSE)))</f>
        <v/>
      </c>
      <c r="O66" s="60" t="str">
        <f>IF(OR('Registrar expedidas_ingresos'!O66="",N66="02",F66="F2"),"",'Registrar expedidas_ingresos'!O66)</f>
        <v/>
      </c>
      <c r="P66" s="60" t="str">
        <f>IF('Registrar expedidas_ingresos'!P66="","",'Registrar expedidas_ingresos'!P66)</f>
        <v/>
      </c>
      <c r="Q66" s="60" t="str">
        <f>IF(F66="F2","VENTAS A CONSUMIDOR FINAL",IF('Registrar expedidas_ingresos'!Q66="","",'Registrar expedidas_ingresos'!Q66))</f>
        <v/>
      </c>
      <c r="R66" s="61" t="str">
        <f>IF(F66="DV","02",IF(ISERROR(VLOOKUP(CONCATENATE("CLAVE OPERACION",'Registrar expedidas_ingresos'!R66),'CODIGO-LITERAL'!$C:$D,2,FALSE)),"",VLOOKUP(CONCATENATE("CLAVE OPERACION",'Registrar expedidas_ingresos'!R66),'CODIGO-LITERAL'!$C:$D,2,FALSE)))</f>
        <v/>
      </c>
      <c r="S66" s="61" t="str">
        <f>IF(R66="03","S1",
 IF(R66="08","N2",
  IF(ISERROR(VLOOKUP(CONCATENATE("CALIFICACION OPERACION",'Registrar expedidas_ingresos'!S66),'CODIGO-LITERAL'!$C:$D,2,FALSE)),"",VLOOKUP(CONCATENATE("CALIFICACION OPERACION",'Registrar expedidas_ingresos'!S66),'CODIGO-LITERAL'!$C:$D,2,FALSE))))</f>
        <v/>
      </c>
      <c r="T66" s="61" t="str">
        <f>IF(R66="03","",IF(R66="08","",IF(ISERROR(VLOOKUP(CONCATENATE("OPERACION EXENTA",'Registrar expedidas_ingresos'!T66),'CODIGO-LITERAL'!$C:$D,2,FALSE)),"",VLOOKUP(CONCATENATE("OPERACION EXENTA",'Registrar expedidas_ingresos'!T66),'CODIGO-LITERAL'!$C:$D,2,FALSE))))</f>
        <v/>
      </c>
      <c r="U66" s="60" t="str">
        <f t="shared" si="2"/>
        <v/>
      </c>
      <c r="V66" s="60" t="str">
        <f>IF('Registrar expedidas_ingresos'!V66="","",ROUND('Registrar expedidas_ingresos'!V66,2))</f>
        <v/>
      </c>
      <c r="W66" s="60" t="str">
        <f>IF(S66="S2",0,IF('Registrar expedidas_ingresos'!W66="","",'Registrar expedidas_ingresos'!W66))</f>
        <v/>
      </c>
      <c r="X66" s="60" t="str">
        <f>IF(S66="S2",0,IF('Registrar expedidas_ingresos'!X66="","",ROUND('Registrar expedidas_ingresos'!X66,2)))</f>
        <v/>
      </c>
      <c r="Y66" s="60" t="str">
        <f>IF('Registrar expedidas_ingresos'!Y66="","",'Registrar expedidas_ingresos'!Y66)</f>
        <v/>
      </c>
      <c r="Z66" s="60" t="str">
        <f>IF('Registrar expedidas_ingresos'!Z66="","",ROUND('Registrar expedidas_ingresos'!Z66,2))</f>
        <v/>
      </c>
      <c r="AA66" s="64" t="str">
        <f>IF(R66&lt;&gt;"07","",IF('Registrar expedidas_ingresos'!AA66="","",'Registrar expedidas_ingresos'!AA66))</f>
        <v/>
      </c>
      <c r="AB66" s="60" t="str">
        <f>IF(R66&lt;&gt;"07","",IF('Registrar expedidas_ingresos'!AB66="","",'Registrar expedidas_ingresos'!AB66))</f>
        <v/>
      </c>
      <c r="AC66" s="61" t="str">
        <f>IF(R66&lt;&gt;"07","",IF(ISERROR(VLOOKUP(CONCATENATE("MEDIO UTILIZADO",'Registrar expedidas_ingresos'!AC66),'CODIGO-LITERAL'!$C:$D,2,FALSE)),"",VLOOKUP(CONCATENATE("MEDIO UTILIZADO",'Registrar expedidas_ingresos'!AC66),'CODIGO-LITERAL'!$C:$D,2,FALSE)))</f>
        <v/>
      </c>
      <c r="AD66" s="60" t="str">
        <f>IF(R66&lt;&gt;"07","",IF('Registrar expedidas_ingresos'!AD66="","",'Registrar expedidas_ingresos'!AD66))</f>
        <v/>
      </c>
      <c r="AE66" s="65"/>
      <c r="AF66" s="65"/>
      <c r="AG66" s="60" t="str">
        <f>IF('Registrar expedidas_ingresos'!AG66="","",'Registrar expedidas_ingresos'!AG66)</f>
        <v/>
      </c>
      <c r="AH66" s="61" t="str">
        <f>IF(ISERROR(VLOOKUP(CONCATENATE("SITUACION",'Registrar expedidas_ingresos'!AH66),'CODIGO-LITERAL'!$C:$D,2,FALSE)),"",VLOOKUP(CONCATENATE("SITUACION",'Registrar expedidas_ingresos'!AH66),'CODIGO-LITERAL'!$C:$D,2,FALSE))</f>
        <v/>
      </c>
      <c r="AI66" s="60" t="str">
        <f>IF('Registrar expedidas_ingresos'!AI66="","",'Registrar expedidas_ingresos'!AI66)</f>
        <v/>
      </c>
      <c r="AJ66" s="60" t="str">
        <f>IF('Registrar expedidas_ingresos'!AJ66="","",'Registrar expedidas_ingresos'!AJ66)</f>
        <v/>
      </c>
    </row>
    <row r="67" spans="1:36" x14ac:dyDescent="0.25">
      <c r="A67" s="59" t="str">
        <f>IF('Registrar expedidas_ingresos'!J67="",IF('Registrar expedidas_ingresos'!I67="","",YEAR('Registrar expedidas_ingresos'!I67)),YEAR('Registrar expedidas_ingresos'!J67))</f>
        <v/>
      </c>
      <c r="B67" s="60" t="str">
        <f>IF('Registrar expedidas_ingresos'!B67="","",'Registrar expedidas_ingresos'!B67)</f>
        <v/>
      </c>
      <c r="C67" s="60" t="str">
        <f>IF('Registrar expedidas_ingresos'!C67="","",VLOOKUP(CONCATENATE("ACTIVIDAD",'Registrar expedidas_ingresos'!C67),'CODIGO-LITERAL'!C:D,2,FALSE))</f>
        <v/>
      </c>
      <c r="D67" s="60" t="str">
        <f>IF(OR(C67="C",C67="D"),"",IF(ISERROR(VLOOKUP(CONCATENATE(C67,'Registrar expedidas_ingresos'!D67),'CODIGO-LITERAL'!$C:$D,2,FALSE)),"",VLOOKUP(CONCATENATE(C67,'Registrar expedidas_ingresos'!D67),'CODIGO-LITERAL'!$C:$D,2,FALSE)))</f>
        <v/>
      </c>
      <c r="E67" s="60" t="str">
        <f>IF('Registrar expedidas_ingresos'!E67="","",'Registrar expedidas_ingresos'!E67)</f>
        <v/>
      </c>
      <c r="F67" s="61" t="str">
        <f>IF(ISERROR(VLOOKUP(CONCATENATE("TIPO FACTURA",'Registrar expedidas_ingresos'!F67),'CODIGO-LITERAL'!$C:$D,2,FALSE)),"",VLOOKUP(CONCATENATE("TIPO FACTURA",'Registrar expedidas_ingresos'!F67),'CODIGO-LITERAL'!$C:$D,2,FALSE))</f>
        <v/>
      </c>
      <c r="G67" s="62"/>
      <c r="H67" s="63"/>
      <c r="I67" s="64" t="str">
        <f>IF('Registrar expedidas_ingresos'!I67="","",'Registrar expedidas_ingresos'!I67)</f>
        <v/>
      </c>
      <c r="J67" s="64" t="str">
        <f>IF('Registrar expedidas_ingresos'!J67="","",'Registrar expedidas_ingresos'!J67)</f>
        <v/>
      </c>
      <c r="K67" s="60" t="str">
        <f>IF('Registrar expedidas_ingresos'!K67="","",'Registrar expedidas_ingresos'!K67)</f>
        <v/>
      </c>
      <c r="L67" s="60" t="str">
        <f>IF('Registrar expedidas_ingresos'!L67="","",'Registrar expedidas_ingresos'!L67)</f>
        <v/>
      </c>
      <c r="M67" s="60" t="str">
        <f>IF('Registrar expedidas_ingresos'!M67="","",'Registrar expedidas_ingresos'!M67)</f>
        <v/>
      </c>
      <c r="N67" s="61" t="str">
        <f>IF(OR(F67="F2",LEFT('Registrar expedidas_ingresos'!N67,2)="01"),"",IF(ISERROR(VLOOKUP(CONCATENATE("TIPO NIF",'Registrar expedidas_ingresos'!N67),'CODIGO-LITERAL'!$C:$D,2,FALSE)),"",VLOOKUP(CONCATENATE("TIPO NIF",'Registrar expedidas_ingresos'!N67),'CODIGO-LITERAL'!$C:$D,2,FALSE)))</f>
        <v/>
      </c>
      <c r="O67" s="60" t="str">
        <f>IF(OR('Registrar expedidas_ingresos'!O67="",N67="02",F67="F2"),"",'Registrar expedidas_ingresos'!O67)</f>
        <v/>
      </c>
      <c r="P67" s="60" t="str">
        <f>IF('Registrar expedidas_ingresos'!P67="","",'Registrar expedidas_ingresos'!P67)</f>
        <v/>
      </c>
      <c r="Q67" s="60" t="str">
        <f>IF(F67="F2","VENTAS A CONSUMIDOR FINAL",IF('Registrar expedidas_ingresos'!Q67="","",'Registrar expedidas_ingresos'!Q67))</f>
        <v/>
      </c>
      <c r="R67" s="61" t="str">
        <f>IF(F67="DV","02",IF(ISERROR(VLOOKUP(CONCATENATE("CLAVE OPERACION",'Registrar expedidas_ingresos'!R67),'CODIGO-LITERAL'!$C:$D,2,FALSE)),"",VLOOKUP(CONCATENATE("CLAVE OPERACION",'Registrar expedidas_ingresos'!R67),'CODIGO-LITERAL'!$C:$D,2,FALSE)))</f>
        <v/>
      </c>
      <c r="S67" s="61" t="str">
        <f>IF(R67="03","S1",
 IF(R67="08","N2",
  IF(ISERROR(VLOOKUP(CONCATENATE("CALIFICACION OPERACION",'Registrar expedidas_ingresos'!S67),'CODIGO-LITERAL'!$C:$D,2,FALSE)),"",VLOOKUP(CONCATENATE("CALIFICACION OPERACION",'Registrar expedidas_ingresos'!S67),'CODIGO-LITERAL'!$C:$D,2,FALSE))))</f>
        <v/>
      </c>
      <c r="T67" s="61" t="str">
        <f>IF(R67="03","",IF(R67="08","",IF(ISERROR(VLOOKUP(CONCATENATE("OPERACION EXENTA",'Registrar expedidas_ingresos'!T67),'CODIGO-LITERAL'!$C:$D,2,FALSE)),"",VLOOKUP(CONCATENATE("OPERACION EXENTA",'Registrar expedidas_ingresos'!T67),'CODIGO-LITERAL'!$C:$D,2,FALSE))))</f>
        <v/>
      </c>
      <c r="U67" s="60" t="str">
        <f t="shared" si="2"/>
        <v/>
      </c>
      <c r="V67" s="60" t="str">
        <f>IF('Registrar expedidas_ingresos'!V67="","",ROUND('Registrar expedidas_ingresos'!V67,2))</f>
        <v/>
      </c>
      <c r="W67" s="60" t="str">
        <f>IF(S67="S2",0,IF('Registrar expedidas_ingresos'!W67="","",'Registrar expedidas_ingresos'!W67))</f>
        <v/>
      </c>
      <c r="X67" s="60" t="str">
        <f>IF(S67="S2",0,IF('Registrar expedidas_ingresos'!X67="","",ROUND('Registrar expedidas_ingresos'!X67,2)))</f>
        <v/>
      </c>
      <c r="Y67" s="60" t="str">
        <f>IF('Registrar expedidas_ingresos'!Y67="","",'Registrar expedidas_ingresos'!Y67)</f>
        <v/>
      </c>
      <c r="Z67" s="60" t="str">
        <f>IF('Registrar expedidas_ingresos'!Z67="","",ROUND('Registrar expedidas_ingresos'!Z67,2))</f>
        <v/>
      </c>
      <c r="AA67" s="64" t="str">
        <f>IF(R67&lt;&gt;"07","",IF('Registrar expedidas_ingresos'!AA67="","",'Registrar expedidas_ingresos'!AA67))</f>
        <v/>
      </c>
      <c r="AB67" s="60" t="str">
        <f>IF(R67&lt;&gt;"07","",IF('Registrar expedidas_ingresos'!AB67="","",'Registrar expedidas_ingresos'!AB67))</f>
        <v/>
      </c>
      <c r="AC67" s="61" t="str">
        <f>IF(R67&lt;&gt;"07","",IF(ISERROR(VLOOKUP(CONCATENATE("MEDIO UTILIZADO",'Registrar expedidas_ingresos'!AC67),'CODIGO-LITERAL'!$C:$D,2,FALSE)),"",VLOOKUP(CONCATENATE("MEDIO UTILIZADO",'Registrar expedidas_ingresos'!AC67),'CODIGO-LITERAL'!$C:$D,2,FALSE)))</f>
        <v/>
      </c>
      <c r="AD67" s="60" t="str">
        <f>IF(R67&lt;&gt;"07","",IF('Registrar expedidas_ingresos'!AD67="","",'Registrar expedidas_ingresos'!AD67))</f>
        <v/>
      </c>
      <c r="AE67" s="65"/>
      <c r="AF67" s="65"/>
      <c r="AG67" s="60" t="str">
        <f>IF('Registrar expedidas_ingresos'!AG67="","",'Registrar expedidas_ingresos'!AG67)</f>
        <v/>
      </c>
      <c r="AH67" s="61" t="str">
        <f>IF(ISERROR(VLOOKUP(CONCATENATE("SITUACION",'Registrar expedidas_ingresos'!AH67),'CODIGO-LITERAL'!$C:$D,2,FALSE)),"",VLOOKUP(CONCATENATE("SITUACION",'Registrar expedidas_ingresos'!AH67),'CODIGO-LITERAL'!$C:$D,2,FALSE))</f>
        <v/>
      </c>
      <c r="AI67" s="60" t="str">
        <f>IF('Registrar expedidas_ingresos'!AI67="","",'Registrar expedidas_ingresos'!AI67)</f>
        <v/>
      </c>
      <c r="AJ67" s="60" t="str">
        <f>IF('Registrar expedidas_ingresos'!AJ67="","",'Registrar expedidas_ingresos'!AJ67)</f>
        <v/>
      </c>
    </row>
    <row r="68" spans="1:36" x14ac:dyDescent="0.25">
      <c r="A68" s="59" t="str">
        <f>IF('Registrar expedidas_ingresos'!J68="",IF('Registrar expedidas_ingresos'!I68="","",YEAR('Registrar expedidas_ingresos'!I68)),YEAR('Registrar expedidas_ingresos'!J68))</f>
        <v/>
      </c>
      <c r="B68" s="60" t="str">
        <f>IF('Registrar expedidas_ingresos'!B68="","",'Registrar expedidas_ingresos'!B68)</f>
        <v/>
      </c>
      <c r="C68" s="60" t="str">
        <f>IF('Registrar expedidas_ingresos'!C68="","",VLOOKUP(CONCATENATE("ACTIVIDAD",'Registrar expedidas_ingresos'!C68),'CODIGO-LITERAL'!C:D,2,FALSE))</f>
        <v/>
      </c>
      <c r="D68" s="60" t="str">
        <f>IF(OR(C68="C",C68="D"),"",IF(ISERROR(VLOOKUP(CONCATENATE(C68,'Registrar expedidas_ingresos'!D68),'CODIGO-LITERAL'!$C:$D,2,FALSE)),"",VLOOKUP(CONCATENATE(C68,'Registrar expedidas_ingresos'!D68),'CODIGO-LITERAL'!$C:$D,2,FALSE)))</f>
        <v/>
      </c>
      <c r="E68" s="60" t="str">
        <f>IF('Registrar expedidas_ingresos'!E68="","",'Registrar expedidas_ingresos'!E68)</f>
        <v/>
      </c>
      <c r="F68" s="61" t="str">
        <f>IF(ISERROR(VLOOKUP(CONCATENATE("TIPO FACTURA",'Registrar expedidas_ingresos'!F68),'CODIGO-LITERAL'!$C:$D,2,FALSE)),"",VLOOKUP(CONCATENATE("TIPO FACTURA",'Registrar expedidas_ingresos'!F68),'CODIGO-LITERAL'!$C:$D,2,FALSE))</f>
        <v/>
      </c>
      <c r="G68" s="62"/>
      <c r="H68" s="63"/>
      <c r="I68" s="64" t="str">
        <f>IF('Registrar expedidas_ingresos'!I68="","",'Registrar expedidas_ingresos'!I68)</f>
        <v/>
      </c>
      <c r="J68" s="64" t="str">
        <f>IF('Registrar expedidas_ingresos'!J68="","",'Registrar expedidas_ingresos'!J68)</f>
        <v/>
      </c>
      <c r="K68" s="60" t="str">
        <f>IF('Registrar expedidas_ingresos'!K68="","",'Registrar expedidas_ingresos'!K68)</f>
        <v/>
      </c>
      <c r="L68" s="60" t="str">
        <f>IF('Registrar expedidas_ingresos'!L68="","",'Registrar expedidas_ingresos'!L68)</f>
        <v/>
      </c>
      <c r="M68" s="60" t="str">
        <f>IF('Registrar expedidas_ingresos'!M68="","",'Registrar expedidas_ingresos'!M68)</f>
        <v/>
      </c>
      <c r="N68" s="61" t="str">
        <f>IF(OR(F68="F2",LEFT('Registrar expedidas_ingresos'!N68,2)="01"),"",IF(ISERROR(VLOOKUP(CONCATENATE("TIPO NIF",'Registrar expedidas_ingresos'!N68),'CODIGO-LITERAL'!$C:$D,2,FALSE)),"",VLOOKUP(CONCATENATE("TIPO NIF",'Registrar expedidas_ingresos'!N68),'CODIGO-LITERAL'!$C:$D,2,FALSE)))</f>
        <v/>
      </c>
      <c r="O68" s="60" t="str">
        <f>IF(OR('Registrar expedidas_ingresos'!O68="",N68="02",F68="F2"),"",'Registrar expedidas_ingresos'!O68)</f>
        <v/>
      </c>
      <c r="P68" s="60" t="str">
        <f>IF('Registrar expedidas_ingresos'!P68="","",'Registrar expedidas_ingresos'!P68)</f>
        <v/>
      </c>
      <c r="Q68" s="60" t="str">
        <f>IF(F68="F2","VENTAS A CONSUMIDOR FINAL",IF('Registrar expedidas_ingresos'!Q68="","",'Registrar expedidas_ingresos'!Q68))</f>
        <v/>
      </c>
      <c r="R68" s="61" t="str">
        <f>IF(F68="DV","02",IF(ISERROR(VLOOKUP(CONCATENATE("CLAVE OPERACION",'Registrar expedidas_ingresos'!R68),'CODIGO-LITERAL'!$C:$D,2,FALSE)),"",VLOOKUP(CONCATENATE("CLAVE OPERACION",'Registrar expedidas_ingresos'!R68),'CODIGO-LITERAL'!$C:$D,2,FALSE)))</f>
        <v/>
      </c>
      <c r="S68" s="61" t="str">
        <f>IF(R68="03","S1",
 IF(R68="08","N2",
  IF(ISERROR(VLOOKUP(CONCATENATE("CALIFICACION OPERACION",'Registrar expedidas_ingresos'!S68),'CODIGO-LITERAL'!$C:$D,2,FALSE)),"",VLOOKUP(CONCATENATE("CALIFICACION OPERACION",'Registrar expedidas_ingresos'!S68),'CODIGO-LITERAL'!$C:$D,2,FALSE))))</f>
        <v/>
      </c>
      <c r="T68" s="61" t="str">
        <f>IF(R68="03","",IF(R68="08","",IF(ISERROR(VLOOKUP(CONCATENATE("OPERACION EXENTA",'Registrar expedidas_ingresos'!T68),'CODIGO-LITERAL'!$C:$D,2,FALSE)),"",VLOOKUP(CONCATENATE("OPERACION EXENTA",'Registrar expedidas_ingresos'!T68),'CODIGO-LITERAL'!$C:$D,2,FALSE))))</f>
        <v/>
      </c>
      <c r="U68" s="60" t="str">
        <f t="shared" si="2"/>
        <v/>
      </c>
      <c r="V68" s="60" t="str">
        <f>IF('Registrar expedidas_ingresos'!V68="","",ROUND('Registrar expedidas_ingresos'!V68,2))</f>
        <v/>
      </c>
      <c r="W68" s="60" t="str">
        <f>IF(S68="S2",0,IF('Registrar expedidas_ingresos'!W68="","",'Registrar expedidas_ingresos'!W68))</f>
        <v/>
      </c>
      <c r="X68" s="60" t="str">
        <f>IF(S68="S2",0,IF('Registrar expedidas_ingresos'!X68="","",ROUND('Registrar expedidas_ingresos'!X68,2)))</f>
        <v/>
      </c>
      <c r="Y68" s="60" t="str">
        <f>IF('Registrar expedidas_ingresos'!Y68="","",'Registrar expedidas_ingresos'!Y68)</f>
        <v/>
      </c>
      <c r="Z68" s="60" t="str">
        <f>IF('Registrar expedidas_ingresos'!Z68="","",ROUND('Registrar expedidas_ingresos'!Z68,2))</f>
        <v/>
      </c>
      <c r="AA68" s="64" t="str">
        <f>IF(R68&lt;&gt;"07","",IF('Registrar expedidas_ingresos'!AA68="","",'Registrar expedidas_ingresos'!AA68))</f>
        <v/>
      </c>
      <c r="AB68" s="60" t="str">
        <f>IF(R68&lt;&gt;"07","",IF('Registrar expedidas_ingresos'!AB68="","",'Registrar expedidas_ingresos'!AB68))</f>
        <v/>
      </c>
      <c r="AC68" s="61" t="str">
        <f>IF(R68&lt;&gt;"07","",IF(ISERROR(VLOOKUP(CONCATENATE("MEDIO UTILIZADO",'Registrar expedidas_ingresos'!AC68),'CODIGO-LITERAL'!$C:$D,2,FALSE)),"",VLOOKUP(CONCATENATE("MEDIO UTILIZADO",'Registrar expedidas_ingresos'!AC68),'CODIGO-LITERAL'!$C:$D,2,FALSE)))</f>
        <v/>
      </c>
      <c r="AD68" s="60" t="str">
        <f>IF(R68&lt;&gt;"07","",IF('Registrar expedidas_ingresos'!AD68="","",'Registrar expedidas_ingresos'!AD68))</f>
        <v/>
      </c>
      <c r="AE68" s="65"/>
      <c r="AF68" s="65"/>
      <c r="AG68" s="60" t="str">
        <f>IF('Registrar expedidas_ingresos'!AG68="","",'Registrar expedidas_ingresos'!AG68)</f>
        <v/>
      </c>
      <c r="AH68" s="61" t="str">
        <f>IF(ISERROR(VLOOKUP(CONCATENATE("SITUACION",'Registrar expedidas_ingresos'!AH68),'CODIGO-LITERAL'!$C:$D,2,FALSE)),"",VLOOKUP(CONCATENATE("SITUACION",'Registrar expedidas_ingresos'!AH68),'CODIGO-LITERAL'!$C:$D,2,FALSE))</f>
        <v/>
      </c>
      <c r="AI68" s="60" t="str">
        <f>IF('Registrar expedidas_ingresos'!AI68="","",'Registrar expedidas_ingresos'!AI68)</f>
        <v/>
      </c>
      <c r="AJ68" s="60" t="str">
        <f>IF('Registrar expedidas_ingresos'!AJ68="","",'Registrar expedidas_ingresos'!AJ68)</f>
        <v/>
      </c>
    </row>
    <row r="69" spans="1:36" x14ac:dyDescent="0.25">
      <c r="A69" s="59" t="str">
        <f>IF('Registrar expedidas_ingresos'!J69="",IF('Registrar expedidas_ingresos'!I69="","",YEAR('Registrar expedidas_ingresos'!I69)),YEAR('Registrar expedidas_ingresos'!J69))</f>
        <v/>
      </c>
      <c r="B69" s="60" t="str">
        <f>IF('Registrar expedidas_ingresos'!B69="","",'Registrar expedidas_ingresos'!B69)</f>
        <v/>
      </c>
      <c r="C69" s="60" t="str">
        <f>IF('Registrar expedidas_ingresos'!C69="","",VLOOKUP(CONCATENATE("ACTIVIDAD",'Registrar expedidas_ingresos'!C69),'CODIGO-LITERAL'!C:D,2,FALSE))</f>
        <v/>
      </c>
      <c r="D69" s="60" t="str">
        <f>IF(OR(C69="C",C69="D"),"",IF(ISERROR(VLOOKUP(CONCATENATE(C69,'Registrar expedidas_ingresos'!D69),'CODIGO-LITERAL'!$C:$D,2,FALSE)),"",VLOOKUP(CONCATENATE(C69,'Registrar expedidas_ingresos'!D69),'CODIGO-LITERAL'!$C:$D,2,FALSE)))</f>
        <v/>
      </c>
      <c r="E69" s="60" t="str">
        <f>IF('Registrar expedidas_ingresos'!E69="","",'Registrar expedidas_ingresos'!E69)</f>
        <v/>
      </c>
      <c r="F69" s="61" t="str">
        <f>IF(ISERROR(VLOOKUP(CONCATENATE("TIPO FACTURA",'Registrar expedidas_ingresos'!F69),'CODIGO-LITERAL'!$C:$D,2,FALSE)),"",VLOOKUP(CONCATENATE("TIPO FACTURA",'Registrar expedidas_ingresos'!F69),'CODIGO-LITERAL'!$C:$D,2,FALSE))</f>
        <v/>
      </c>
      <c r="G69" s="62"/>
      <c r="H69" s="63"/>
      <c r="I69" s="64" t="str">
        <f>IF('Registrar expedidas_ingresos'!I69="","",'Registrar expedidas_ingresos'!I69)</f>
        <v/>
      </c>
      <c r="J69" s="64" t="str">
        <f>IF('Registrar expedidas_ingresos'!J69="","",'Registrar expedidas_ingresos'!J69)</f>
        <v/>
      </c>
      <c r="K69" s="60" t="str">
        <f>IF('Registrar expedidas_ingresos'!K69="","",'Registrar expedidas_ingresos'!K69)</f>
        <v/>
      </c>
      <c r="L69" s="60" t="str">
        <f>IF('Registrar expedidas_ingresos'!L69="","",'Registrar expedidas_ingresos'!L69)</f>
        <v/>
      </c>
      <c r="M69" s="60" t="str">
        <f>IF('Registrar expedidas_ingresos'!M69="","",'Registrar expedidas_ingresos'!M69)</f>
        <v/>
      </c>
      <c r="N69" s="61" t="str">
        <f>IF(OR(F69="F2",LEFT('Registrar expedidas_ingresos'!N69,2)="01"),"",IF(ISERROR(VLOOKUP(CONCATENATE("TIPO NIF",'Registrar expedidas_ingresos'!N69),'CODIGO-LITERAL'!$C:$D,2,FALSE)),"",VLOOKUP(CONCATENATE("TIPO NIF",'Registrar expedidas_ingresos'!N69),'CODIGO-LITERAL'!$C:$D,2,FALSE)))</f>
        <v/>
      </c>
      <c r="O69" s="60" t="str">
        <f>IF(OR('Registrar expedidas_ingresos'!O69="",N69="02",F69="F2"),"",'Registrar expedidas_ingresos'!O69)</f>
        <v/>
      </c>
      <c r="P69" s="60" t="str">
        <f>IF('Registrar expedidas_ingresos'!P69="","",'Registrar expedidas_ingresos'!P69)</f>
        <v/>
      </c>
      <c r="Q69" s="60" t="str">
        <f>IF(F69="F2","VENTAS A CONSUMIDOR FINAL",IF('Registrar expedidas_ingresos'!Q69="","",'Registrar expedidas_ingresos'!Q69))</f>
        <v/>
      </c>
      <c r="R69" s="61" t="str">
        <f>IF(F69="DV","02",IF(ISERROR(VLOOKUP(CONCATENATE("CLAVE OPERACION",'Registrar expedidas_ingresos'!R69),'CODIGO-LITERAL'!$C:$D,2,FALSE)),"",VLOOKUP(CONCATENATE("CLAVE OPERACION",'Registrar expedidas_ingresos'!R69),'CODIGO-LITERAL'!$C:$D,2,FALSE)))</f>
        <v/>
      </c>
      <c r="S69" s="61" t="str">
        <f>IF(R69="03","S1",
 IF(R69="08","N2",
  IF(ISERROR(VLOOKUP(CONCATENATE("CALIFICACION OPERACION",'Registrar expedidas_ingresos'!S69),'CODIGO-LITERAL'!$C:$D,2,FALSE)),"",VLOOKUP(CONCATENATE("CALIFICACION OPERACION",'Registrar expedidas_ingresos'!S69),'CODIGO-LITERAL'!$C:$D,2,FALSE))))</f>
        <v/>
      </c>
      <c r="T69" s="61" t="str">
        <f>IF(R69="03","",IF(R69="08","",IF(ISERROR(VLOOKUP(CONCATENATE("OPERACION EXENTA",'Registrar expedidas_ingresos'!T69),'CODIGO-LITERAL'!$C:$D,2,FALSE)),"",VLOOKUP(CONCATENATE("OPERACION EXENTA",'Registrar expedidas_ingresos'!T69),'CODIGO-LITERAL'!$C:$D,2,FALSE))))</f>
        <v/>
      </c>
      <c r="U69" s="60" t="str">
        <f t="shared" si="2"/>
        <v/>
      </c>
      <c r="V69" s="60" t="str">
        <f>IF('Registrar expedidas_ingresos'!V69="","",ROUND('Registrar expedidas_ingresos'!V69,2))</f>
        <v/>
      </c>
      <c r="W69" s="60" t="str">
        <f>IF(S69="S2",0,IF('Registrar expedidas_ingresos'!W69="","",'Registrar expedidas_ingresos'!W69))</f>
        <v/>
      </c>
      <c r="X69" s="60" t="str">
        <f>IF(S69="S2",0,IF('Registrar expedidas_ingresos'!X69="","",ROUND('Registrar expedidas_ingresos'!X69,2)))</f>
        <v/>
      </c>
      <c r="Y69" s="60" t="str">
        <f>IF('Registrar expedidas_ingresos'!Y69="","",'Registrar expedidas_ingresos'!Y69)</f>
        <v/>
      </c>
      <c r="Z69" s="60" t="str">
        <f>IF('Registrar expedidas_ingresos'!Z69="","",ROUND('Registrar expedidas_ingresos'!Z69,2))</f>
        <v/>
      </c>
      <c r="AA69" s="64" t="str">
        <f>IF(R69&lt;&gt;"07","",IF('Registrar expedidas_ingresos'!AA69="","",'Registrar expedidas_ingresos'!AA69))</f>
        <v/>
      </c>
      <c r="AB69" s="60" t="str">
        <f>IF(R69&lt;&gt;"07","",IF('Registrar expedidas_ingresos'!AB69="","",'Registrar expedidas_ingresos'!AB69))</f>
        <v/>
      </c>
      <c r="AC69" s="61" t="str">
        <f>IF(R69&lt;&gt;"07","",IF(ISERROR(VLOOKUP(CONCATENATE("MEDIO UTILIZADO",'Registrar expedidas_ingresos'!AC69),'CODIGO-LITERAL'!$C:$D,2,FALSE)),"",VLOOKUP(CONCATENATE("MEDIO UTILIZADO",'Registrar expedidas_ingresos'!AC69),'CODIGO-LITERAL'!$C:$D,2,FALSE)))</f>
        <v/>
      </c>
      <c r="AD69" s="60" t="str">
        <f>IF(R69&lt;&gt;"07","",IF('Registrar expedidas_ingresos'!AD69="","",'Registrar expedidas_ingresos'!AD69))</f>
        <v/>
      </c>
      <c r="AE69" s="65"/>
      <c r="AF69" s="65"/>
      <c r="AG69" s="60" t="str">
        <f>IF('Registrar expedidas_ingresos'!AG69="","",'Registrar expedidas_ingresos'!AG69)</f>
        <v/>
      </c>
      <c r="AH69" s="61" t="str">
        <f>IF(ISERROR(VLOOKUP(CONCATENATE("SITUACION",'Registrar expedidas_ingresos'!AH69),'CODIGO-LITERAL'!$C:$D,2,FALSE)),"",VLOOKUP(CONCATENATE("SITUACION",'Registrar expedidas_ingresos'!AH69),'CODIGO-LITERAL'!$C:$D,2,FALSE))</f>
        <v/>
      </c>
      <c r="AI69" s="60" t="str">
        <f>IF('Registrar expedidas_ingresos'!AI69="","",'Registrar expedidas_ingresos'!AI69)</f>
        <v/>
      </c>
      <c r="AJ69" s="60" t="str">
        <f>IF('Registrar expedidas_ingresos'!AJ69="","",'Registrar expedidas_ingresos'!AJ69)</f>
        <v/>
      </c>
    </row>
    <row r="70" spans="1:36" x14ac:dyDescent="0.25">
      <c r="A70" s="59" t="str">
        <f>IF('Registrar expedidas_ingresos'!J70="",IF('Registrar expedidas_ingresos'!I70="","",YEAR('Registrar expedidas_ingresos'!I70)),YEAR('Registrar expedidas_ingresos'!J70))</f>
        <v/>
      </c>
      <c r="B70" s="60" t="str">
        <f>IF('Registrar expedidas_ingresos'!B70="","",'Registrar expedidas_ingresos'!B70)</f>
        <v/>
      </c>
      <c r="C70" s="60" t="str">
        <f>IF('Registrar expedidas_ingresos'!C70="","",VLOOKUP(CONCATENATE("ACTIVIDAD",'Registrar expedidas_ingresos'!C70),'CODIGO-LITERAL'!C:D,2,FALSE))</f>
        <v/>
      </c>
      <c r="D70" s="60" t="str">
        <f>IF(OR(C70="C",C70="D"),"",IF(ISERROR(VLOOKUP(CONCATENATE(C70,'Registrar expedidas_ingresos'!D70),'CODIGO-LITERAL'!$C:$D,2,FALSE)),"",VLOOKUP(CONCATENATE(C70,'Registrar expedidas_ingresos'!D70),'CODIGO-LITERAL'!$C:$D,2,FALSE)))</f>
        <v/>
      </c>
      <c r="E70" s="60" t="str">
        <f>IF('Registrar expedidas_ingresos'!E70="","",'Registrar expedidas_ingresos'!E70)</f>
        <v/>
      </c>
      <c r="F70" s="61" t="str">
        <f>IF(ISERROR(VLOOKUP(CONCATENATE("TIPO FACTURA",'Registrar expedidas_ingresos'!F70),'CODIGO-LITERAL'!$C:$D,2,FALSE)),"",VLOOKUP(CONCATENATE("TIPO FACTURA",'Registrar expedidas_ingresos'!F70),'CODIGO-LITERAL'!$C:$D,2,FALSE))</f>
        <v/>
      </c>
      <c r="G70" s="62"/>
      <c r="H70" s="63"/>
      <c r="I70" s="64" t="str">
        <f>IF('Registrar expedidas_ingresos'!I70="","",'Registrar expedidas_ingresos'!I70)</f>
        <v/>
      </c>
      <c r="J70" s="64" t="str">
        <f>IF('Registrar expedidas_ingresos'!J70="","",'Registrar expedidas_ingresos'!J70)</f>
        <v/>
      </c>
      <c r="K70" s="60" t="str">
        <f>IF('Registrar expedidas_ingresos'!K70="","",'Registrar expedidas_ingresos'!K70)</f>
        <v/>
      </c>
      <c r="L70" s="60" t="str">
        <f>IF('Registrar expedidas_ingresos'!L70="","",'Registrar expedidas_ingresos'!L70)</f>
        <v/>
      </c>
      <c r="M70" s="60" t="str">
        <f>IF('Registrar expedidas_ingresos'!M70="","",'Registrar expedidas_ingresos'!M70)</f>
        <v/>
      </c>
      <c r="N70" s="61" t="str">
        <f>IF(OR(F70="F2",LEFT('Registrar expedidas_ingresos'!N70,2)="01"),"",IF(ISERROR(VLOOKUP(CONCATENATE("TIPO NIF",'Registrar expedidas_ingresos'!N70),'CODIGO-LITERAL'!$C:$D,2,FALSE)),"",VLOOKUP(CONCATENATE("TIPO NIF",'Registrar expedidas_ingresos'!N70),'CODIGO-LITERAL'!$C:$D,2,FALSE)))</f>
        <v/>
      </c>
      <c r="O70" s="60" t="str">
        <f>IF(OR('Registrar expedidas_ingresos'!O70="",N70="02",F70="F2"),"",'Registrar expedidas_ingresos'!O70)</f>
        <v/>
      </c>
      <c r="P70" s="60" t="str">
        <f>IF('Registrar expedidas_ingresos'!P70="","",'Registrar expedidas_ingresos'!P70)</f>
        <v/>
      </c>
      <c r="Q70" s="60" t="str">
        <f>IF(F70="F2","VENTAS A CONSUMIDOR FINAL",IF('Registrar expedidas_ingresos'!Q70="","",'Registrar expedidas_ingresos'!Q70))</f>
        <v/>
      </c>
      <c r="R70" s="61" t="str">
        <f>IF(F70="DV","02",IF(ISERROR(VLOOKUP(CONCATENATE("CLAVE OPERACION",'Registrar expedidas_ingresos'!R70),'CODIGO-LITERAL'!$C:$D,2,FALSE)),"",VLOOKUP(CONCATENATE("CLAVE OPERACION",'Registrar expedidas_ingresos'!R70),'CODIGO-LITERAL'!$C:$D,2,FALSE)))</f>
        <v/>
      </c>
      <c r="S70" s="61" t="str">
        <f>IF(R70="03","S1",
 IF(R70="08","N2",
  IF(ISERROR(VLOOKUP(CONCATENATE("CALIFICACION OPERACION",'Registrar expedidas_ingresos'!S70),'CODIGO-LITERAL'!$C:$D,2,FALSE)),"",VLOOKUP(CONCATENATE("CALIFICACION OPERACION",'Registrar expedidas_ingresos'!S70),'CODIGO-LITERAL'!$C:$D,2,FALSE))))</f>
        <v/>
      </c>
      <c r="T70" s="61" t="str">
        <f>IF(R70="03","",IF(R70="08","",IF(ISERROR(VLOOKUP(CONCATENATE("OPERACION EXENTA",'Registrar expedidas_ingresos'!T70),'CODIGO-LITERAL'!$C:$D,2,FALSE)),"",VLOOKUP(CONCATENATE("OPERACION EXENTA",'Registrar expedidas_ingresos'!T70),'CODIGO-LITERAL'!$C:$D,2,FALSE))))</f>
        <v/>
      </c>
      <c r="U70" s="60" t="str">
        <f t="shared" si="2"/>
        <v/>
      </c>
      <c r="V70" s="60" t="str">
        <f>IF('Registrar expedidas_ingresos'!V70="","",ROUND('Registrar expedidas_ingresos'!V70,2))</f>
        <v/>
      </c>
      <c r="W70" s="60" t="str">
        <f>IF(S70="S2",0,IF('Registrar expedidas_ingresos'!W70="","",'Registrar expedidas_ingresos'!W70))</f>
        <v/>
      </c>
      <c r="X70" s="60" t="str">
        <f>IF(S70="S2",0,IF('Registrar expedidas_ingresos'!X70="","",ROUND('Registrar expedidas_ingresos'!X70,2)))</f>
        <v/>
      </c>
      <c r="Y70" s="60" t="str">
        <f>IF('Registrar expedidas_ingresos'!Y70="","",'Registrar expedidas_ingresos'!Y70)</f>
        <v/>
      </c>
      <c r="Z70" s="60" t="str">
        <f>IF('Registrar expedidas_ingresos'!Z70="","",ROUND('Registrar expedidas_ingresos'!Z70,2))</f>
        <v/>
      </c>
      <c r="AA70" s="64" t="str">
        <f>IF(R70&lt;&gt;"07","",IF('Registrar expedidas_ingresos'!AA70="","",'Registrar expedidas_ingresos'!AA70))</f>
        <v/>
      </c>
      <c r="AB70" s="60" t="str">
        <f>IF(R70&lt;&gt;"07","",IF('Registrar expedidas_ingresos'!AB70="","",'Registrar expedidas_ingresos'!AB70))</f>
        <v/>
      </c>
      <c r="AC70" s="61" t="str">
        <f>IF(R70&lt;&gt;"07","",IF(ISERROR(VLOOKUP(CONCATENATE("MEDIO UTILIZADO",'Registrar expedidas_ingresos'!AC70),'CODIGO-LITERAL'!$C:$D,2,FALSE)),"",VLOOKUP(CONCATENATE("MEDIO UTILIZADO",'Registrar expedidas_ingresos'!AC70),'CODIGO-LITERAL'!$C:$D,2,FALSE)))</f>
        <v/>
      </c>
      <c r="AD70" s="60" t="str">
        <f>IF(R70&lt;&gt;"07","",IF('Registrar expedidas_ingresos'!AD70="","",'Registrar expedidas_ingresos'!AD70))</f>
        <v/>
      </c>
      <c r="AE70" s="65"/>
      <c r="AF70" s="65"/>
      <c r="AG70" s="60" t="str">
        <f>IF('Registrar expedidas_ingresos'!AG70="","",'Registrar expedidas_ingresos'!AG70)</f>
        <v/>
      </c>
      <c r="AH70" s="61" t="str">
        <f>IF(ISERROR(VLOOKUP(CONCATENATE("SITUACION",'Registrar expedidas_ingresos'!AH70),'CODIGO-LITERAL'!$C:$D,2,FALSE)),"",VLOOKUP(CONCATENATE("SITUACION",'Registrar expedidas_ingresos'!AH70),'CODIGO-LITERAL'!$C:$D,2,FALSE))</f>
        <v/>
      </c>
      <c r="AI70" s="60" t="str">
        <f>IF('Registrar expedidas_ingresos'!AI70="","",'Registrar expedidas_ingresos'!AI70)</f>
        <v/>
      </c>
      <c r="AJ70" s="60" t="str">
        <f>IF('Registrar expedidas_ingresos'!AJ70="","",'Registrar expedidas_ingresos'!AJ70)</f>
        <v/>
      </c>
    </row>
    <row r="71" spans="1:36" x14ac:dyDescent="0.25">
      <c r="A71" s="59" t="str">
        <f>IF('Registrar expedidas_ingresos'!J71="",IF('Registrar expedidas_ingresos'!I71="","",YEAR('Registrar expedidas_ingresos'!I71)),YEAR('Registrar expedidas_ingresos'!J71))</f>
        <v/>
      </c>
      <c r="B71" s="60" t="str">
        <f>IF('Registrar expedidas_ingresos'!B71="","",'Registrar expedidas_ingresos'!B71)</f>
        <v/>
      </c>
      <c r="C71" s="60" t="str">
        <f>IF('Registrar expedidas_ingresos'!C71="","",VLOOKUP(CONCATENATE("ACTIVIDAD",'Registrar expedidas_ingresos'!C71),'CODIGO-LITERAL'!C:D,2,FALSE))</f>
        <v/>
      </c>
      <c r="D71" s="60" t="str">
        <f>IF(OR(C71="C",C71="D"),"",IF(ISERROR(VLOOKUP(CONCATENATE(C71,'Registrar expedidas_ingresos'!D71),'CODIGO-LITERAL'!$C:$D,2,FALSE)),"",VLOOKUP(CONCATENATE(C71,'Registrar expedidas_ingresos'!D71),'CODIGO-LITERAL'!$C:$D,2,FALSE)))</f>
        <v/>
      </c>
      <c r="E71" s="60" t="str">
        <f>IF('Registrar expedidas_ingresos'!E71="","",'Registrar expedidas_ingresos'!E71)</f>
        <v/>
      </c>
      <c r="F71" s="61" t="str">
        <f>IF(ISERROR(VLOOKUP(CONCATENATE("TIPO FACTURA",'Registrar expedidas_ingresos'!F71),'CODIGO-LITERAL'!$C:$D,2,FALSE)),"",VLOOKUP(CONCATENATE("TIPO FACTURA",'Registrar expedidas_ingresos'!F71),'CODIGO-LITERAL'!$C:$D,2,FALSE))</f>
        <v/>
      </c>
      <c r="G71" s="62"/>
      <c r="H71" s="63"/>
      <c r="I71" s="64" t="str">
        <f>IF('Registrar expedidas_ingresos'!I71="","",'Registrar expedidas_ingresos'!I71)</f>
        <v/>
      </c>
      <c r="J71" s="64" t="str">
        <f>IF('Registrar expedidas_ingresos'!J71="","",'Registrar expedidas_ingresos'!J71)</f>
        <v/>
      </c>
      <c r="K71" s="60" t="str">
        <f>IF('Registrar expedidas_ingresos'!K71="","",'Registrar expedidas_ingresos'!K71)</f>
        <v/>
      </c>
      <c r="L71" s="60" t="str">
        <f>IF('Registrar expedidas_ingresos'!L71="","",'Registrar expedidas_ingresos'!L71)</f>
        <v/>
      </c>
      <c r="M71" s="60" t="str">
        <f>IF('Registrar expedidas_ingresos'!M71="","",'Registrar expedidas_ingresos'!M71)</f>
        <v/>
      </c>
      <c r="N71" s="61" t="str">
        <f>IF(OR(F71="F2",LEFT('Registrar expedidas_ingresos'!N71,2)="01"),"",IF(ISERROR(VLOOKUP(CONCATENATE("TIPO NIF",'Registrar expedidas_ingresos'!N71),'CODIGO-LITERAL'!$C:$D,2,FALSE)),"",VLOOKUP(CONCATENATE("TIPO NIF",'Registrar expedidas_ingresos'!N71),'CODIGO-LITERAL'!$C:$D,2,FALSE)))</f>
        <v/>
      </c>
      <c r="O71" s="60" t="str">
        <f>IF(OR('Registrar expedidas_ingresos'!O71="",N71="02",F71="F2"),"",'Registrar expedidas_ingresos'!O71)</f>
        <v/>
      </c>
      <c r="P71" s="60" t="str">
        <f>IF('Registrar expedidas_ingresos'!P71="","",'Registrar expedidas_ingresos'!P71)</f>
        <v/>
      </c>
      <c r="Q71" s="60" t="str">
        <f>IF(F71="F2","VENTAS A CONSUMIDOR FINAL",IF('Registrar expedidas_ingresos'!Q71="","",'Registrar expedidas_ingresos'!Q71))</f>
        <v/>
      </c>
      <c r="R71" s="61" t="str">
        <f>IF(F71="DV","02",IF(ISERROR(VLOOKUP(CONCATENATE("CLAVE OPERACION",'Registrar expedidas_ingresos'!R71),'CODIGO-LITERAL'!$C:$D,2,FALSE)),"",VLOOKUP(CONCATENATE("CLAVE OPERACION",'Registrar expedidas_ingresos'!R71),'CODIGO-LITERAL'!$C:$D,2,FALSE)))</f>
        <v/>
      </c>
      <c r="S71" s="61" t="str">
        <f>IF(R71="03","S1",
 IF(R71="08","N2",
  IF(ISERROR(VLOOKUP(CONCATENATE("CALIFICACION OPERACION",'Registrar expedidas_ingresos'!S71),'CODIGO-LITERAL'!$C:$D,2,FALSE)),"",VLOOKUP(CONCATENATE("CALIFICACION OPERACION",'Registrar expedidas_ingresos'!S71),'CODIGO-LITERAL'!$C:$D,2,FALSE))))</f>
        <v/>
      </c>
      <c r="T71" s="61" t="str">
        <f>IF(R71="03","",IF(R71="08","",IF(ISERROR(VLOOKUP(CONCATENATE("OPERACION EXENTA",'Registrar expedidas_ingresos'!T71),'CODIGO-LITERAL'!$C:$D,2,FALSE)),"",VLOOKUP(CONCATENATE("OPERACION EXENTA",'Registrar expedidas_ingresos'!T71),'CODIGO-LITERAL'!$C:$D,2,FALSE))))</f>
        <v/>
      </c>
      <c r="U71" s="60" t="str">
        <f t="shared" si="2"/>
        <v/>
      </c>
      <c r="V71" s="60" t="str">
        <f>IF('Registrar expedidas_ingresos'!V71="","",ROUND('Registrar expedidas_ingresos'!V71,2))</f>
        <v/>
      </c>
      <c r="W71" s="60" t="str">
        <f>IF(S71="S2",0,IF('Registrar expedidas_ingresos'!W71="","",'Registrar expedidas_ingresos'!W71))</f>
        <v/>
      </c>
      <c r="X71" s="60" t="str">
        <f>IF(S71="S2",0,IF('Registrar expedidas_ingresos'!X71="","",ROUND('Registrar expedidas_ingresos'!X71,2)))</f>
        <v/>
      </c>
      <c r="Y71" s="60" t="str">
        <f>IF('Registrar expedidas_ingresos'!Y71="","",'Registrar expedidas_ingresos'!Y71)</f>
        <v/>
      </c>
      <c r="Z71" s="60" t="str">
        <f>IF('Registrar expedidas_ingresos'!Z71="","",ROUND('Registrar expedidas_ingresos'!Z71,2))</f>
        <v/>
      </c>
      <c r="AA71" s="64" t="str">
        <f>IF(R71&lt;&gt;"07","",IF('Registrar expedidas_ingresos'!AA71="","",'Registrar expedidas_ingresos'!AA71))</f>
        <v/>
      </c>
      <c r="AB71" s="60" t="str">
        <f>IF(R71&lt;&gt;"07","",IF('Registrar expedidas_ingresos'!AB71="","",'Registrar expedidas_ingresos'!AB71))</f>
        <v/>
      </c>
      <c r="AC71" s="61" t="str">
        <f>IF(R71&lt;&gt;"07","",IF(ISERROR(VLOOKUP(CONCATENATE("MEDIO UTILIZADO",'Registrar expedidas_ingresos'!AC71),'CODIGO-LITERAL'!$C:$D,2,FALSE)),"",VLOOKUP(CONCATENATE("MEDIO UTILIZADO",'Registrar expedidas_ingresos'!AC71),'CODIGO-LITERAL'!$C:$D,2,FALSE)))</f>
        <v/>
      </c>
      <c r="AD71" s="60" t="str">
        <f>IF(R71&lt;&gt;"07","",IF('Registrar expedidas_ingresos'!AD71="","",'Registrar expedidas_ingresos'!AD71))</f>
        <v/>
      </c>
      <c r="AE71" s="65"/>
      <c r="AF71" s="65"/>
      <c r="AG71" s="60" t="str">
        <f>IF('Registrar expedidas_ingresos'!AG71="","",'Registrar expedidas_ingresos'!AG71)</f>
        <v/>
      </c>
      <c r="AH71" s="61" t="str">
        <f>IF(ISERROR(VLOOKUP(CONCATENATE("SITUACION",'Registrar expedidas_ingresos'!AH71),'CODIGO-LITERAL'!$C:$D,2,FALSE)),"",VLOOKUP(CONCATENATE("SITUACION",'Registrar expedidas_ingresos'!AH71),'CODIGO-LITERAL'!$C:$D,2,FALSE))</f>
        <v/>
      </c>
      <c r="AI71" s="60" t="str">
        <f>IF('Registrar expedidas_ingresos'!AI71="","",'Registrar expedidas_ingresos'!AI71)</f>
        <v/>
      </c>
      <c r="AJ71" s="60" t="str">
        <f>IF('Registrar expedidas_ingresos'!AJ71="","",'Registrar expedidas_ingresos'!AJ71)</f>
        <v/>
      </c>
    </row>
    <row r="72" spans="1:36" x14ac:dyDescent="0.25">
      <c r="A72" s="59" t="str">
        <f>IF('Registrar expedidas_ingresos'!J72="",IF('Registrar expedidas_ingresos'!I72="","",YEAR('Registrar expedidas_ingresos'!I72)),YEAR('Registrar expedidas_ingresos'!J72))</f>
        <v/>
      </c>
      <c r="B72" s="60" t="str">
        <f>IF('Registrar expedidas_ingresos'!B72="","",'Registrar expedidas_ingresos'!B72)</f>
        <v/>
      </c>
      <c r="C72" s="60" t="str">
        <f>IF('Registrar expedidas_ingresos'!C72="","",VLOOKUP(CONCATENATE("ACTIVIDAD",'Registrar expedidas_ingresos'!C72),'CODIGO-LITERAL'!C:D,2,FALSE))</f>
        <v/>
      </c>
      <c r="D72" s="60" t="str">
        <f>IF(OR(C72="C",C72="D"),"",IF(ISERROR(VLOOKUP(CONCATENATE(C72,'Registrar expedidas_ingresos'!D72),'CODIGO-LITERAL'!$C:$D,2,FALSE)),"",VLOOKUP(CONCATENATE(C72,'Registrar expedidas_ingresos'!D72),'CODIGO-LITERAL'!$C:$D,2,FALSE)))</f>
        <v/>
      </c>
      <c r="E72" s="60" t="str">
        <f>IF('Registrar expedidas_ingresos'!E72="","",'Registrar expedidas_ingresos'!E72)</f>
        <v/>
      </c>
      <c r="F72" s="61" t="str">
        <f>IF(ISERROR(VLOOKUP(CONCATENATE("TIPO FACTURA",'Registrar expedidas_ingresos'!F72),'CODIGO-LITERAL'!$C:$D,2,FALSE)),"",VLOOKUP(CONCATENATE("TIPO FACTURA",'Registrar expedidas_ingresos'!F72),'CODIGO-LITERAL'!$C:$D,2,FALSE))</f>
        <v/>
      </c>
      <c r="G72" s="62"/>
      <c r="H72" s="63"/>
      <c r="I72" s="64" t="str">
        <f>IF('Registrar expedidas_ingresos'!I72="","",'Registrar expedidas_ingresos'!I72)</f>
        <v/>
      </c>
      <c r="J72" s="64" t="str">
        <f>IF('Registrar expedidas_ingresos'!J72="","",'Registrar expedidas_ingresos'!J72)</f>
        <v/>
      </c>
      <c r="K72" s="60" t="str">
        <f>IF('Registrar expedidas_ingresos'!K72="","",'Registrar expedidas_ingresos'!K72)</f>
        <v/>
      </c>
      <c r="L72" s="60" t="str">
        <f>IF('Registrar expedidas_ingresos'!L72="","",'Registrar expedidas_ingresos'!L72)</f>
        <v/>
      </c>
      <c r="M72" s="60" t="str">
        <f>IF('Registrar expedidas_ingresos'!M72="","",'Registrar expedidas_ingresos'!M72)</f>
        <v/>
      </c>
      <c r="N72" s="61" t="str">
        <f>IF(OR(F72="F2",LEFT('Registrar expedidas_ingresos'!N72,2)="01"),"",IF(ISERROR(VLOOKUP(CONCATENATE("TIPO NIF",'Registrar expedidas_ingresos'!N72),'CODIGO-LITERAL'!$C:$D,2,FALSE)),"",VLOOKUP(CONCATENATE("TIPO NIF",'Registrar expedidas_ingresos'!N72),'CODIGO-LITERAL'!$C:$D,2,FALSE)))</f>
        <v/>
      </c>
      <c r="O72" s="60" t="str">
        <f>IF(OR('Registrar expedidas_ingresos'!O72="",N72="02",F72="F2"),"",'Registrar expedidas_ingresos'!O72)</f>
        <v/>
      </c>
      <c r="P72" s="60" t="str">
        <f>IF('Registrar expedidas_ingresos'!P72="","",'Registrar expedidas_ingresos'!P72)</f>
        <v/>
      </c>
      <c r="Q72" s="60" t="str">
        <f>IF(F72="F2","VENTAS A CONSUMIDOR FINAL",IF('Registrar expedidas_ingresos'!Q72="","",'Registrar expedidas_ingresos'!Q72))</f>
        <v/>
      </c>
      <c r="R72" s="61" t="str">
        <f>IF(F72="DV","02",IF(ISERROR(VLOOKUP(CONCATENATE("CLAVE OPERACION",'Registrar expedidas_ingresos'!R72),'CODIGO-LITERAL'!$C:$D,2,FALSE)),"",VLOOKUP(CONCATENATE("CLAVE OPERACION",'Registrar expedidas_ingresos'!R72),'CODIGO-LITERAL'!$C:$D,2,FALSE)))</f>
        <v/>
      </c>
      <c r="S72" s="61" t="str">
        <f>IF(R72="03","S1",
 IF(R72="08","N2",
  IF(ISERROR(VLOOKUP(CONCATENATE("CALIFICACION OPERACION",'Registrar expedidas_ingresos'!S72),'CODIGO-LITERAL'!$C:$D,2,FALSE)),"",VLOOKUP(CONCATENATE("CALIFICACION OPERACION",'Registrar expedidas_ingresos'!S72),'CODIGO-LITERAL'!$C:$D,2,FALSE))))</f>
        <v/>
      </c>
      <c r="T72" s="61" t="str">
        <f>IF(R72="03","",IF(R72="08","",IF(ISERROR(VLOOKUP(CONCATENATE("OPERACION EXENTA",'Registrar expedidas_ingresos'!T72),'CODIGO-LITERAL'!$C:$D,2,FALSE)),"",VLOOKUP(CONCATENATE("OPERACION EXENTA",'Registrar expedidas_ingresos'!T72),'CODIGO-LITERAL'!$C:$D,2,FALSE))))</f>
        <v/>
      </c>
      <c r="U72" s="60" t="str">
        <f t="shared" si="2"/>
        <v/>
      </c>
      <c r="V72" s="60" t="str">
        <f>IF('Registrar expedidas_ingresos'!V72="","",ROUND('Registrar expedidas_ingresos'!V72,2))</f>
        <v/>
      </c>
      <c r="W72" s="60" t="str">
        <f>IF(S72="S2",0,IF('Registrar expedidas_ingresos'!W72="","",'Registrar expedidas_ingresos'!W72))</f>
        <v/>
      </c>
      <c r="X72" s="60" t="str">
        <f>IF(S72="S2",0,IF('Registrar expedidas_ingresos'!X72="","",ROUND('Registrar expedidas_ingresos'!X72,2)))</f>
        <v/>
      </c>
      <c r="Y72" s="60" t="str">
        <f>IF('Registrar expedidas_ingresos'!Y72="","",'Registrar expedidas_ingresos'!Y72)</f>
        <v/>
      </c>
      <c r="Z72" s="60" t="str">
        <f>IF('Registrar expedidas_ingresos'!Z72="","",ROUND('Registrar expedidas_ingresos'!Z72,2))</f>
        <v/>
      </c>
      <c r="AA72" s="64" t="str">
        <f>IF(R72&lt;&gt;"07","",IF('Registrar expedidas_ingresos'!AA72="","",'Registrar expedidas_ingresos'!AA72))</f>
        <v/>
      </c>
      <c r="AB72" s="60" t="str">
        <f>IF(R72&lt;&gt;"07","",IF('Registrar expedidas_ingresos'!AB72="","",'Registrar expedidas_ingresos'!AB72))</f>
        <v/>
      </c>
      <c r="AC72" s="61" t="str">
        <f>IF(R72&lt;&gt;"07","",IF(ISERROR(VLOOKUP(CONCATENATE("MEDIO UTILIZADO",'Registrar expedidas_ingresos'!AC72),'CODIGO-LITERAL'!$C:$D,2,FALSE)),"",VLOOKUP(CONCATENATE("MEDIO UTILIZADO",'Registrar expedidas_ingresos'!AC72),'CODIGO-LITERAL'!$C:$D,2,FALSE)))</f>
        <v/>
      </c>
      <c r="AD72" s="60" t="str">
        <f>IF(R72&lt;&gt;"07","",IF('Registrar expedidas_ingresos'!AD72="","",'Registrar expedidas_ingresos'!AD72))</f>
        <v/>
      </c>
      <c r="AE72" s="65"/>
      <c r="AF72" s="65"/>
      <c r="AG72" s="60" t="str">
        <f>IF('Registrar expedidas_ingresos'!AG72="","",'Registrar expedidas_ingresos'!AG72)</f>
        <v/>
      </c>
      <c r="AH72" s="61" t="str">
        <f>IF(ISERROR(VLOOKUP(CONCATENATE("SITUACION",'Registrar expedidas_ingresos'!AH72),'CODIGO-LITERAL'!$C:$D,2,FALSE)),"",VLOOKUP(CONCATENATE("SITUACION",'Registrar expedidas_ingresos'!AH72),'CODIGO-LITERAL'!$C:$D,2,FALSE))</f>
        <v/>
      </c>
      <c r="AI72" s="60" t="str">
        <f>IF('Registrar expedidas_ingresos'!AI72="","",'Registrar expedidas_ingresos'!AI72)</f>
        <v/>
      </c>
      <c r="AJ72" s="60" t="str">
        <f>IF('Registrar expedidas_ingresos'!AJ72="","",'Registrar expedidas_ingresos'!AJ72)</f>
        <v/>
      </c>
    </row>
    <row r="73" spans="1:36" x14ac:dyDescent="0.25">
      <c r="A73" s="59" t="str">
        <f>IF('Registrar expedidas_ingresos'!J73="",IF('Registrar expedidas_ingresos'!I73="","",YEAR('Registrar expedidas_ingresos'!I73)),YEAR('Registrar expedidas_ingresos'!J73))</f>
        <v/>
      </c>
      <c r="B73" s="60" t="str">
        <f>IF('Registrar expedidas_ingresos'!B73="","",'Registrar expedidas_ingresos'!B73)</f>
        <v/>
      </c>
      <c r="C73" s="60" t="str">
        <f>IF('Registrar expedidas_ingresos'!C73="","",VLOOKUP(CONCATENATE("ACTIVIDAD",'Registrar expedidas_ingresos'!C73),'CODIGO-LITERAL'!C:D,2,FALSE))</f>
        <v/>
      </c>
      <c r="D73" s="60" t="str">
        <f>IF(OR(C73="C",C73="D"),"",IF(ISERROR(VLOOKUP(CONCATENATE(C73,'Registrar expedidas_ingresos'!D73),'CODIGO-LITERAL'!$C:$D,2,FALSE)),"",VLOOKUP(CONCATENATE(C73,'Registrar expedidas_ingresos'!D73),'CODIGO-LITERAL'!$C:$D,2,FALSE)))</f>
        <v/>
      </c>
      <c r="E73" s="60" t="str">
        <f>IF('Registrar expedidas_ingresos'!E73="","",'Registrar expedidas_ingresos'!E73)</f>
        <v/>
      </c>
      <c r="F73" s="61" t="str">
        <f>IF(ISERROR(VLOOKUP(CONCATENATE("TIPO FACTURA",'Registrar expedidas_ingresos'!F73),'CODIGO-LITERAL'!$C:$D,2,FALSE)),"",VLOOKUP(CONCATENATE("TIPO FACTURA",'Registrar expedidas_ingresos'!F73),'CODIGO-LITERAL'!$C:$D,2,FALSE))</f>
        <v/>
      </c>
      <c r="G73" s="62"/>
      <c r="H73" s="63"/>
      <c r="I73" s="64" t="str">
        <f>IF('Registrar expedidas_ingresos'!I73="","",'Registrar expedidas_ingresos'!I73)</f>
        <v/>
      </c>
      <c r="J73" s="64" t="str">
        <f>IF('Registrar expedidas_ingresos'!J73="","",'Registrar expedidas_ingresos'!J73)</f>
        <v/>
      </c>
      <c r="K73" s="60" t="str">
        <f>IF('Registrar expedidas_ingresos'!K73="","",'Registrar expedidas_ingresos'!K73)</f>
        <v/>
      </c>
      <c r="L73" s="60" t="str">
        <f>IF('Registrar expedidas_ingresos'!L73="","",'Registrar expedidas_ingresos'!L73)</f>
        <v/>
      </c>
      <c r="M73" s="60" t="str">
        <f>IF('Registrar expedidas_ingresos'!M73="","",'Registrar expedidas_ingresos'!M73)</f>
        <v/>
      </c>
      <c r="N73" s="61" t="str">
        <f>IF(OR(F73="F2",LEFT('Registrar expedidas_ingresos'!N73,2)="01"),"",IF(ISERROR(VLOOKUP(CONCATENATE("TIPO NIF",'Registrar expedidas_ingresos'!N73),'CODIGO-LITERAL'!$C:$D,2,FALSE)),"",VLOOKUP(CONCATENATE("TIPO NIF",'Registrar expedidas_ingresos'!N73),'CODIGO-LITERAL'!$C:$D,2,FALSE)))</f>
        <v/>
      </c>
      <c r="O73" s="60" t="str">
        <f>IF(OR('Registrar expedidas_ingresos'!O73="",N73="02",F73="F2"),"",'Registrar expedidas_ingresos'!O73)</f>
        <v/>
      </c>
      <c r="P73" s="60" t="str">
        <f>IF('Registrar expedidas_ingresos'!P73="","",'Registrar expedidas_ingresos'!P73)</f>
        <v/>
      </c>
      <c r="Q73" s="60" t="str">
        <f>IF(F73="F2","VENTAS A CONSUMIDOR FINAL",IF('Registrar expedidas_ingresos'!Q73="","",'Registrar expedidas_ingresos'!Q73))</f>
        <v/>
      </c>
      <c r="R73" s="61" t="str">
        <f>IF(F73="DV","02",IF(ISERROR(VLOOKUP(CONCATENATE("CLAVE OPERACION",'Registrar expedidas_ingresos'!R73),'CODIGO-LITERAL'!$C:$D,2,FALSE)),"",VLOOKUP(CONCATENATE("CLAVE OPERACION",'Registrar expedidas_ingresos'!R73),'CODIGO-LITERAL'!$C:$D,2,FALSE)))</f>
        <v/>
      </c>
      <c r="S73" s="61" t="str">
        <f>IF(R73="03","S1",
 IF(R73="08","N2",
  IF(ISERROR(VLOOKUP(CONCATENATE("CALIFICACION OPERACION",'Registrar expedidas_ingresos'!S73),'CODIGO-LITERAL'!$C:$D,2,FALSE)),"",VLOOKUP(CONCATENATE("CALIFICACION OPERACION",'Registrar expedidas_ingresos'!S73),'CODIGO-LITERAL'!$C:$D,2,FALSE))))</f>
        <v/>
      </c>
      <c r="T73" s="61" t="str">
        <f>IF(R73="03","",IF(R73="08","",IF(ISERROR(VLOOKUP(CONCATENATE("OPERACION EXENTA",'Registrar expedidas_ingresos'!T73),'CODIGO-LITERAL'!$C:$D,2,FALSE)),"",VLOOKUP(CONCATENATE("OPERACION EXENTA",'Registrar expedidas_ingresos'!T73),'CODIGO-LITERAL'!$C:$D,2,FALSE))))</f>
        <v/>
      </c>
      <c r="U73" s="60" t="str">
        <f t="shared" si="2"/>
        <v/>
      </c>
      <c r="V73" s="60" t="str">
        <f>IF('Registrar expedidas_ingresos'!V73="","",ROUND('Registrar expedidas_ingresos'!V73,2))</f>
        <v/>
      </c>
      <c r="W73" s="60" t="str">
        <f>IF(S73="S2",0,IF('Registrar expedidas_ingresos'!W73="","",'Registrar expedidas_ingresos'!W73))</f>
        <v/>
      </c>
      <c r="X73" s="60" t="str">
        <f>IF(S73="S2",0,IF('Registrar expedidas_ingresos'!X73="","",ROUND('Registrar expedidas_ingresos'!X73,2)))</f>
        <v/>
      </c>
      <c r="Y73" s="60" t="str">
        <f>IF('Registrar expedidas_ingresos'!Y73="","",'Registrar expedidas_ingresos'!Y73)</f>
        <v/>
      </c>
      <c r="Z73" s="60" t="str">
        <f>IF('Registrar expedidas_ingresos'!Z73="","",ROUND('Registrar expedidas_ingresos'!Z73,2))</f>
        <v/>
      </c>
      <c r="AA73" s="64" t="str">
        <f>IF(R73&lt;&gt;"07","",IF('Registrar expedidas_ingresos'!AA73="","",'Registrar expedidas_ingresos'!AA73))</f>
        <v/>
      </c>
      <c r="AB73" s="60" t="str">
        <f>IF(R73&lt;&gt;"07","",IF('Registrar expedidas_ingresos'!AB73="","",'Registrar expedidas_ingresos'!AB73))</f>
        <v/>
      </c>
      <c r="AC73" s="61" t="str">
        <f>IF(R73&lt;&gt;"07","",IF(ISERROR(VLOOKUP(CONCATENATE("MEDIO UTILIZADO",'Registrar expedidas_ingresos'!AC73),'CODIGO-LITERAL'!$C:$D,2,FALSE)),"",VLOOKUP(CONCATENATE("MEDIO UTILIZADO",'Registrar expedidas_ingresos'!AC73),'CODIGO-LITERAL'!$C:$D,2,FALSE)))</f>
        <v/>
      </c>
      <c r="AD73" s="60" t="str">
        <f>IF(R73&lt;&gt;"07","",IF('Registrar expedidas_ingresos'!AD73="","",'Registrar expedidas_ingresos'!AD73))</f>
        <v/>
      </c>
      <c r="AE73" s="65"/>
      <c r="AF73" s="65"/>
      <c r="AG73" s="60" t="str">
        <f>IF('Registrar expedidas_ingresos'!AG73="","",'Registrar expedidas_ingresos'!AG73)</f>
        <v/>
      </c>
      <c r="AH73" s="61" t="str">
        <f>IF(ISERROR(VLOOKUP(CONCATENATE("SITUACION",'Registrar expedidas_ingresos'!AH73),'CODIGO-LITERAL'!$C:$D,2,FALSE)),"",VLOOKUP(CONCATENATE("SITUACION",'Registrar expedidas_ingresos'!AH73),'CODIGO-LITERAL'!$C:$D,2,FALSE))</f>
        <v/>
      </c>
      <c r="AI73" s="60" t="str">
        <f>IF('Registrar expedidas_ingresos'!AI73="","",'Registrar expedidas_ingresos'!AI73)</f>
        <v/>
      </c>
      <c r="AJ73" s="60" t="str">
        <f>IF('Registrar expedidas_ingresos'!AJ73="","",'Registrar expedidas_ingresos'!AJ73)</f>
        <v/>
      </c>
    </row>
    <row r="74" spans="1:36" x14ac:dyDescent="0.25">
      <c r="A74" s="59" t="str">
        <f>IF('Registrar expedidas_ingresos'!J74="",IF('Registrar expedidas_ingresos'!I74="","",YEAR('Registrar expedidas_ingresos'!I74)),YEAR('Registrar expedidas_ingresos'!J74))</f>
        <v/>
      </c>
      <c r="B74" s="60" t="str">
        <f>IF('Registrar expedidas_ingresos'!B74="","",'Registrar expedidas_ingresos'!B74)</f>
        <v/>
      </c>
      <c r="C74" s="60" t="str">
        <f>IF('Registrar expedidas_ingresos'!C74="","",VLOOKUP(CONCATENATE("ACTIVIDAD",'Registrar expedidas_ingresos'!C74),'CODIGO-LITERAL'!C:D,2,FALSE))</f>
        <v/>
      </c>
      <c r="D74" s="60" t="str">
        <f>IF(OR(C74="C",C74="D"),"",IF(ISERROR(VLOOKUP(CONCATENATE(C74,'Registrar expedidas_ingresos'!D74),'CODIGO-LITERAL'!$C:$D,2,FALSE)),"",VLOOKUP(CONCATENATE(C74,'Registrar expedidas_ingresos'!D74),'CODIGO-LITERAL'!$C:$D,2,FALSE)))</f>
        <v/>
      </c>
      <c r="E74" s="60" t="str">
        <f>IF('Registrar expedidas_ingresos'!E74="","",'Registrar expedidas_ingresos'!E74)</f>
        <v/>
      </c>
      <c r="F74" s="61" t="str">
        <f>IF(ISERROR(VLOOKUP(CONCATENATE("TIPO FACTURA",'Registrar expedidas_ingresos'!F74),'CODIGO-LITERAL'!$C:$D,2,FALSE)),"",VLOOKUP(CONCATENATE("TIPO FACTURA",'Registrar expedidas_ingresos'!F74),'CODIGO-LITERAL'!$C:$D,2,FALSE))</f>
        <v/>
      </c>
      <c r="G74" s="62"/>
      <c r="H74" s="63"/>
      <c r="I74" s="64" t="str">
        <f>IF('Registrar expedidas_ingresos'!I74="","",'Registrar expedidas_ingresos'!I74)</f>
        <v/>
      </c>
      <c r="J74" s="64" t="str">
        <f>IF('Registrar expedidas_ingresos'!J74="","",'Registrar expedidas_ingresos'!J74)</f>
        <v/>
      </c>
      <c r="K74" s="60" t="str">
        <f>IF('Registrar expedidas_ingresos'!K74="","",'Registrar expedidas_ingresos'!K74)</f>
        <v/>
      </c>
      <c r="L74" s="60" t="str">
        <f>IF('Registrar expedidas_ingresos'!L74="","",'Registrar expedidas_ingresos'!L74)</f>
        <v/>
      </c>
      <c r="M74" s="60" t="str">
        <f>IF('Registrar expedidas_ingresos'!M74="","",'Registrar expedidas_ingresos'!M74)</f>
        <v/>
      </c>
      <c r="N74" s="61" t="str">
        <f>IF(OR(F74="F2",LEFT('Registrar expedidas_ingresos'!N74,2)="01"),"",IF(ISERROR(VLOOKUP(CONCATENATE("TIPO NIF",'Registrar expedidas_ingresos'!N74),'CODIGO-LITERAL'!$C:$D,2,FALSE)),"",VLOOKUP(CONCATENATE("TIPO NIF",'Registrar expedidas_ingresos'!N74),'CODIGO-LITERAL'!$C:$D,2,FALSE)))</f>
        <v/>
      </c>
      <c r="O74" s="60" t="str">
        <f>IF(OR('Registrar expedidas_ingresos'!O74="",N74="02",F74="F2"),"",'Registrar expedidas_ingresos'!O74)</f>
        <v/>
      </c>
      <c r="P74" s="60" t="str">
        <f>IF('Registrar expedidas_ingresos'!P74="","",'Registrar expedidas_ingresos'!P74)</f>
        <v/>
      </c>
      <c r="Q74" s="60" t="str">
        <f>IF(F74="F2","VENTAS A CONSUMIDOR FINAL",IF('Registrar expedidas_ingresos'!Q74="","",'Registrar expedidas_ingresos'!Q74))</f>
        <v/>
      </c>
      <c r="R74" s="61" t="str">
        <f>IF(F74="DV","02",IF(ISERROR(VLOOKUP(CONCATENATE("CLAVE OPERACION",'Registrar expedidas_ingresos'!R74),'CODIGO-LITERAL'!$C:$D,2,FALSE)),"",VLOOKUP(CONCATENATE("CLAVE OPERACION",'Registrar expedidas_ingresos'!R74),'CODIGO-LITERAL'!$C:$D,2,FALSE)))</f>
        <v/>
      </c>
      <c r="S74" s="61" t="str">
        <f>IF(R74="03","S1",
 IF(R74="08","N2",
  IF(ISERROR(VLOOKUP(CONCATENATE("CALIFICACION OPERACION",'Registrar expedidas_ingresos'!S74),'CODIGO-LITERAL'!$C:$D,2,FALSE)),"",VLOOKUP(CONCATENATE("CALIFICACION OPERACION",'Registrar expedidas_ingresos'!S74),'CODIGO-LITERAL'!$C:$D,2,FALSE))))</f>
        <v/>
      </c>
      <c r="T74" s="61" t="str">
        <f>IF(R74="03","",IF(R74="08","",IF(ISERROR(VLOOKUP(CONCATENATE("OPERACION EXENTA",'Registrar expedidas_ingresos'!T74),'CODIGO-LITERAL'!$C:$D,2,FALSE)),"",VLOOKUP(CONCATENATE("OPERACION EXENTA",'Registrar expedidas_ingresos'!T74),'CODIGO-LITERAL'!$C:$D,2,FALSE))))</f>
        <v/>
      </c>
      <c r="U74" s="60" t="str">
        <f t="shared" si="2"/>
        <v/>
      </c>
      <c r="V74" s="60" t="str">
        <f>IF('Registrar expedidas_ingresos'!V74="","",ROUND('Registrar expedidas_ingresos'!V74,2))</f>
        <v/>
      </c>
      <c r="W74" s="60" t="str">
        <f>IF(S74="S2",0,IF('Registrar expedidas_ingresos'!W74="","",'Registrar expedidas_ingresos'!W74))</f>
        <v/>
      </c>
      <c r="X74" s="60" t="str">
        <f>IF(S74="S2",0,IF('Registrar expedidas_ingresos'!X74="","",ROUND('Registrar expedidas_ingresos'!X74,2)))</f>
        <v/>
      </c>
      <c r="Y74" s="60" t="str">
        <f>IF('Registrar expedidas_ingresos'!Y74="","",'Registrar expedidas_ingresos'!Y74)</f>
        <v/>
      </c>
      <c r="Z74" s="60" t="str">
        <f>IF('Registrar expedidas_ingresos'!Z74="","",ROUND('Registrar expedidas_ingresos'!Z74,2))</f>
        <v/>
      </c>
      <c r="AA74" s="64" t="str">
        <f>IF(R74&lt;&gt;"07","",IF('Registrar expedidas_ingresos'!AA74="","",'Registrar expedidas_ingresos'!AA74))</f>
        <v/>
      </c>
      <c r="AB74" s="60" t="str">
        <f>IF(R74&lt;&gt;"07","",IF('Registrar expedidas_ingresos'!AB74="","",'Registrar expedidas_ingresos'!AB74))</f>
        <v/>
      </c>
      <c r="AC74" s="61" t="str">
        <f>IF(R74&lt;&gt;"07","",IF(ISERROR(VLOOKUP(CONCATENATE("MEDIO UTILIZADO",'Registrar expedidas_ingresos'!AC74),'CODIGO-LITERAL'!$C:$D,2,FALSE)),"",VLOOKUP(CONCATENATE("MEDIO UTILIZADO",'Registrar expedidas_ingresos'!AC74),'CODIGO-LITERAL'!$C:$D,2,FALSE)))</f>
        <v/>
      </c>
      <c r="AD74" s="60" t="str">
        <f>IF(R74&lt;&gt;"07","",IF('Registrar expedidas_ingresos'!AD74="","",'Registrar expedidas_ingresos'!AD74))</f>
        <v/>
      </c>
      <c r="AE74" s="65"/>
      <c r="AF74" s="65"/>
      <c r="AG74" s="60" t="str">
        <f>IF('Registrar expedidas_ingresos'!AG74="","",'Registrar expedidas_ingresos'!AG74)</f>
        <v/>
      </c>
      <c r="AH74" s="61" t="str">
        <f>IF(ISERROR(VLOOKUP(CONCATENATE("SITUACION",'Registrar expedidas_ingresos'!AH74),'CODIGO-LITERAL'!$C:$D,2,FALSE)),"",VLOOKUP(CONCATENATE("SITUACION",'Registrar expedidas_ingresos'!AH74),'CODIGO-LITERAL'!$C:$D,2,FALSE))</f>
        <v/>
      </c>
      <c r="AI74" s="60" t="str">
        <f>IF('Registrar expedidas_ingresos'!AI74="","",'Registrar expedidas_ingresos'!AI74)</f>
        <v/>
      </c>
      <c r="AJ74" s="60" t="str">
        <f>IF('Registrar expedidas_ingresos'!AJ74="","",'Registrar expedidas_ingresos'!AJ74)</f>
        <v/>
      </c>
    </row>
    <row r="75" spans="1:36" x14ac:dyDescent="0.25">
      <c r="A75" s="59" t="str">
        <f>IF('Registrar expedidas_ingresos'!J75="",IF('Registrar expedidas_ingresos'!I75="","",YEAR('Registrar expedidas_ingresos'!I75)),YEAR('Registrar expedidas_ingresos'!J75))</f>
        <v/>
      </c>
      <c r="B75" s="60" t="str">
        <f>IF('Registrar expedidas_ingresos'!B75="","",'Registrar expedidas_ingresos'!B75)</f>
        <v/>
      </c>
      <c r="C75" s="60" t="str">
        <f>IF('Registrar expedidas_ingresos'!C75="","",VLOOKUP(CONCATENATE("ACTIVIDAD",'Registrar expedidas_ingresos'!C75),'CODIGO-LITERAL'!C:D,2,FALSE))</f>
        <v/>
      </c>
      <c r="D75" s="60" t="str">
        <f>IF(OR(C75="C",C75="D"),"",IF(ISERROR(VLOOKUP(CONCATENATE(C75,'Registrar expedidas_ingresos'!D75),'CODIGO-LITERAL'!$C:$D,2,FALSE)),"",VLOOKUP(CONCATENATE(C75,'Registrar expedidas_ingresos'!D75),'CODIGO-LITERAL'!$C:$D,2,FALSE)))</f>
        <v/>
      </c>
      <c r="E75" s="60" t="str">
        <f>IF('Registrar expedidas_ingresos'!E75="","",'Registrar expedidas_ingresos'!E75)</f>
        <v/>
      </c>
      <c r="F75" s="61" t="str">
        <f>IF(ISERROR(VLOOKUP(CONCATENATE("TIPO FACTURA",'Registrar expedidas_ingresos'!F75),'CODIGO-LITERAL'!$C:$D,2,FALSE)),"",VLOOKUP(CONCATENATE("TIPO FACTURA",'Registrar expedidas_ingresos'!F75),'CODIGO-LITERAL'!$C:$D,2,FALSE))</f>
        <v/>
      </c>
      <c r="G75" s="62"/>
      <c r="H75" s="63"/>
      <c r="I75" s="64" t="str">
        <f>IF('Registrar expedidas_ingresos'!I75="","",'Registrar expedidas_ingresos'!I75)</f>
        <v/>
      </c>
      <c r="J75" s="64" t="str">
        <f>IF('Registrar expedidas_ingresos'!J75="","",'Registrar expedidas_ingresos'!J75)</f>
        <v/>
      </c>
      <c r="K75" s="60" t="str">
        <f>IF('Registrar expedidas_ingresos'!K75="","",'Registrar expedidas_ingresos'!K75)</f>
        <v/>
      </c>
      <c r="L75" s="60" t="str">
        <f>IF('Registrar expedidas_ingresos'!L75="","",'Registrar expedidas_ingresos'!L75)</f>
        <v/>
      </c>
      <c r="M75" s="60" t="str">
        <f>IF('Registrar expedidas_ingresos'!M75="","",'Registrar expedidas_ingresos'!M75)</f>
        <v/>
      </c>
      <c r="N75" s="61" t="str">
        <f>IF(OR(F75="F2",LEFT('Registrar expedidas_ingresos'!N75,2)="01"),"",IF(ISERROR(VLOOKUP(CONCATENATE("TIPO NIF",'Registrar expedidas_ingresos'!N75),'CODIGO-LITERAL'!$C:$D,2,FALSE)),"",VLOOKUP(CONCATENATE("TIPO NIF",'Registrar expedidas_ingresos'!N75),'CODIGO-LITERAL'!$C:$D,2,FALSE)))</f>
        <v/>
      </c>
      <c r="O75" s="60" t="str">
        <f>IF(OR('Registrar expedidas_ingresos'!O75="",N75="02",F75="F2"),"",'Registrar expedidas_ingresos'!O75)</f>
        <v/>
      </c>
      <c r="P75" s="60" t="str">
        <f>IF('Registrar expedidas_ingresos'!P75="","",'Registrar expedidas_ingresos'!P75)</f>
        <v/>
      </c>
      <c r="Q75" s="60" t="str">
        <f>IF(F75="F2","VENTAS A CONSUMIDOR FINAL",IF('Registrar expedidas_ingresos'!Q75="","",'Registrar expedidas_ingresos'!Q75))</f>
        <v/>
      </c>
      <c r="R75" s="61" t="str">
        <f>IF(F75="DV","02",IF(ISERROR(VLOOKUP(CONCATENATE("CLAVE OPERACION",'Registrar expedidas_ingresos'!R75),'CODIGO-LITERAL'!$C:$D,2,FALSE)),"",VLOOKUP(CONCATENATE("CLAVE OPERACION",'Registrar expedidas_ingresos'!R75),'CODIGO-LITERAL'!$C:$D,2,FALSE)))</f>
        <v/>
      </c>
      <c r="S75" s="61" t="str">
        <f>IF(R75="03","S1",
 IF(R75="08","N2",
  IF(ISERROR(VLOOKUP(CONCATENATE("CALIFICACION OPERACION",'Registrar expedidas_ingresos'!S75),'CODIGO-LITERAL'!$C:$D,2,FALSE)),"",VLOOKUP(CONCATENATE("CALIFICACION OPERACION",'Registrar expedidas_ingresos'!S75),'CODIGO-LITERAL'!$C:$D,2,FALSE))))</f>
        <v/>
      </c>
      <c r="T75" s="61" t="str">
        <f>IF(R75="03","",IF(R75="08","",IF(ISERROR(VLOOKUP(CONCATENATE("OPERACION EXENTA",'Registrar expedidas_ingresos'!T75),'CODIGO-LITERAL'!$C:$D,2,FALSE)),"",VLOOKUP(CONCATENATE("OPERACION EXENTA",'Registrar expedidas_ingresos'!T75),'CODIGO-LITERAL'!$C:$D,2,FALSE))))</f>
        <v/>
      </c>
      <c r="U75" s="60" t="str">
        <f t="shared" si="2"/>
        <v/>
      </c>
      <c r="V75" s="60" t="str">
        <f>IF('Registrar expedidas_ingresos'!V75="","",ROUND('Registrar expedidas_ingresos'!V75,2))</f>
        <v/>
      </c>
      <c r="W75" s="60" t="str">
        <f>IF(S75="S2",0,IF('Registrar expedidas_ingresos'!W75="","",'Registrar expedidas_ingresos'!W75))</f>
        <v/>
      </c>
      <c r="X75" s="60" t="str">
        <f>IF(S75="S2",0,IF('Registrar expedidas_ingresos'!X75="","",ROUND('Registrar expedidas_ingresos'!X75,2)))</f>
        <v/>
      </c>
      <c r="Y75" s="60" t="str">
        <f>IF('Registrar expedidas_ingresos'!Y75="","",'Registrar expedidas_ingresos'!Y75)</f>
        <v/>
      </c>
      <c r="Z75" s="60" t="str">
        <f>IF('Registrar expedidas_ingresos'!Z75="","",ROUND('Registrar expedidas_ingresos'!Z75,2))</f>
        <v/>
      </c>
      <c r="AA75" s="64" t="str">
        <f>IF(R75&lt;&gt;"07","",IF('Registrar expedidas_ingresos'!AA75="","",'Registrar expedidas_ingresos'!AA75))</f>
        <v/>
      </c>
      <c r="AB75" s="60" t="str">
        <f>IF(R75&lt;&gt;"07","",IF('Registrar expedidas_ingresos'!AB75="","",'Registrar expedidas_ingresos'!AB75))</f>
        <v/>
      </c>
      <c r="AC75" s="61" t="str">
        <f>IF(R75&lt;&gt;"07","",IF(ISERROR(VLOOKUP(CONCATENATE("MEDIO UTILIZADO",'Registrar expedidas_ingresos'!AC75),'CODIGO-LITERAL'!$C:$D,2,FALSE)),"",VLOOKUP(CONCATENATE("MEDIO UTILIZADO",'Registrar expedidas_ingresos'!AC75),'CODIGO-LITERAL'!$C:$D,2,FALSE)))</f>
        <v/>
      </c>
      <c r="AD75" s="60" t="str">
        <f>IF(R75&lt;&gt;"07","",IF('Registrar expedidas_ingresos'!AD75="","",'Registrar expedidas_ingresos'!AD75))</f>
        <v/>
      </c>
      <c r="AE75" s="65"/>
      <c r="AF75" s="65"/>
      <c r="AG75" s="60" t="str">
        <f>IF('Registrar expedidas_ingresos'!AG75="","",'Registrar expedidas_ingresos'!AG75)</f>
        <v/>
      </c>
      <c r="AH75" s="61" t="str">
        <f>IF(ISERROR(VLOOKUP(CONCATENATE("SITUACION",'Registrar expedidas_ingresos'!AH75),'CODIGO-LITERAL'!$C:$D,2,FALSE)),"",VLOOKUP(CONCATENATE("SITUACION",'Registrar expedidas_ingresos'!AH75),'CODIGO-LITERAL'!$C:$D,2,FALSE))</f>
        <v/>
      </c>
      <c r="AI75" s="60" t="str">
        <f>IF('Registrar expedidas_ingresos'!AI75="","",'Registrar expedidas_ingresos'!AI75)</f>
        <v/>
      </c>
      <c r="AJ75" s="60" t="str">
        <f>IF('Registrar expedidas_ingresos'!AJ75="","",'Registrar expedidas_ingresos'!AJ75)</f>
        <v/>
      </c>
    </row>
    <row r="76" spans="1:36" x14ac:dyDescent="0.25">
      <c r="A76" s="59" t="str">
        <f>IF('Registrar expedidas_ingresos'!J76="",IF('Registrar expedidas_ingresos'!I76="","",YEAR('Registrar expedidas_ingresos'!I76)),YEAR('Registrar expedidas_ingresos'!J76))</f>
        <v/>
      </c>
      <c r="B76" s="60" t="str">
        <f>IF('Registrar expedidas_ingresos'!B76="","",'Registrar expedidas_ingresos'!B76)</f>
        <v/>
      </c>
      <c r="C76" s="60" t="str">
        <f>IF('Registrar expedidas_ingresos'!C76="","",VLOOKUP(CONCATENATE("ACTIVIDAD",'Registrar expedidas_ingresos'!C76),'CODIGO-LITERAL'!C:D,2,FALSE))</f>
        <v/>
      </c>
      <c r="D76" s="60" t="str">
        <f>IF(OR(C76="C",C76="D"),"",IF(ISERROR(VLOOKUP(CONCATENATE(C76,'Registrar expedidas_ingresos'!D76),'CODIGO-LITERAL'!$C:$D,2,FALSE)),"",VLOOKUP(CONCATENATE(C76,'Registrar expedidas_ingresos'!D76),'CODIGO-LITERAL'!$C:$D,2,FALSE)))</f>
        <v/>
      </c>
      <c r="E76" s="60" t="str">
        <f>IF('Registrar expedidas_ingresos'!E76="","",'Registrar expedidas_ingresos'!E76)</f>
        <v/>
      </c>
      <c r="F76" s="61" t="str">
        <f>IF(ISERROR(VLOOKUP(CONCATENATE("TIPO FACTURA",'Registrar expedidas_ingresos'!F76),'CODIGO-LITERAL'!$C:$D,2,FALSE)),"",VLOOKUP(CONCATENATE("TIPO FACTURA",'Registrar expedidas_ingresos'!F76),'CODIGO-LITERAL'!$C:$D,2,FALSE))</f>
        <v/>
      </c>
      <c r="G76" s="62"/>
      <c r="H76" s="63"/>
      <c r="I76" s="64" t="str">
        <f>IF('Registrar expedidas_ingresos'!I76="","",'Registrar expedidas_ingresos'!I76)</f>
        <v/>
      </c>
      <c r="J76" s="64" t="str">
        <f>IF('Registrar expedidas_ingresos'!J76="","",'Registrar expedidas_ingresos'!J76)</f>
        <v/>
      </c>
      <c r="K76" s="60" t="str">
        <f>IF('Registrar expedidas_ingresos'!K76="","",'Registrar expedidas_ingresos'!K76)</f>
        <v/>
      </c>
      <c r="L76" s="60" t="str">
        <f>IF('Registrar expedidas_ingresos'!L76="","",'Registrar expedidas_ingresos'!L76)</f>
        <v/>
      </c>
      <c r="M76" s="60" t="str">
        <f>IF('Registrar expedidas_ingresos'!M76="","",'Registrar expedidas_ingresos'!M76)</f>
        <v/>
      </c>
      <c r="N76" s="61" t="str">
        <f>IF(OR(F76="F2",LEFT('Registrar expedidas_ingresos'!N76,2)="01"),"",IF(ISERROR(VLOOKUP(CONCATENATE("TIPO NIF",'Registrar expedidas_ingresos'!N76),'CODIGO-LITERAL'!$C:$D,2,FALSE)),"",VLOOKUP(CONCATENATE("TIPO NIF",'Registrar expedidas_ingresos'!N76),'CODIGO-LITERAL'!$C:$D,2,FALSE)))</f>
        <v/>
      </c>
      <c r="O76" s="60" t="str">
        <f>IF(OR('Registrar expedidas_ingresos'!O76="",N76="02",F76="F2"),"",'Registrar expedidas_ingresos'!O76)</f>
        <v/>
      </c>
      <c r="P76" s="60" t="str">
        <f>IF('Registrar expedidas_ingresos'!P76="","",'Registrar expedidas_ingresos'!P76)</f>
        <v/>
      </c>
      <c r="Q76" s="60" t="str">
        <f>IF(F76="F2","VENTAS A CONSUMIDOR FINAL",IF('Registrar expedidas_ingresos'!Q76="","",'Registrar expedidas_ingresos'!Q76))</f>
        <v/>
      </c>
      <c r="R76" s="61" t="str">
        <f>IF(F76="DV","02",IF(ISERROR(VLOOKUP(CONCATENATE("CLAVE OPERACION",'Registrar expedidas_ingresos'!R76),'CODIGO-LITERAL'!$C:$D,2,FALSE)),"",VLOOKUP(CONCATENATE("CLAVE OPERACION",'Registrar expedidas_ingresos'!R76),'CODIGO-LITERAL'!$C:$D,2,FALSE)))</f>
        <v/>
      </c>
      <c r="S76" s="61" t="str">
        <f>IF(R76="03","S1",
 IF(R76="08","N2",
  IF(ISERROR(VLOOKUP(CONCATENATE("CALIFICACION OPERACION",'Registrar expedidas_ingresos'!S76),'CODIGO-LITERAL'!$C:$D,2,FALSE)),"",VLOOKUP(CONCATENATE("CALIFICACION OPERACION",'Registrar expedidas_ingresos'!S76),'CODIGO-LITERAL'!$C:$D,2,FALSE))))</f>
        <v/>
      </c>
      <c r="T76" s="61" t="str">
        <f>IF(R76="03","",IF(R76="08","",IF(ISERROR(VLOOKUP(CONCATENATE("OPERACION EXENTA",'Registrar expedidas_ingresos'!T76),'CODIGO-LITERAL'!$C:$D,2,FALSE)),"",VLOOKUP(CONCATENATE("OPERACION EXENTA",'Registrar expedidas_ingresos'!T76),'CODIGO-LITERAL'!$C:$D,2,FALSE))))</f>
        <v/>
      </c>
      <c r="U76" s="60" t="str">
        <f t="shared" si="2"/>
        <v/>
      </c>
      <c r="V76" s="60" t="str">
        <f>IF('Registrar expedidas_ingresos'!V76="","",ROUND('Registrar expedidas_ingresos'!V76,2))</f>
        <v/>
      </c>
      <c r="W76" s="60" t="str">
        <f>IF(S76="S2",0,IF('Registrar expedidas_ingresos'!W76="","",'Registrar expedidas_ingresos'!W76))</f>
        <v/>
      </c>
      <c r="X76" s="60" t="str">
        <f>IF(S76="S2",0,IF('Registrar expedidas_ingresos'!X76="","",ROUND('Registrar expedidas_ingresos'!X76,2)))</f>
        <v/>
      </c>
      <c r="Y76" s="60" t="str">
        <f>IF('Registrar expedidas_ingresos'!Y76="","",'Registrar expedidas_ingresos'!Y76)</f>
        <v/>
      </c>
      <c r="Z76" s="60" t="str">
        <f>IF('Registrar expedidas_ingresos'!Z76="","",ROUND('Registrar expedidas_ingresos'!Z76,2))</f>
        <v/>
      </c>
      <c r="AA76" s="64" t="str">
        <f>IF(R76&lt;&gt;"07","",IF('Registrar expedidas_ingresos'!AA76="","",'Registrar expedidas_ingresos'!AA76))</f>
        <v/>
      </c>
      <c r="AB76" s="60" t="str">
        <f>IF(R76&lt;&gt;"07","",IF('Registrar expedidas_ingresos'!AB76="","",'Registrar expedidas_ingresos'!AB76))</f>
        <v/>
      </c>
      <c r="AC76" s="61" t="str">
        <f>IF(R76&lt;&gt;"07","",IF(ISERROR(VLOOKUP(CONCATENATE("MEDIO UTILIZADO",'Registrar expedidas_ingresos'!AC76),'CODIGO-LITERAL'!$C:$D,2,FALSE)),"",VLOOKUP(CONCATENATE("MEDIO UTILIZADO",'Registrar expedidas_ingresos'!AC76),'CODIGO-LITERAL'!$C:$D,2,FALSE)))</f>
        <v/>
      </c>
      <c r="AD76" s="60" t="str">
        <f>IF(R76&lt;&gt;"07","",IF('Registrar expedidas_ingresos'!AD76="","",'Registrar expedidas_ingresos'!AD76))</f>
        <v/>
      </c>
      <c r="AE76" s="65"/>
      <c r="AF76" s="65"/>
      <c r="AG76" s="60" t="str">
        <f>IF('Registrar expedidas_ingresos'!AG76="","",'Registrar expedidas_ingresos'!AG76)</f>
        <v/>
      </c>
      <c r="AH76" s="61" t="str">
        <f>IF(ISERROR(VLOOKUP(CONCATENATE("SITUACION",'Registrar expedidas_ingresos'!AH76),'CODIGO-LITERAL'!$C:$D,2,FALSE)),"",VLOOKUP(CONCATENATE("SITUACION",'Registrar expedidas_ingresos'!AH76),'CODIGO-LITERAL'!$C:$D,2,FALSE))</f>
        <v/>
      </c>
      <c r="AI76" s="60" t="str">
        <f>IF('Registrar expedidas_ingresos'!AI76="","",'Registrar expedidas_ingresos'!AI76)</f>
        <v/>
      </c>
      <c r="AJ76" s="60" t="str">
        <f>IF('Registrar expedidas_ingresos'!AJ76="","",'Registrar expedidas_ingresos'!AJ76)</f>
        <v/>
      </c>
    </row>
    <row r="77" spans="1:36" x14ac:dyDescent="0.25">
      <c r="A77" s="59" t="str">
        <f>IF('Registrar expedidas_ingresos'!J77="",IF('Registrar expedidas_ingresos'!I77="","",YEAR('Registrar expedidas_ingresos'!I77)),YEAR('Registrar expedidas_ingresos'!J77))</f>
        <v/>
      </c>
      <c r="B77" s="60" t="str">
        <f>IF('Registrar expedidas_ingresos'!B77="","",'Registrar expedidas_ingresos'!B77)</f>
        <v/>
      </c>
      <c r="C77" s="60" t="str">
        <f>IF('Registrar expedidas_ingresos'!C77="","",VLOOKUP(CONCATENATE("ACTIVIDAD",'Registrar expedidas_ingresos'!C77),'CODIGO-LITERAL'!C:D,2,FALSE))</f>
        <v/>
      </c>
      <c r="D77" s="60" t="str">
        <f>IF(OR(C77="C",C77="D"),"",IF(ISERROR(VLOOKUP(CONCATENATE(C77,'Registrar expedidas_ingresos'!D77),'CODIGO-LITERAL'!$C:$D,2,FALSE)),"",VLOOKUP(CONCATENATE(C77,'Registrar expedidas_ingresos'!D77),'CODIGO-LITERAL'!$C:$D,2,FALSE)))</f>
        <v/>
      </c>
      <c r="E77" s="60" t="str">
        <f>IF('Registrar expedidas_ingresos'!E77="","",'Registrar expedidas_ingresos'!E77)</f>
        <v/>
      </c>
      <c r="F77" s="61" t="str">
        <f>IF(ISERROR(VLOOKUP(CONCATENATE("TIPO FACTURA",'Registrar expedidas_ingresos'!F77),'CODIGO-LITERAL'!$C:$D,2,FALSE)),"",VLOOKUP(CONCATENATE("TIPO FACTURA",'Registrar expedidas_ingresos'!F77),'CODIGO-LITERAL'!$C:$D,2,FALSE))</f>
        <v/>
      </c>
      <c r="G77" s="62"/>
      <c r="H77" s="63"/>
      <c r="I77" s="64" t="str">
        <f>IF('Registrar expedidas_ingresos'!I77="","",'Registrar expedidas_ingresos'!I77)</f>
        <v/>
      </c>
      <c r="J77" s="64" t="str">
        <f>IF('Registrar expedidas_ingresos'!J77="","",'Registrar expedidas_ingresos'!J77)</f>
        <v/>
      </c>
      <c r="K77" s="60" t="str">
        <f>IF('Registrar expedidas_ingresos'!K77="","",'Registrar expedidas_ingresos'!K77)</f>
        <v/>
      </c>
      <c r="L77" s="60" t="str">
        <f>IF('Registrar expedidas_ingresos'!L77="","",'Registrar expedidas_ingresos'!L77)</f>
        <v/>
      </c>
      <c r="M77" s="60" t="str">
        <f>IF('Registrar expedidas_ingresos'!M77="","",'Registrar expedidas_ingresos'!M77)</f>
        <v/>
      </c>
      <c r="N77" s="61" t="str">
        <f>IF(OR(F77="F2",LEFT('Registrar expedidas_ingresos'!N77,2)="01"),"",IF(ISERROR(VLOOKUP(CONCATENATE("TIPO NIF",'Registrar expedidas_ingresos'!N77),'CODIGO-LITERAL'!$C:$D,2,FALSE)),"",VLOOKUP(CONCATENATE("TIPO NIF",'Registrar expedidas_ingresos'!N77),'CODIGO-LITERAL'!$C:$D,2,FALSE)))</f>
        <v/>
      </c>
      <c r="O77" s="60" t="str">
        <f>IF(OR('Registrar expedidas_ingresos'!O77="",N77="02",F77="F2"),"",'Registrar expedidas_ingresos'!O77)</f>
        <v/>
      </c>
      <c r="P77" s="60" t="str">
        <f>IF('Registrar expedidas_ingresos'!P77="","",'Registrar expedidas_ingresos'!P77)</f>
        <v/>
      </c>
      <c r="Q77" s="60" t="str">
        <f>IF(F77="F2","VENTAS A CONSUMIDOR FINAL",IF('Registrar expedidas_ingresos'!Q77="","",'Registrar expedidas_ingresos'!Q77))</f>
        <v/>
      </c>
      <c r="R77" s="61" t="str">
        <f>IF(F77="DV","02",IF(ISERROR(VLOOKUP(CONCATENATE("CLAVE OPERACION",'Registrar expedidas_ingresos'!R77),'CODIGO-LITERAL'!$C:$D,2,FALSE)),"",VLOOKUP(CONCATENATE("CLAVE OPERACION",'Registrar expedidas_ingresos'!R77),'CODIGO-LITERAL'!$C:$D,2,FALSE)))</f>
        <v/>
      </c>
      <c r="S77" s="61" t="str">
        <f>IF(R77="03","S1",
 IF(R77="08","N2",
  IF(ISERROR(VLOOKUP(CONCATENATE("CALIFICACION OPERACION",'Registrar expedidas_ingresos'!S77),'CODIGO-LITERAL'!$C:$D,2,FALSE)),"",VLOOKUP(CONCATENATE("CALIFICACION OPERACION",'Registrar expedidas_ingresos'!S77),'CODIGO-LITERAL'!$C:$D,2,FALSE))))</f>
        <v/>
      </c>
      <c r="T77" s="61" t="str">
        <f>IF(R77="03","",IF(R77="08","",IF(ISERROR(VLOOKUP(CONCATENATE("OPERACION EXENTA",'Registrar expedidas_ingresos'!T77),'CODIGO-LITERAL'!$C:$D,2,FALSE)),"",VLOOKUP(CONCATENATE("OPERACION EXENTA",'Registrar expedidas_ingresos'!T77),'CODIGO-LITERAL'!$C:$D,2,FALSE))))</f>
        <v/>
      </c>
      <c r="U77" s="60" t="str">
        <f t="shared" si="2"/>
        <v/>
      </c>
      <c r="V77" s="60" t="str">
        <f>IF('Registrar expedidas_ingresos'!V77="","",ROUND('Registrar expedidas_ingresos'!V77,2))</f>
        <v/>
      </c>
      <c r="W77" s="60" t="str">
        <f>IF(S77="S2",0,IF('Registrar expedidas_ingresos'!W77="","",'Registrar expedidas_ingresos'!W77))</f>
        <v/>
      </c>
      <c r="X77" s="60" t="str">
        <f>IF(S77="S2",0,IF('Registrar expedidas_ingresos'!X77="","",ROUND('Registrar expedidas_ingresos'!X77,2)))</f>
        <v/>
      </c>
      <c r="Y77" s="60" t="str">
        <f>IF('Registrar expedidas_ingresos'!Y77="","",'Registrar expedidas_ingresos'!Y77)</f>
        <v/>
      </c>
      <c r="Z77" s="60" t="str">
        <f>IF('Registrar expedidas_ingresos'!Z77="","",ROUND('Registrar expedidas_ingresos'!Z77,2))</f>
        <v/>
      </c>
      <c r="AA77" s="64" t="str">
        <f>IF(R77&lt;&gt;"07","",IF('Registrar expedidas_ingresos'!AA77="","",'Registrar expedidas_ingresos'!AA77))</f>
        <v/>
      </c>
      <c r="AB77" s="60" t="str">
        <f>IF(R77&lt;&gt;"07","",IF('Registrar expedidas_ingresos'!AB77="","",'Registrar expedidas_ingresos'!AB77))</f>
        <v/>
      </c>
      <c r="AC77" s="61" t="str">
        <f>IF(R77&lt;&gt;"07","",IF(ISERROR(VLOOKUP(CONCATENATE("MEDIO UTILIZADO",'Registrar expedidas_ingresos'!AC77),'CODIGO-LITERAL'!$C:$D,2,FALSE)),"",VLOOKUP(CONCATENATE("MEDIO UTILIZADO",'Registrar expedidas_ingresos'!AC77),'CODIGO-LITERAL'!$C:$D,2,FALSE)))</f>
        <v/>
      </c>
      <c r="AD77" s="60" t="str">
        <f>IF(R77&lt;&gt;"07","",IF('Registrar expedidas_ingresos'!AD77="","",'Registrar expedidas_ingresos'!AD77))</f>
        <v/>
      </c>
      <c r="AE77" s="65"/>
      <c r="AF77" s="65"/>
      <c r="AG77" s="60" t="str">
        <f>IF('Registrar expedidas_ingresos'!AG77="","",'Registrar expedidas_ingresos'!AG77)</f>
        <v/>
      </c>
      <c r="AH77" s="61" t="str">
        <f>IF(ISERROR(VLOOKUP(CONCATENATE("SITUACION",'Registrar expedidas_ingresos'!AH77),'CODIGO-LITERAL'!$C:$D,2,FALSE)),"",VLOOKUP(CONCATENATE("SITUACION",'Registrar expedidas_ingresos'!AH77),'CODIGO-LITERAL'!$C:$D,2,FALSE))</f>
        <v/>
      </c>
      <c r="AI77" s="60" t="str">
        <f>IF('Registrar expedidas_ingresos'!AI77="","",'Registrar expedidas_ingresos'!AI77)</f>
        <v/>
      </c>
      <c r="AJ77" s="60" t="str">
        <f>IF('Registrar expedidas_ingresos'!AJ77="","",'Registrar expedidas_ingresos'!AJ77)</f>
        <v/>
      </c>
    </row>
    <row r="78" spans="1:36" x14ac:dyDescent="0.25">
      <c r="A78" s="59" t="str">
        <f>IF('Registrar expedidas_ingresos'!J78="",IF('Registrar expedidas_ingresos'!I78="","",YEAR('Registrar expedidas_ingresos'!I78)),YEAR('Registrar expedidas_ingresos'!J78))</f>
        <v/>
      </c>
      <c r="B78" s="60" t="str">
        <f>IF('Registrar expedidas_ingresos'!B78="","",'Registrar expedidas_ingresos'!B78)</f>
        <v/>
      </c>
      <c r="C78" s="60" t="str">
        <f>IF('Registrar expedidas_ingresos'!C78="","",VLOOKUP(CONCATENATE("ACTIVIDAD",'Registrar expedidas_ingresos'!C78),'CODIGO-LITERAL'!C:D,2,FALSE))</f>
        <v/>
      </c>
      <c r="D78" s="60" t="str">
        <f>IF(OR(C78="C",C78="D"),"",IF(ISERROR(VLOOKUP(CONCATENATE(C78,'Registrar expedidas_ingresos'!D78),'CODIGO-LITERAL'!$C:$D,2,FALSE)),"",VLOOKUP(CONCATENATE(C78,'Registrar expedidas_ingresos'!D78),'CODIGO-LITERAL'!$C:$D,2,FALSE)))</f>
        <v/>
      </c>
      <c r="E78" s="60" t="str">
        <f>IF('Registrar expedidas_ingresos'!E78="","",'Registrar expedidas_ingresos'!E78)</f>
        <v/>
      </c>
      <c r="F78" s="61" t="str">
        <f>IF(ISERROR(VLOOKUP(CONCATENATE("TIPO FACTURA",'Registrar expedidas_ingresos'!F78),'CODIGO-LITERAL'!$C:$D,2,FALSE)),"",VLOOKUP(CONCATENATE("TIPO FACTURA",'Registrar expedidas_ingresos'!F78),'CODIGO-LITERAL'!$C:$D,2,FALSE))</f>
        <v/>
      </c>
      <c r="G78" s="62"/>
      <c r="H78" s="63"/>
      <c r="I78" s="64" t="str">
        <f>IF('Registrar expedidas_ingresos'!I78="","",'Registrar expedidas_ingresos'!I78)</f>
        <v/>
      </c>
      <c r="J78" s="64" t="str">
        <f>IF('Registrar expedidas_ingresos'!J78="","",'Registrar expedidas_ingresos'!J78)</f>
        <v/>
      </c>
      <c r="K78" s="60" t="str">
        <f>IF('Registrar expedidas_ingresos'!K78="","",'Registrar expedidas_ingresos'!K78)</f>
        <v/>
      </c>
      <c r="L78" s="60" t="str">
        <f>IF('Registrar expedidas_ingresos'!L78="","",'Registrar expedidas_ingresos'!L78)</f>
        <v/>
      </c>
      <c r="M78" s="60" t="str">
        <f>IF('Registrar expedidas_ingresos'!M78="","",'Registrar expedidas_ingresos'!M78)</f>
        <v/>
      </c>
      <c r="N78" s="61" t="str">
        <f>IF(OR(F78="F2",LEFT('Registrar expedidas_ingresos'!N78,2)="01"),"",IF(ISERROR(VLOOKUP(CONCATENATE("TIPO NIF",'Registrar expedidas_ingresos'!N78),'CODIGO-LITERAL'!$C:$D,2,FALSE)),"",VLOOKUP(CONCATENATE("TIPO NIF",'Registrar expedidas_ingresos'!N78),'CODIGO-LITERAL'!$C:$D,2,FALSE)))</f>
        <v/>
      </c>
      <c r="O78" s="60" t="str">
        <f>IF(OR('Registrar expedidas_ingresos'!O78="",N78="02",F78="F2"),"",'Registrar expedidas_ingresos'!O78)</f>
        <v/>
      </c>
      <c r="P78" s="60" t="str">
        <f>IF('Registrar expedidas_ingresos'!P78="","",'Registrar expedidas_ingresos'!P78)</f>
        <v/>
      </c>
      <c r="Q78" s="60" t="str">
        <f>IF(F78="F2","VENTAS A CONSUMIDOR FINAL",IF('Registrar expedidas_ingresos'!Q78="","",'Registrar expedidas_ingresos'!Q78))</f>
        <v/>
      </c>
      <c r="R78" s="61" t="str">
        <f>IF(F78="DV","02",IF(ISERROR(VLOOKUP(CONCATENATE("CLAVE OPERACION",'Registrar expedidas_ingresos'!R78),'CODIGO-LITERAL'!$C:$D,2,FALSE)),"",VLOOKUP(CONCATENATE("CLAVE OPERACION",'Registrar expedidas_ingresos'!R78),'CODIGO-LITERAL'!$C:$D,2,FALSE)))</f>
        <v/>
      </c>
      <c r="S78" s="61" t="str">
        <f>IF(R78="03","S1",
 IF(R78="08","N2",
  IF(ISERROR(VLOOKUP(CONCATENATE("CALIFICACION OPERACION",'Registrar expedidas_ingresos'!S78),'CODIGO-LITERAL'!$C:$D,2,FALSE)),"",VLOOKUP(CONCATENATE("CALIFICACION OPERACION",'Registrar expedidas_ingresos'!S78),'CODIGO-LITERAL'!$C:$D,2,FALSE))))</f>
        <v/>
      </c>
      <c r="T78" s="61" t="str">
        <f>IF(R78="03","",IF(R78="08","",IF(ISERROR(VLOOKUP(CONCATENATE("OPERACION EXENTA",'Registrar expedidas_ingresos'!T78),'CODIGO-LITERAL'!$C:$D,2,FALSE)),"",VLOOKUP(CONCATENATE("OPERACION EXENTA",'Registrar expedidas_ingresos'!T78),'CODIGO-LITERAL'!$C:$D,2,FALSE))))</f>
        <v/>
      </c>
      <c r="U78" s="60" t="str">
        <f t="shared" si="2"/>
        <v/>
      </c>
      <c r="V78" s="60" t="str">
        <f>IF('Registrar expedidas_ingresos'!V78="","",ROUND('Registrar expedidas_ingresos'!V78,2))</f>
        <v/>
      </c>
      <c r="W78" s="60" t="str">
        <f>IF(S78="S2",0,IF('Registrar expedidas_ingresos'!W78="","",'Registrar expedidas_ingresos'!W78))</f>
        <v/>
      </c>
      <c r="X78" s="60" t="str">
        <f>IF(S78="S2",0,IF('Registrar expedidas_ingresos'!X78="","",ROUND('Registrar expedidas_ingresos'!X78,2)))</f>
        <v/>
      </c>
      <c r="Y78" s="60" t="str">
        <f>IF('Registrar expedidas_ingresos'!Y78="","",'Registrar expedidas_ingresos'!Y78)</f>
        <v/>
      </c>
      <c r="Z78" s="60" t="str">
        <f>IF('Registrar expedidas_ingresos'!Z78="","",ROUND('Registrar expedidas_ingresos'!Z78,2))</f>
        <v/>
      </c>
      <c r="AA78" s="64" t="str">
        <f>IF(R78&lt;&gt;"07","",IF('Registrar expedidas_ingresos'!AA78="","",'Registrar expedidas_ingresos'!AA78))</f>
        <v/>
      </c>
      <c r="AB78" s="60" t="str">
        <f>IF(R78&lt;&gt;"07","",IF('Registrar expedidas_ingresos'!AB78="","",'Registrar expedidas_ingresos'!AB78))</f>
        <v/>
      </c>
      <c r="AC78" s="61" t="str">
        <f>IF(R78&lt;&gt;"07","",IF(ISERROR(VLOOKUP(CONCATENATE("MEDIO UTILIZADO",'Registrar expedidas_ingresos'!AC78),'CODIGO-LITERAL'!$C:$D,2,FALSE)),"",VLOOKUP(CONCATENATE("MEDIO UTILIZADO",'Registrar expedidas_ingresos'!AC78),'CODIGO-LITERAL'!$C:$D,2,FALSE)))</f>
        <v/>
      </c>
      <c r="AD78" s="60" t="str">
        <f>IF(R78&lt;&gt;"07","",IF('Registrar expedidas_ingresos'!AD78="","",'Registrar expedidas_ingresos'!AD78))</f>
        <v/>
      </c>
      <c r="AE78" s="65"/>
      <c r="AF78" s="65"/>
      <c r="AG78" s="60" t="str">
        <f>IF('Registrar expedidas_ingresos'!AG78="","",'Registrar expedidas_ingresos'!AG78)</f>
        <v/>
      </c>
      <c r="AH78" s="61" t="str">
        <f>IF(ISERROR(VLOOKUP(CONCATENATE("SITUACION",'Registrar expedidas_ingresos'!AH78),'CODIGO-LITERAL'!$C:$D,2,FALSE)),"",VLOOKUP(CONCATENATE("SITUACION",'Registrar expedidas_ingresos'!AH78),'CODIGO-LITERAL'!$C:$D,2,FALSE))</f>
        <v/>
      </c>
      <c r="AI78" s="60" t="str">
        <f>IF('Registrar expedidas_ingresos'!AI78="","",'Registrar expedidas_ingresos'!AI78)</f>
        <v/>
      </c>
      <c r="AJ78" s="60" t="str">
        <f>IF('Registrar expedidas_ingresos'!AJ78="","",'Registrar expedidas_ingresos'!AJ78)</f>
        <v/>
      </c>
    </row>
    <row r="79" spans="1:36" x14ac:dyDescent="0.25">
      <c r="A79" s="59" t="str">
        <f>IF('Registrar expedidas_ingresos'!J79="",IF('Registrar expedidas_ingresos'!I79="","",YEAR('Registrar expedidas_ingresos'!I79)),YEAR('Registrar expedidas_ingresos'!J79))</f>
        <v/>
      </c>
      <c r="B79" s="60" t="str">
        <f>IF('Registrar expedidas_ingresos'!B79="","",'Registrar expedidas_ingresos'!B79)</f>
        <v/>
      </c>
      <c r="C79" s="60" t="str">
        <f>IF('Registrar expedidas_ingresos'!C79="","",VLOOKUP(CONCATENATE("ACTIVIDAD",'Registrar expedidas_ingresos'!C79),'CODIGO-LITERAL'!C:D,2,FALSE))</f>
        <v/>
      </c>
      <c r="D79" s="60" t="str">
        <f>IF(OR(C79="C",C79="D"),"",IF(ISERROR(VLOOKUP(CONCATENATE(C79,'Registrar expedidas_ingresos'!D79),'CODIGO-LITERAL'!$C:$D,2,FALSE)),"",VLOOKUP(CONCATENATE(C79,'Registrar expedidas_ingresos'!D79),'CODIGO-LITERAL'!$C:$D,2,FALSE)))</f>
        <v/>
      </c>
      <c r="E79" s="60" t="str">
        <f>IF('Registrar expedidas_ingresos'!E79="","",'Registrar expedidas_ingresos'!E79)</f>
        <v/>
      </c>
      <c r="F79" s="61" t="str">
        <f>IF(ISERROR(VLOOKUP(CONCATENATE("TIPO FACTURA",'Registrar expedidas_ingresos'!F79),'CODIGO-LITERAL'!$C:$D,2,FALSE)),"",VLOOKUP(CONCATENATE("TIPO FACTURA",'Registrar expedidas_ingresos'!F79),'CODIGO-LITERAL'!$C:$D,2,FALSE))</f>
        <v/>
      </c>
      <c r="G79" s="62"/>
      <c r="H79" s="63"/>
      <c r="I79" s="64" t="str">
        <f>IF('Registrar expedidas_ingresos'!I79="","",'Registrar expedidas_ingresos'!I79)</f>
        <v/>
      </c>
      <c r="J79" s="64" t="str">
        <f>IF('Registrar expedidas_ingresos'!J79="","",'Registrar expedidas_ingresos'!J79)</f>
        <v/>
      </c>
      <c r="K79" s="60" t="str">
        <f>IF('Registrar expedidas_ingresos'!K79="","",'Registrar expedidas_ingresos'!K79)</f>
        <v/>
      </c>
      <c r="L79" s="60" t="str">
        <f>IF('Registrar expedidas_ingresos'!L79="","",'Registrar expedidas_ingresos'!L79)</f>
        <v/>
      </c>
      <c r="M79" s="60" t="str">
        <f>IF('Registrar expedidas_ingresos'!M79="","",'Registrar expedidas_ingresos'!M79)</f>
        <v/>
      </c>
      <c r="N79" s="61" t="str">
        <f>IF(OR(F79="F2",LEFT('Registrar expedidas_ingresos'!N79,2)="01"),"",IF(ISERROR(VLOOKUP(CONCATENATE("TIPO NIF",'Registrar expedidas_ingresos'!N79),'CODIGO-LITERAL'!$C:$D,2,FALSE)),"",VLOOKUP(CONCATENATE("TIPO NIF",'Registrar expedidas_ingresos'!N79),'CODIGO-LITERAL'!$C:$D,2,FALSE)))</f>
        <v/>
      </c>
      <c r="O79" s="60" t="str">
        <f>IF(OR('Registrar expedidas_ingresos'!O79="",N79="02",F79="F2"),"",'Registrar expedidas_ingresos'!O79)</f>
        <v/>
      </c>
      <c r="P79" s="60" t="str">
        <f>IF('Registrar expedidas_ingresos'!P79="","",'Registrar expedidas_ingresos'!P79)</f>
        <v/>
      </c>
      <c r="Q79" s="60" t="str">
        <f>IF(F79="F2","VENTAS A CONSUMIDOR FINAL",IF('Registrar expedidas_ingresos'!Q79="","",'Registrar expedidas_ingresos'!Q79))</f>
        <v/>
      </c>
      <c r="R79" s="61" t="str">
        <f>IF(F79="DV","02",IF(ISERROR(VLOOKUP(CONCATENATE("CLAVE OPERACION",'Registrar expedidas_ingresos'!R79),'CODIGO-LITERAL'!$C:$D,2,FALSE)),"",VLOOKUP(CONCATENATE("CLAVE OPERACION",'Registrar expedidas_ingresos'!R79),'CODIGO-LITERAL'!$C:$D,2,FALSE)))</f>
        <v/>
      </c>
      <c r="S79" s="61" t="str">
        <f>IF(R79="03","S1",
 IF(R79="08","N2",
  IF(ISERROR(VLOOKUP(CONCATENATE("CALIFICACION OPERACION",'Registrar expedidas_ingresos'!S79),'CODIGO-LITERAL'!$C:$D,2,FALSE)),"",VLOOKUP(CONCATENATE("CALIFICACION OPERACION",'Registrar expedidas_ingresos'!S79),'CODIGO-LITERAL'!$C:$D,2,FALSE))))</f>
        <v/>
      </c>
      <c r="T79" s="61" t="str">
        <f>IF(R79="03","",IF(R79="08","",IF(ISERROR(VLOOKUP(CONCATENATE("OPERACION EXENTA",'Registrar expedidas_ingresos'!T79),'CODIGO-LITERAL'!$C:$D,2,FALSE)),"",VLOOKUP(CONCATENATE("OPERACION EXENTA",'Registrar expedidas_ingresos'!T79),'CODIGO-LITERAL'!$C:$D,2,FALSE))))</f>
        <v/>
      </c>
      <c r="U79" s="60" t="str">
        <f t="shared" si="2"/>
        <v/>
      </c>
      <c r="V79" s="60" t="str">
        <f>IF('Registrar expedidas_ingresos'!V79="","",ROUND('Registrar expedidas_ingresos'!V79,2))</f>
        <v/>
      </c>
      <c r="W79" s="60" t="str">
        <f>IF(S79="S2",0,IF('Registrar expedidas_ingresos'!W79="","",'Registrar expedidas_ingresos'!W79))</f>
        <v/>
      </c>
      <c r="X79" s="60" t="str">
        <f>IF(S79="S2",0,IF('Registrar expedidas_ingresos'!X79="","",ROUND('Registrar expedidas_ingresos'!X79,2)))</f>
        <v/>
      </c>
      <c r="Y79" s="60" t="str">
        <f>IF('Registrar expedidas_ingresos'!Y79="","",'Registrar expedidas_ingresos'!Y79)</f>
        <v/>
      </c>
      <c r="Z79" s="60" t="str">
        <f>IF('Registrar expedidas_ingresos'!Z79="","",ROUND('Registrar expedidas_ingresos'!Z79,2))</f>
        <v/>
      </c>
      <c r="AA79" s="64" t="str">
        <f>IF(R79&lt;&gt;"07","",IF('Registrar expedidas_ingresos'!AA79="","",'Registrar expedidas_ingresos'!AA79))</f>
        <v/>
      </c>
      <c r="AB79" s="60" t="str">
        <f>IF(R79&lt;&gt;"07","",IF('Registrar expedidas_ingresos'!AB79="","",'Registrar expedidas_ingresos'!AB79))</f>
        <v/>
      </c>
      <c r="AC79" s="61" t="str">
        <f>IF(R79&lt;&gt;"07","",IF(ISERROR(VLOOKUP(CONCATENATE("MEDIO UTILIZADO",'Registrar expedidas_ingresos'!AC79),'CODIGO-LITERAL'!$C:$D,2,FALSE)),"",VLOOKUP(CONCATENATE("MEDIO UTILIZADO",'Registrar expedidas_ingresos'!AC79),'CODIGO-LITERAL'!$C:$D,2,FALSE)))</f>
        <v/>
      </c>
      <c r="AD79" s="60" t="str">
        <f>IF(R79&lt;&gt;"07","",IF('Registrar expedidas_ingresos'!AD79="","",'Registrar expedidas_ingresos'!AD79))</f>
        <v/>
      </c>
      <c r="AE79" s="65"/>
      <c r="AF79" s="65"/>
      <c r="AG79" s="60" t="str">
        <f>IF('Registrar expedidas_ingresos'!AG79="","",'Registrar expedidas_ingresos'!AG79)</f>
        <v/>
      </c>
      <c r="AH79" s="61" t="str">
        <f>IF(ISERROR(VLOOKUP(CONCATENATE("SITUACION",'Registrar expedidas_ingresos'!AH79),'CODIGO-LITERAL'!$C:$D,2,FALSE)),"",VLOOKUP(CONCATENATE("SITUACION",'Registrar expedidas_ingresos'!AH79),'CODIGO-LITERAL'!$C:$D,2,FALSE))</f>
        <v/>
      </c>
      <c r="AI79" s="60" t="str">
        <f>IF('Registrar expedidas_ingresos'!AI79="","",'Registrar expedidas_ingresos'!AI79)</f>
        <v/>
      </c>
      <c r="AJ79" s="60" t="str">
        <f>IF('Registrar expedidas_ingresos'!AJ79="","",'Registrar expedidas_ingresos'!AJ79)</f>
        <v/>
      </c>
    </row>
    <row r="80" spans="1:36" x14ac:dyDescent="0.25">
      <c r="A80" s="59" t="str">
        <f>IF('Registrar expedidas_ingresos'!J80="",IF('Registrar expedidas_ingresos'!I80="","",YEAR('Registrar expedidas_ingresos'!I80)),YEAR('Registrar expedidas_ingresos'!J80))</f>
        <v/>
      </c>
      <c r="B80" s="60" t="str">
        <f>IF('Registrar expedidas_ingresos'!B80="","",'Registrar expedidas_ingresos'!B80)</f>
        <v/>
      </c>
      <c r="C80" s="60" t="str">
        <f>IF('Registrar expedidas_ingresos'!C80="","",VLOOKUP(CONCATENATE("ACTIVIDAD",'Registrar expedidas_ingresos'!C80),'CODIGO-LITERAL'!C:D,2,FALSE))</f>
        <v/>
      </c>
      <c r="D80" s="60" t="str">
        <f>IF(OR(C80="C",C80="D"),"",IF(ISERROR(VLOOKUP(CONCATENATE(C80,'Registrar expedidas_ingresos'!D80),'CODIGO-LITERAL'!$C:$D,2,FALSE)),"",VLOOKUP(CONCATENATE(C80,'Registrar expedidas_ingresos'!D80),'CODIGO-LITERAL'!$C:$D,2,FALSE)))</f>
        <v/>
      </c>
      <c r="E80" s="60" t="str">
        <f>IF('Registrar expedidas_ingresos'!E80="","",'Registrar expedidas_ingresos'!E80)</f>
        <v/>
      </c>
      <c r="F80" s="61" t="str">
        <f>IF(ISERROR(VLOOKUP(CONCATENATE("TIPO FACTURA",'Registrar expedidas_ingresos'!F80),'CODIGO-LITERAL'!$C:$D,2,FALSE)),"",VLOOKUP(CONCATENATE("TIPO FACTURA",'Registrar expedidas_ingresos'!F80),'CODIGO-LITERAL'!$C:$D,2,FALSE))</f>
        <v/>
      </c>
      <c r="G80" s="62"/>
      <c r="H80" s="63"/>
      <c r="I80" s="64" t="str">
        <f>IF('Registrar expedidas_ingresos'!I80="","",'Registrar expedidas_ingresos'!I80)</f>
        <v/>
      </c>
      <c r="J80" s="64" t="str">
        <f>IF('Registrar expedidas_ingresos'!J80="","",'Registrar expedidas_ingresos'!J80)</f>
        <v/>
      </c>
      <c r="K80" s="60" t="str">
        <f>IF('Registrar expedidas_ingresos'!K80="","",'Registrar expedidas_ingresos'!K80)</f>
        <v/>
      </c>
      <c r="L80" s="60" t="str">
        <f>IF('Registrar expedidas_ingresos'!L80="","",'Registrar expedidas_ingresos'!L80)</f>
        <v/>
      </c>
      <c r="M80" s="60" t="str">
        <f>IF('Registrar expedidas_ingresos'!M80="","",'Registrar expedidas_ingresos'!M80)</f>
        <v/>
      </c>
      <c r="N80" s="61" t="str">
        <f>IF(OR(F80="F2",LEFT('Registrar expedidas_ingresos'!N80,2)="01"),"",IF(ISERROR(VLOOKUP(CONCATENATE("TIPO NIF",'Registrar expedidas_ingresos'!N80),'CODIGO-LITERAL'!$C:$D,2,FALSE)),"",VLOOKUP(CONCATENATE("TIPO NIF",'Registrar expedidas_ingresos'!N80),'CODIGO-LITERAL'!$C:$D,2,FALSE)))</f>
        <v/>
      </c>
      <c r="O80" s="60" t="str">
        <f>IF(OR('Registrar expedidas_ingresos'!O80="",N80="02",F80="F2"),"",'Registrar expedidas_ingresos'!O80)</f>
        <v/>
      </c>
      <c r="P80" s="60" t="str">
        <f>IF('Registrar expedidas_ingresos'!P80="","",'Registrar expedidas_ingresos'!P80)</f>
        <v/>
      </c>
      <c r="Q80" s="60" t="str">
        <f>IF(F80="F2","VENTAS A CONSUMIDOR FINAL",IF('Registrar expedidas_ingresos'!Q80="","",'Registrar expedidas_ingresos'!Q80))</f>
        <v/>
      </c>
      <c r="R80" s="61" t="str">
        <f>IF(F80="DV","02",IF(ISERROR(VLOOKUP(CONCATENATE("CLAVE OPERACION",'Registrar expedidas_ingresos'!R80),'CODIGO-LITERAL'!$C:$D,2,FALSE)),"",VLOOKUP(CONCATENATE("CLAVE OPERACION",'Registrar expedidas_ingresos'!R80),'CODIGO-LITERAL'!$C:$D,2,FALSE)))</f>
        <v/>
      </c>
      <c r="S80" s="61" t="str">
        <f>IF(R80="03","S1",
 IF(R80="08","N2",
  IF(ISERROR(VLOOKUP(CONCATENATE("CALIFICACION OPERACION",'Registrar expedidas_ingresos'!S80),'CODIGO-LITERAL'!$C:$D,2,FALSE)),"",VLOOKUP(CONCATENATE("CALIFICACION OPERACION",'Registrar expedidas_ingresos'!S80),'CODIGO-LITERAL'!$C:$D,2,FALSE))))</f>
        <v/>
      </c>
      <c r="T80" s="61" t="str">
        <f>IF(R80="03","",IF(R80="08","",IF(ISERROR(VLOOKUP(CONCATENATE("OPERACION EXENTA",'Registrar expedidas_ingresos'!T80),'CODIGO-LITERAL'!$C:$D,2,FALSE)),"",VLOOKUP(CONCATENATE("OPERACION EXENTA",'Registrar expedidas_ingresos'!T80),'CODIGO-LITERAL'!$C:$D,2,FALSE))))</f>
        <v/>
      </c>
      <c r="U80" s="60" t="str">
        <f t="shared" si="2"/>
        <v/>
      </c>
      <c r="V80" s="60" t="str">
        <f>IF('Registrar expedidas_ingresos'!V80="","",ROUND('Registrar expedidas_ingresos'!V80,2))</f>
        <v/>
      </c>
      <c r="W80" s="60" t="str">
        <f>IF(S80="S2",0,IF('Registrar expedidas_ingresos'!W80="","",'Registrar expedidas_ingresos'!W80))</f>
        <v/>
      </c>
      <c r="X80" s="60" t="str">
        <f>IF(S80="S2",0,IF('Registrar expedidas_ingresos'!X80="","",ROUND('Registrar expedidas_ingresos'!X80,2)))</f>
        <v/>
      </c>
      <c r="Y80" s="60" t="str">
        <f>IF('Registrar expedidas_ingresos'!Y80="","",'Registrar expedidas_ingresos'!Y80)</f>
        <v/>
      </c>
      <c r="Z80" s="60" t="str">
        <f>IF('Registrar expedidas_ingresos'!Z80="","",ROUND('Registrar expedidas_ingresos'!Z80,2))</f>
        <v/>
      </c>
      <c r="AA80" s="64" t="str">
        <f>IF(R80&lt;&gt;"07","",IF('Registrar expedidas_ingresos'!AA80="","",'Registrar expedidas_ingresos'!AA80))</f>
        <v/>
      </c>
      <c r="AB80" s="60" t="str">
        <f>IF(R80&lt;&gt;"07","",IF('Registrar expedidas_ingresos'!AB80="","",'Registrar expedidas_ingresos'!AB80))</f>
        <v/>
      </c>
      <c r="AC80" s="61" t="str">
        <f>IF(R80&lt;&gt;"07","",IF(ISERROR(VLOOKUP(CONCATENATE("MEDIO UTILIZADO",'Registrar expedidas_ingresos'!AC80),'CODIGO-LITERAL'!$C:$D,2,FALSE)),"",VLOOKUP(CONCATENATE("MEDIO UTILIZADO",'Registrar expedidas_ingresos'!AC80),'CODIGO-LITERAL'!$C:$D,2,FALSE)))</f>
        <v/>
      </c>
      <c r="AD80" s="60" t="str">
        <f>IF(R80&lt;&gt;"07","",IF('Registrar expedidas_ingresos'!AD80="","",'Registrar expedidas_ingresos'!AD80))</f>
        <v/>
      </c>
      <c r="AE80" s="65"/>
      <c r="AF80" s="65"/>
      <c r="AG80" s="60" t="str">
        <f>IF('Registrar expedidas_ingresos'!AG80="","",'Registrar expedidas_ingresos'!AG80)</f>
        <v/>
      </c>
      <c r="AH80" s="61" t="str">
        <f>IF(ISERROR(VLOOKUP(CONCATENATE("SITUACION",'Registrar expedidas_ingresos'!AH80),'CODIGO-LITERAL'!$C:$D,2,FALSE)),"",VLOOKUP(CONCATENATE("SITUACION",'Registrar expedidas_ingresos'!AH80),'CODIGO-LITERAL'!$C:$D,2,FALSE))</f>
        <v/>
      </c>
      <c r="AI80" s="60" t="str">
        <f>IF('Registrar expedidas_ingresos'!AI80="","",'Registrar expedidas_ingresos'!AI80)</f>
        <v/>
      </c>
      <c r="AJ80" s="60" t="str">
        <f>IF('Registrar expedidas_ingresos'!AJ80="","",'Registrar expedidas_ingresos'!AJ80)</f>
        <v/>
      </c>
    </row>
    <row r="81" spans="1:36" x14ac:dyDescent="0.25">
      <c r="A81" s="59" t="str">
        <f>IF('Registrar expedidas_ingresos'!J81="",IF('Registrar expedidas_ingresos'!I81="","",YEAR('Registrar expedidas_ingresos'!I81)),YEAR('Registrar expedidas_ingresos'!J81))</f>
        <v/>
      </c>
      <c r="B81" s="60" t="str">
        <f>IF('Registrar expedidas_ingresos'!B81="","",'Registrar expedidas_ingresos'!B81)</f>
        <v/>
      </c>
      <c r="C81" s="60" t="str">
        <f>IF('Registrar expedidas_ingresos'!C81="","",VLOOKUP(CONCATENATE("ACTIVIDAD",'Registrar expedidas_ingresos'!C81),'CODIGO-LITERAL'!C:D,2,FALSE))</f>
        <v/>
      </c>
      <c r="D81" s="60" t="str">
        <f>IF(OR(C81="C",C81="D"),"",IF(ISERROR(VLOOKUP(CONCATENATE(C81,'Registrar expedidas_ingresos'!D81),'CODIGO-LITERAL'!$C:$D,2,FALSE)),"",VLOOKUP(CONCATENATE(C81,'Registrar expedidas_ingresos'!D81),'CODIGO-LITERAL'!$C:$D,2,FALSE)))</f>
        <v/>
      </c>
      <c r="E81" s="60" t="str">
        <f>IF('Registrar expedidas_ingresos'!E81="","",'Registrar expedidas_ingresos'!E81)</f>
        <v/>
      </c>
      <c r="F81" s="61" t="str">
        <f>IF(ISERROR(VLOOKUP(CONCATENATE("TIPO FACTURA",'Registrar expedidas_ingresos'!F81),'CODIGO-LITERAL'!$C:$D,2,FALSE)),"",VLOOKUP(CONCATENATE("TIPO FACTURA",'Registrar expedidas_ingresos'!F81),'CODIGO-LITERAL'!$C:$D,2,FALSE))</f>
        <v/>
      </c>
      <c r="G81" s="62"/>
      <c r="H81" s="63"/>
      <c r="I81" s="64" t="str">
        <f>IF('Registrar expedidas_ingresos'!I81="","",'Registrar expedidas_ingresos'!I81)</f>
        <v/>
      </c>
      <c r="J81" s="64" t="str">
        <f>IF('Registrar expedidas_ingresos'!J81="","",'Registrar expedidas_ingresos'!J81)</f>
        <v/>
      </c>
      <c r="K81" s="60" t="str">
        <f>IF('Registrar expedidas_ingresos'!K81="","",'Registrar expedidas_ingresos'!K81)</f>
        <v/>
      </c>
      <c r="L81" s="60" t="str">
        <f>IF('Registrar expedidas_ingresos'!L81="","",'Registrar expedidas_ingresos'!L81)</f>
        <v/>
      </c>
      <c r="M81" s="60" t="str">
        <f>IF('Registrar expedidas_ingresos'!M81="","",'Registrar expedidas_ingresos'!M81)</f>
        <v/>
      </c>
      <c r="N81" s="61" t="str">
        <f>IF(OR(F81="F2",LEFT('Registrar expedidas_ingresos'!N81,2)="01"),"",IF(ISERROR(VLOOKUP(CONCATENATE("TIPO NIF",'Registrar expedidas_ingresos'!N81),'CODIGO-LITERAL'!$C:$D,2,FALSE)),"",VLOOKUP(CONCATENATE("TIPO NIF",'Registrar expedidas_ingresos'!N81),'CODIGO-LITERAL'!$C:$D,2,FALSE)))</f>
        <v/>
      </c>
      <c r="O81" s="60" t="str">
        <f>IF(OR('Registrar expedidas_ingresos'!O81="",N81="02",F81="F2"),"",'Registrar expedidas_ingresos'!O81)</f>
        <v/>
      </c>
      <c r="P81" s="60" t="str">
        <f>IF('Registrar expedidas_ingresos'!P81="","",'Registrar expedidas_ingresos'!P81)</f>
        <v/>
      </c>
      <c r="Q81" s="60" t="str">
        <f>IF(F81="F2","VENTAS A CONSUMIDOR FINAL",IF('Registrar expedidas_ingresos'!Q81="","",'Registrar expedidas_ingresos'!Q81))</f>
        <v/>
      </c>
      <c r="R81" s="61" t="str">
        <f>IF(F81="DV","02",IF(ISERROR(VLOOKUP(CONCATENATE("CLAVE OPERACION",'Registrar expedidas_ingresos'!R81),'CODIGO-LITERAL'!$C:$D,2,FALSE)),"",VLOOKUP(CONCATENATE("CLAVE OPERACION",'Registrar expedidas_ingresos'!R81),'CODIGO-LITERAL'!$C:$D,2,FALSE)))</f>
        <v/>
      </c>
      <c r="S81" s="61" t="str">
        <f>IF(R81="03","S1",
 IF(R81="08","N2",
  IF(ISERROR(VLOOKUP(CONCATENATE("CALIFICACION OPERACION",'Registrar expedidas_ingresos'!S81),'CODIGO-LITERAL'!$C:$D,2,FALSE)),"",VLOOKUP(CONCATENATE("CALIFICACION OPERACION",'Registrar expedidas_ingresos'!S81),'CODIGO-LITERAL'!$C:$D,2,FALSE))))</f>
        <v/>
      </c>
      <c r="T81" s="61" t="str">
        <f>IF(R81="03","",IF(R81="08","",IF(ISERROR(VLOOKUP(CONCATENATE("OPERACION EXENTA",'Registrar expedidas_ingresos'!T81),'CODIGO-LITERAL'!$C:$D,2,FALSE)),"",VLOOKUP(CONCATENATE("OPERACION EXENTA",'Registrar expedidas_ingresos'!T81),'CODIGO-LITERAL'!$C:$D,2,FALSE))))</f>
        <v/>
      </c>
      <c r="U81" s="60" t="str">
        <f t="shared" si="2"/>
        <v/>
      </c>
      <c r="V81" s="60" t="str">
        <f>IF('Registrar expedidas_ingresos'!V81="","",ROUND('Registrar expedidas_ingresos'!V81,2))</f>
        <v/>
      </c>
      <c r="W81" s="60" t="str">
        <f>IF(S81="S2",0,IF('Registrar expedidas_ingresos'!W81="","",'Registrar expedidas_ingresos'!W81))</f>
        <v/>
      </c>
      <c r="X81" s="60" t="str">
        <f>IF(S81="S2",0,IF('Registrar expedidas_ingresos'!X81="","",ROUND('Registrar expedidas_ingresos'!X81,2)))</f>
        <v/>
      </c>
      <c r="Y81" s="60" t="str">
        <f>IF('Registrar expedidas_ingresos'!Y81="","",'Registrar expedidas_ingresos'!Y81)</f>
        <v/>
      </c>
      <c r="Z81" s="60" t="str">
        <f>IF('Registrar expedidas_ingresos'!Z81="","",ROUND('Registrar expedidas_ingresos'!Z81,2))</f>
        <v/>
      </c>
      <c r="AA81" s="64" t="str">
        <f>IF(R81&lt;&gt;"07","",IF('Registrar expedidas_ingresos'!AA81="","",'Registrar expedidas_ingresos'!AA81))</f>
        <v/>
      </c>
      <c r="AB81" s="60" t="str">
        <f>IF(R81&lt;&gt;"07","",IF('Registrar expedidas_ingresos'!AB81="","",'Registrar expedidas_ingresos'!AB81))</f>
        <v/>
      </c>
      <c r="AC81" s="61" t="str">
        <f>IF(R81&lt;&gt;"07","",IF(ISERROR(VLOOKUP(CONCATENATE("MEDIO UTILIZADO",'Registrar expedidas_ingresos'!AC81),'CODIGO-LITERAL'!$C:$D,2,FALSE)),"",VLOOKUP(CONCATENATE("MEDIO UTILIZADO",'Registrar expedidas_ingresos'!AC81),'CODIGO-LITERAL'!$C:$D,2,FALSE)))</f>
        <v/>
      </c>
      <c r="AD81" s="60" t="str">
        <f>IF(R81&lt;&gt;"07","",IF('Registrar expedidas_ingresos'!AD81="","",'Registrar expedidas_ingresos'!AD81))</f>
        <v/>
      </c>
      <c r="AE81" s="65"/>
      <c r="AF81" s="65"/>
      <c r="AG81" s="60" t="str">
        <f>IF('Registrar expedidas_ingresos'!AG81="","",'Registrar expedidas_ingresos'!AG81)</f>
        <v/>
      </c>
      <c r="AH81" s="61" t="str">
        <f>IF(ISERROR(VLOOKUP(CONCATENATE("SITUACION",'Registrar expedidas_ingresos'!AH81),'CODIGO-LITERAL'!$C:$D,2,FALSE)),"",VLOOKUP(CONCATENATE("SITUACION",'Registrar expedidas_ingresos'!AH81),'CODIGO-LITERAL'!$C:$D,2,FALSE))</f>
        <v/>
      </c>
      <c r="AI81" s="60" t="str">
        <f>IF('Registrar expedidas_ingresos'!AI81="","",'Registrar expedidas_ingresos'!AI81)</f>
        <v/>
      </c>
      <c r="AJ81" s="60" t="str">
        <f>IF('Registrar expedidas_ingresos'!AJ81="","",'Registrar expedidas_ingresos'!AJ81)</f>
        <v/>
      </c>
    </row>
    <row r="82" spans="1:36" x14ac:dyDescent="0.25">
      <c r="A82" s="59" t="str">
        <f>IF('Registrar expedidas_ingresos'!J82="",IF('Registrar expedidas_ingresos'!I82="","",YEAR('Registrar expedidas_ingresos'!I82)),YEAR('Registrar expedidas_ingresos'!J82))</f>
        <v/>
      </c>
      <c r="B82" s="60" t="str">
        <f>IF('Registrar expedidas_ingresos'!B82="","",'Registrar expedidas_ingresos'!B82)</f>
        <v/>
      </c>
      <c r="C82" s="60" t="str">
        <f>IF('Registrar expedidas_ingresos'!C82="","",VLOOKUP(CONCATENATE("ACTIVIDAD",'Registrar expedidas_ingresos'!C82),'CODIGO-LITERAL'!C:D,2,FALSE))</f>
        <v/>
      </c>
      <c r="D82" s="60" t="str">
        <f>IF(OR(C82="C",C82="D"),"",IF(ISERROR(VLOOKUP(CONCATENATE(C82,'Registrar expedidas_ingresos'!D82),'CODIGO-LITERAL'!$C:$D,2,FALSE)),"",VLOOKUP(CONCATENATE(C82,'Registrar expedidas_ingresos'!D82),'CODIGO-LITERAL'!$C:$D,2,FALSE)))</f>
        <v/>
      </c>
      <c r="E82" s="60" t="str">
        <f>IF('Registrar expedidas_ingresos'!E82="","",'Registrar expedidas_ingresos'!E82)</f>
        <v/>
      </c>
      <c r="F82" s="61" t="str">
        <f>IF(ISERROR(VLOOKUP(CONCATENATE("TIPO FACTURA",'Registrar expedidas_ingresos'!F82),'CODIGO-LITERAL'!$C:$D,2,FALSE)),"",VLOOKUP(CONCATENATE("TIPO FACTURA",'Registrar expedidas_ingresos'!F82),'CODIGO-LITERAL'!$C:$D,2,FALSE))</f>
        <v/>
      </c>
      <c r="G82" s="62"/>
      <c r="H82" s="63"/>
      <c r="I82" s="64" t="str">
        <f>IF('Registrar expedidas_ingresos'!I82="","",'Registrar expedidas_ingresos'!I82)</f>
        <v/>
      </c>
      <c r="J82" s="64" t="str">
        <f>IF('Registrar expedidas_ingresos'!J82="","",'Registrar expedidas_ingresos'!J82)</f>
        <v/>
      </c>
      <c r="K82" s="60" t="str">
        <f>IF('Registrar expedidas_ingresos'!K82="","",'Registrar expedidas_ingresos'!K82)</f>
        <v/>
      </c>
      <c r="L82" s="60" t="str">
        <f>IF('Registrar expedidas_ingresos'!L82="","",'Registrar expedidas_ingresos'!L82)</f>
        <v/>
      </c>
      <c r="M82" s="60" t="str">
        <f>IF('Registrar expedidas_ingresos'!M82="","",'Registrar expedidas_ingresos'!M82)</f>
        <v/>
      </c>
      <c r="N82" s="61" t="str">
        <f>IF(OR(F82="F2",LEFT('Registrar expedidas_ingresos'!N82,2)="01"),"",IF(ISERROR(VLOOKUP(CONCATENATE("TIPO NIF",'Registrar expedidas_ingresos'!N82),'CODIGO-LITERAL'!$C:$D,2,FALSE)),"",VLOOKUP(CONCATENATE("TIPO NIF",'Registrar expedidas_ingresos'!N82),'CODIGO-LITERAL'!$C:$D,2,FALSE)))</f>
        <v/>
      </c>
      <c r="O82" s="60" t="str">
        <f>IF(OR('Registrar expedidas_ingresos'!O82="",N82="02",F82="F2"),"",'Registrar expedidas_ingresos'!O82)</f>
        <v/>
      </c>
      <c r="P82" s="60" t="str">
        <f>IF('Registrar expedidas_ingresos'!P82="","",'Registrar expedidas_ingresos'!P82)</f>
        <v/>
      </c>
      <c r="Q82" s="60" t="str">
        <f>IF(F82="F2","VENTAS A CONSUMIDOR FINAL",IF('Registrar expedidas_ingresos'!Q82="","",'Registrar expedidas_ingresos'!Q82))</f>
        <v/>
      </c>
      <c r="R82" s="61" t="str">
        <f>IF(F82="DV","02",IF(ISERROR(VLOOKUP(CONCATENATE("CLAVE OPERACION",'Registrar expedidas_ingresos'!R82),'CODIGO-LITERAL'!$C:$D,2,FALSE)),"",VLOOKUP(CONCATENATE("CLAVE OPERACION",'Registrar expedidas_ingresos'!R82),'CODIGO-LITERAL'!$C:$D,2,FALSE)))</f>
        <v/>
      </c>
      <c r="S82" s="61" t="str">
        <f>IF(R82="03","S1",
 IF(R82="08","N2",
  IF(ISERROR(VLOOKUP(CONCATENATE("CALIFICACION OPERACION",'Registrar expedidas_ingresos'!S82),'CODIGO-LITERAL'!$C:$D,2,FALSE)),"",VLOOKUP(CONCATENATE("CALIFICACION OPERACION",'Registrar expedidas_ingresos'!S82),'CODIGO-LITERAL'!$C:$D,2,FALSE))))</f>
        <v/>
      </c>
      <c r="T82" s="61" t="str">
        <f>IF(R82="03","",IF(R82="08","",IF(ISERROR(VLOOKUP(CONCATENATE("OPERACION EXENTA",'Registrar expedidas_ingresos'!T82),'CODIGO-LITERAL'!$C:$D,2,FALSE)),"",VLOOKUP(CONCATENATE("OPERACION EXENTA",'Registrar expedidas_ingresos'!T82),'CODIGO-LITERAL'!$C:$D,2,FALSE))))</f>
        <v/>
      </c>
      <c r="U82" s="60" t="str">
        <f t="shared" si="2"/>
        <v/>
      </c>
      <c r="V82" s="60" t="str">
        <f>IF('Registrar expedidas_ingresos'!V82="","",ROUND('Registrar expedidas_ingresos'!V82,2))</f>
        <v/>
      </c>
      <c r="W82" s="60" t="str">
        <f>IF(S82="S2",0,IF('Registrar expedidas_ingresos'!W82="","",'Registrar expedidas_ingresos'!W82))</f>
        <v/>
      </c>
      <c r="X82" s="60" t="str">
        <f>IF(S82="S2",0,IF('Registrar expedidas_ingresos'!X82="","",ROUND('Registrar expedidas_ingresos'!X82,2)))</f>
        <v/>
      </c>
      <c r="Y82" s="60" t="str">
        <f>IF('Registrar expedidas_ingresos'!Y82="","",'Registrar expedidas_ingresos'!Y82)</f>
        <v/>
      </c>
      <c r="Z82" s="60" t="str">
        <f>IF('Registrar expedidas_ingresos'!Z82="","",ROUND('Registrar expedidas_ingresos'!Z82,2))</f>
        <v/>
      </c>
      <c r="AA82" s="64" t="str">
        <f>IF(R82&lt;&gt;"07","",IF('Registrar expedidas_ingresos'!AA82="","",'Registrar expedidas_ingresos'!AA82))</f>
        <v/>
      </c>
      <c r="AB82" s="60" t="str">
        <f>IF(R82&lt;&gt;"07","",IF('Registrar expedidas_ingresos'!AB82="","",'Registrar expedidas_ingresos'!AB82))</f>
        <v/>
      </c>
      <c r="AC82" s="61" t="str">
        <f>IF(R82&lt;&gt;"07","",IF(ISERROR(VLOOKUP(CONCATENATE("MEDIO UTILIZADO",'Registrar expedidas_ingresos'!AC82),'CODIGO-LITERAL'!$C:$D,2,FALSE)),"",VLOOKUP(CONCATENATE("MEDIO UTILIZADO",'Registrar expedidas_ingresos'!AC82),'CODIGO-LITERAL'!$C:$D,2,FALSE)))</f>
        <v/>
      </c>
      <c r="AD82" s="60" t="str">
        <f>IF(R82&lt;&gt;"07","",IF('Registrar expedidas_ingresos'!AD82="","",'Registrar expedidas_ingresos'!AD82))</f>
        <v/>
      </c>
      <c r="AE82" s="65"/>
      <c r="AF82" s="65"/>
      <c r="AG82" s="60" t="str">
        <f>IF('Registrar expedidas_ingresos'!AG82="","",'Registrar expedidas_ingresos'!AG82)</f>
        <v/>
      </c>
      <c r="AH82" s="61" t="str">
        <f>IF(ISERROR(VLOOKUP(CONCATENATE("SITUACION",'Registrar expedidas_ingresos'!AH82),'CODIGO-LITERAL'!$C:$D,2,FALSE)),"",VLOOKUP(CONCATENATE("SITUACION",'Registrar expedidas_ingresos'!AH82),'CODIGO-LITERAL'!$C:$D,2,FALSE))</f>
        <v/>
      </c>
      <c r="AI82" s="60" t="str">
        <f>IF('Registrar expedidas_ingresos'!AI82="","",'Registrar expedidas_ingresos'!AI82)</f>
        <v/>
      </c>
      <c r="AJ82" s="60" t="str">
        <f>IF('Registrar expedidas_ingresos'!AJ82="","",'Registrar expedidas_ingresos'!AJ82)</f>
        <v/>
      </c>
    </row>
    <row r="83" spans="1:36" x14ac:dyDescent="0.25">
      <c r="A83" s="59" t="str">
        <f>IF('Registrar expedidas_ingresos'!J83="",IF('Registrar expedidas_ingresos'!I83="","",YEAR('Registrar expedidas_ingresos'!I83)),YEAR('Registrar expedidas_ingresos'!J83))</f>
        <v/>
      </c>
      <c r="B83" s="60" t="str">
        <f>IF('Registrar expedidas_ingresos'!B83="","",'Registrar expedidas_ingresos'!B83)</f>
        <v/>
      </c>
      <c r="C83" s="60" t="str">
        <f>IF('Registrar expedidas_ingresos'!C83="","",VLOOKUP(CONCATENATE("ACTIVIDAD",'Registrar expedidas_ingresos'!C83),'CODIGO-LITERAL'!C:D,2,FALSE))</f>
        <v/>
      </c>
      <c r="D83" s="60" t="str">
        <f>IF(OR(C83="C",C83="D"),"",IF(ISERROR(VLOOKUP(CONCATENATE(C83,'Registrar expedidas_ingresos'!D83),'CODIGO-LITERAL'!$C:$D,2,FALSE)),"",VLOOKUP(CONCATENATE(C83,'Registrar expedidas_ingresos'!D83),'CODIGO-LITERAL'!$C:$D,2,FALSE)))</f>
        <v/>
      </c>
      <c r="E83" s="60" t="str">
        <f>IF('Registrar expedidas_ingresos'!E83="","",'Registrar expedidas_ingresos'!E83)</f>
        <v/>
      </c>
      <c r="F83" s="61" t="str">
        <f>IF(ISERROR(VLOOKUP(CONCATENATE("TIPO FACTURA",'Registrar expedidas_ingresos'!F83),'CODIGO-LITERAL'!$C:$D,2,FALSE)),"",VLOOKUP(CONCATENATE("TIPO FACTURA",'Registrar expedidas_ingresos'!F83),'CODIGO-LITERAL'!$C:$D,2,FALSE))</f>
        <v/>
      </c>
      <c r="G83" s="62"/>
      <c r="H83" s="63"/>
      <c r="I83" s="64" t="str">
        <f>IF('Registrar expedidas_ingresos'!I83="","",'Registrar expedidas_ingresos'!I83)</f>
        <v/>
      </c>
      <c r="J83" s="64" t="str">
        <f>IF('Registrar expedidas_ingresos'!J83="","",'Registrar expedidas_ingresos'!J83)</f>
        <v/>
      </c>
      <c r="K83" s="60" t="str">
        <f>IF('Registrar expedidas_ingresos'!K83="","",'Registrar expedidas_ingresos'!K83)</f>
        <v/>
      </c>
      <c r="L83" s="60" t="str">
        <f>IF('Registrar expedidas_ingresos'!L83="","",'Registrar expedidas_ingresos'!L83)</f>
        <v/>
      </c>
      <c r="M83" s="60" t="str">
        <f>IF('Registrar expedidas_ingresos'!M83="","",'Registrar expedidas_ingresos'!M83)</f>
        <v/>
      </c>
      <c r="N83" s="61" t="str">
        <f>IF(OR(F83="F2",LEFT('Registrar expedidas_ingresos'!N83,2)="01"),"",IF(ISERROR(VLOOKUP(CONCATENATE("TIPO NIF",'Registrar expedidas_ingresos'!N83),'CODIGO-LITERAL'!$C:$D,2,FALSE)),"",VLOOKUP(CONCATENATE("TIPO NIF",'Registrar expedidas_ingresos'!N83),'CODIGO-LITERAL'!$C:$D,2,FALSE)))</f>
        <v/>
      </c>
      <c r="O83" s="60" t="str">
        <f>IF(OR('Registrar expedidas_ingresos'!O83="",N83="02",F83="F2"),"",'Registrar expedidas_ingresos'!O83)</f>
        <v/>
      </c>
      <c r="P83" s="60" t="str">
        <f>IF('Registrar expedidas_ingresos'!P83="","",'Registrar expedidas_ingresos'!P83)</f>
        <v/>
      </c>
      <c r="Q83" s="60" t="str">
        <f>IF(F83="F2","VENTAS A CONSUMIDOR FINAL",IF('Registrar expedidas_ingresos'!Q83="","",'Registrar expedidas_ingresos'!Q83))</f>
        <v/>
      </c>
      <c r="R83" s="61" t="str">
        <f>IF(F83="DV","02",IF(ISERROR(VLOOKUP(CONCATENATE("CLAVE OPERACION",'Registrar expedidas_ingresos'!R83),'CODIGO-LITERAL'!$C:$D,2,FALSE)),"",VLOOKUP(CONCATENATE("CLAVE OPERACION",'Registrar expedidas_ingresos'!R83),'CODIGO-LITERAL'!$C:$D,2,FALSE)))</f>
        <v/>
      </c>
      <c r="S83" s="61" t="str">
        <f>IF(R83="03","S1",
 IF(R83="08","N2",
  IF(ISERROR(VLOOKUP(CONCATENATE("CALIFICACION OPERACION",'Registrar expedidas_ingresos'!S83),'CODIGO-LITERAL'!$C:$D,2,FALSE)),"",VLOOKUP(CONCATENATE("CALIFICACION OPERACION",'Registrar expedidas_ingresos'!S83),'CODIGO-LITERAL'!$C:$D,2,FALSE))))</f>
        <v/>
      </c>
      <c r="T83" s="61" t="str">
        <f>IF(R83="03","",IF(R83="08","",IF(ISERROR(VLOOKUP(CONCATENATE("OPERACION EXENTA",'Registrar expedidas_ingresos'!T83),'CODIGO-LITERAL'!$C:$D,2,FALSE)),"",VLOOKUP(CONCATENATE("OPERACION EXENTA",'Registrar expedidas_ingresos'!T83),'CODIGO-LITERAL'!$C:$D,2,FALSE))))</f>
        <v/>
      </c>
      <c r="U83" s="60" t="str">
        <f t="shared" si="2"/>
        <v/>
      </c>
      <c r="V83" s="60" t="str">
        <f>IF('Registrar expedidas_ingresos'!V83="","",ROUND('Registrar expedidas_ingresos'!V83,2))</f>
        <v/>
      </c>
      <c r="W83" s="60" t="str">
        <f>IF(S83="S2",0,IF('Registrar expedidas_ingresos'!W83="","",'Registrar expedidas_ingresos'!W83))</f>
        <v/>
      </c>
      <c r="X83" s="60" t="str">
        <f>IF(S83="S2",0,IF('Registrar expedidas_ingresos'!X83="","",ROUND('Registrar expedidas_ingresos'!X83,2)))</f>
        <v/>
      </c>
      <c r="Y83" s="60" t="str">
        <f>IF('Registrar expedidas_ingresos'!Y83="","",'Registrar expedidas_ingresos'!Y83)</f>
        <v/>
      </c>
      <c r="Z83" s="60" t="str">
        <f>IF('Registrar expedidas_ingresos'!Z83="","",ROUND('Registrar expedidas_ingresos'!Z83,2))</f>
        <v/>
      </c>
      <c r="AA83" s="64" t="str">
        <f>IF(R83&lt;&gt;"07","",IF('Registrar expedidas_ingresos'!AA83="","",'Registrar expedidas_ingresos'!AA83))</f>
        <v/>
      </c>
      <c r="AB83" s="60" t="str">
        <f>IF(R83&lt;&gt;"07","",IF('Registrar expedidas_ingresos'!AB83="","",'Registrar expedidas_ingresos'!AB83))</f>
        <v/>
      </c>
      <c r="AC83" s="61" t="str">
        <f>IF(R83&lt;&gt;"07","",IF(ISERROR(VLOOKUP(CONCATENATE("MEDIO UTILIZADO",'Registrar expedidas_ingresos'!AC83),'CODIGO-LITERAL'!$C:$D,2,FALSE)),"",VLOOKUP(CONCATENATE("MEDIO UTILIZADO",'Registrar expedidas_ingresos'!AC83),'CODIGO-LITERAL'!$C:$D,2,FALSE)))</f>
        <v/>
      </c>
      <c r="AD83" s="60" t="str">
        <f>IF(R83&lt;&gt;"07","",IF('Registrar expedidas_ingresos'!AD83="","",'Registrar expedidas_ingresos'!AD83))</f>
        <v/>
      </c>
      <c r="AE83" s="65"/>
      <c r="AF83" s="65"/>
      <c r="AG83" s="60" t="str">
        <f>IF('Registrar expedidas_ingresos'!AG83="","",'Registrar expedidas_ingresos'!AG83)</f>
        <v/>
      </c>
      <c r="AH83" s="61" t="str">
        <f>IF(ISERROR(VLOOKUP(CONCATENATE("SITUACION",'Registrar expedidas_ingresos'!AH83),'CODIGO-LITERAL'!$C:$D,2,FALSE)),"",VLOOKUP(CONCATENATE("SITUACION",'Registrar expedidas_ingresos'!AH83),'CODIGO-LITERAL'!$C:$D,2,FALSE))</f>
        <v/>
      </c>
      <c r="AI83" s="60" t="str">
        <f>IF('Registrar expedidas_ingresos'!AI83="","",'Registrar expedidas_ingresos'!AI83)</f>
        <v/>
      </c>
      <c r="AJ83" s="60" t="str">
        <f>IF('Registrar expedidas_ingresos'!AJ83="","",'Registrar expedidas_ingresos'!AJ83)</f>
        <v/>
      </c>
    </row>
    <row r="84" spans="1:36" x14ac:dyDescent="0.25">
      <c r="A84" s="59" t="str">
        <f>IF('Registrar expedidas_ingresos'!J84="",IF('Registrar expedidas_ingresos'!I84="","",YEAR('Registrar expedidas_ingresos'!I84)),YEAR('Registrar expedidas_ingresos'!J84))</f>
        <v/>
      </c>
      <c r="B84" s="60" t="str">
        <f>IF('Registrar expedidas_ingresos'!B84="","",'Registrar expedidas_ingresos'!B84)</f>
        <v/>
      </c>
      <c r="C84" s="60" t="str">
        <f>IF('Registrar expedidas_ingresos'!C84="","",VLOOKUP(CONCATENATE("ACTIVIDAD",'Registrar expedidas_ingresos'!C84),'CODIGO-LITERAL'!C:D,2,FALSE))</f>
        <v/>
      </c>
      <c r="D84" s="60" t="str">
        <f>IF(OR(C84="C",C84="D"),"",IF(ISERROR(VLOOKUP(CONCATENATE(C84,'Registrar expedidas_ingresos'!D84),'CODIGO-LITERAL'!$C:$D,2,FALSE)),"",VLOOKUP(CONCATENATE(C84,'Registrar expedidas_ingresos'!D84),'CODIGO-LITERAL'!$C:$D,2,FALSE)))</f>
        <v/>
      </c>
      <c r="E84" s="60" t="str">
        <f>IF('Registrar expedidas_ingresos'!E84="","",'Registrar expedidas_ingresos'!E84)</f>
        <v/>
      </c>
      <c r="F84" s="61" t="str">
        <f>IF(ISERROR(VLOOKUP(CONCATENATE("TIPO FACTURA",'Registrar expedidas_ingresos'!F84),'CODIGO-LITERAL'!$C:$D,2,FALSE)),"",VLOOKUP(CONCATENATE("TIPO FACTURA",'Registrar expedidas_ingresos'!F84),'CODIGO-LITERAL'!$C:$D,2,FALSE))</f>
        <v/>
      </c>
      <c r="G84" s="62"/>
      <c r="H84" s="63"/>
      <c r="I84" s="64" t="str">
        <f>IF('Registrar expedidas_ingresos'!I84="","",'Registrar expedidas_ingresos'!I84)</f>
        <v/>
      </c>
      <c r="J84" s="64" t="str">
        <f>IF('Registrar expedidas_ingresos'!J84="","",'Registrar expedidas_ingresos'!J84)</f>
        <v/>
      </c>
      <c r="K84" s="60" t="str">
        <f>IF('Registrar expedidas_ingresos'!K84="","",'Registrar expedidas_ingresos'!K84)</f>
        <v/>
      </c>
      <c r="L84" s="60" t="str">
        <f>IF('Registrar expedidas_ingresos'!L84="","",'Registrar expedidas_ingresos'!L84)</f>
        <v/>
      </c>
      <c r="M84" s="60" t="str">
        <f>IF('Registrar expedidas_ingresos'!M84="","",'Registrar expedidas_ingresos'!M84)</f>
        <v/>
      </c>
      <c r="N84" s="61" t="str">
        <f>IF(OR(F84="F2",LEFT('Registrar expedidas_ingresos'!N84,2)="01"),"",IF(ISERROR(VLOOKUP(CONCATENATE("TIPO NIF",'Registrar expedidas_ingresos'!N84),'CODIGO-LITERAL'!$C:$D,2,FALSE)),"",VLOOKUP(CONCATENATE("TIPO NIF",'Registrar expedidas_ingresos'!N84),'CODIGO-LITERAL'!$C:$D,2,FALSE)))</f>
        <v/>
      </c>
      <c r="O84" s="60" t="str">
        <f>IF(OR('Registrar expedidas_ingresos'!O84="",N84="02",F84="F2"),"",'Registrar expedidas_ingresos'!O84)</f>
        <v/>
      </c>
      <c r="P84" s="60" t="str">
        <f>IF('Registrar expedidas_ingresos'!P84="","",'Registrar expedidas_ingresos'!P84)</f>
        <v/>
      </c>
      <c r="Q84" s="60" t="str">
        <f>IF(F84="F2","VENTAS A CONSUMIDOR FINAL",IF('Registrar expedidas_ingresos'!Q84="","",'Registrar expedidas_ingresos'!Q84))</f>
        <v/>
      </c>
      <c r="R84" s="61" t="str">
        <f>IF(F84="DV","02",IF(ISERROR(VLOOKUP(CONCATENATE("CLAVE OPERACION",'Registrar expedidas_ingresos'!R84),'CODIGO-LITERAL'!$C:$D,2,FALSE)),"",VLOOKUP(CONCATENATE("CLAVE OPERACION",'Registrar expedidas_ingresos'!R84),'CODIGO-LITERAL'!$C:$D,2,FALSE)))</f>
        <v/>
      </c>
      <c r="S84" s="61" t="str">
        <f>IF(R84="03","S1",
 IF(R84="08","N2",
  IF(ISERROR(VLOOKUP(CONCATENATE("CALIFICACION OPERACION",'Registrar expedidas_ingresos'!S84),'CODIGO-LITERAL'!$C:$D,2,FALSE)),"",VLOOKUP(CONCATENATE("CALIFICACION OPERACION",'Registrar expedidas_ingresos'!S84),'CODIGO-LITERAL'!$C:$D,2,FALSE))))</f>
        <v/>
      </c>
      <c r="T84" s="61" t="str">
        <f>IF(R84="03","",IF(R84="08","",IF(ISERROR(VLOOKUP(CONCATENATE("OPERACION EXENTA",'Registrar expedidas_ingresos'!T84),'CODIGO-LITERAL'!$C:$D,2,FALSE)),"",VLOOKUP(CONCATENATE("OPERACION EXENTA",'Registrar expedidas_ingresos'!T84),'CODIGO-LITERAL'!$C:$D,2,FALSE))))</f>
        <v/>
      </c>
      <c r="U84" s="60" t="str">
        <f t="shared" si="2"/>
        <v/>
      </c>
      <c r="V84" s="60" t="str">
        <f>IF('Registrar expedidas_ingresos'!V84="","",ROUND('Registrar expedidas_ingresos'!V84,2))</f>
        <v/>
      </c>
      <c r="W84" s="60" t="str">
        <f>IF(S84="S2",0,IF('Registrar expedidas_ingresos'!W84="","",'Registrar expedidas_ingresos'!W84))</f>
        <v/>
      </c>
      <c r="X84" s="60" t="str">
        <f>IF(S84="S2",0,IF('Registrar expedidas_ingresos'!X84="","",ROUND('Registrar expedidas_ingresos'!X84,2)))</f>
        <v/>
      </c>
      <c r="Y84" s="60" t="str">
        <f>IF('Registrar expedidas_ingresos'!Y84="","",'Registrar expedidas_ingresos'!Y84)</f>
        <v/>
      </c>
      <c r="Z84" s="60" t="str">
        <f>IF('Registrar expedidas_ingresos'!Z84="","",ROUND('Registrar expedidas_ingresos'!Z84,2))</f>
        <v/>
      </c>
      <c r="AA84" s="64" t="str">
        <f>IF(R84&lt;&gt;"07","",IF('Registrar expedidas_ingresos'!AA84="","",'Registrar expedidas_ingresos'!AA84))</f>
        <v/>
      </c>
      <c r="AB84" s="60" t="str">
        <f>IF(R84&lt;&gt;"07","",IF('Registrar expedidas_ingresos'!AB84="","",'Registrar expedidas_ingresos'!AB84))</f>
        <v/>
      </c>
      <c r="AC84" s="61" t="str">
        <f>IF(R84&lt;&gt;"07","",IF(ISERROR(VLOOKUP(CONCATENATE("MEDIO UTILIZADO",'Registrar expedidas_ingresos'!AC84),'CODIGO-LITERAL'!$C:$D,2,FALSE)),"",VLOOKUP(CONCATENATE("MEDIO UTILIZADO",'Registrar expedidas_ingresos'!AC84),'CODIGO-LITERAL'!$C:$D,2,FALSE)))</f>
        <v/>
      </c>
      <c r="AD84" s="60" t="str">
        <f>IF(R84&lt;&gt;"07","",IF('Registrar expedidas_ingresos'!AD84="","",'Registrar expedidas_ingresos'!AD84))</f>
        <v/>
      </c>
      <c r="AE84" s="65"/>
      <c r="AF84" s="65"/>
      <c r="AG84" s="60" t="str">
        <f>IF('Registrar expedidas_ingresos'!AG84="","",'Registrar expedidas_ingresos'!AG84)</f>
        <v/>
      </c>
      <c r="AH84" s="61" t="str">
        <f>IF(ISERROR(VLOOKUP(CONCATENATE("SITUACION",'Registrar expedidas_ingresos'!AH84),'CODIGO-LITERAL'!$C:$D,2,FALSE)),"",VLOOKUP(CONCATENATE("SITUACION",'Registrar expedidas_ingresos'!AH84),'CODIGO-LITERAL'!$C:$D,2,FALSE))</f>
        <v/>
      </c>
      <c r="AI84" s="60" t="str">
        <f>IF('Registrar expedidas_ingresos'!AI84="","",'Registrar expedidas_ingresos'!AI84)</f>
        <v/>
      </c>
      <c r="AJ84" s="60" t="str">
        <f>IF('Registrar expedidas_ingresos'!AJ84="","",'Registrar expedidas_ingresos'!AJ84)</f>
        <v/>
      </c>
    </row>
    <row r="85" spans="1:36" x14ac:dyDescent="0.25">
      <c r="A85" s="59" t="str">
        <f>IF('Registrar expedidas_ingresos'!J85="",IF('Registrar expedidas_ingresos'!I85="","",YEAR('Registrar expedidas_ingresos'!I85)),YEAR('Registrar expedidas_ingresos'!J85))</f>
        <v/>
      </c>
      <c r="B85" s="60" t="str">
        <f>IF('Registrar expedidas_ingresos'!B85="","",'Registrar expedidas_ingresos'!B85)</f>
        <v/>
      </c>
      <c r="C85" s="60" t="str">
        <f>IF('Registrar expedidas_ingresos'!C85="","",VLOOKUP(CONCATENATE("ACTIVIDAD",'Registrar expedidas_ingresos'!C85),'CODIGO-LITERAL'!C:D,2,FALSE))</f>
        <v/>
      </c>
      <c r="D85" s="60" t="str">
        <f>IF(OR(C85="C",C85="D"),"",IF(ISERROR(VLOOKUP(CONCATENATE(C85,'Registrar expedidas_ingresos'!D85),'CODIGO-LITERAL'!$C:$D,2,FALSE)),"",VLOOKUP(CONCATENATE(C85,'Registrar expedidas_ingresos'!D85),'CODIGO-LITERAL'!$C:$D,2,FALSE)))</f>
        <v/>
      </c>
      <c r="E85" s="60" t="str">
        <f>IF('Registrar expedidas_ingresos'!E85="","",'Registrar expedidas_ingresos'!E85)</f>
        <v/>
      </c>
      <c r="F85" s="61" t="str">
        <f>IF(ISERROR(VLOOKUP(CONCATENATE("TIPO FACTURA",'Registrar expedidas_ingresos'!F85),'CODIGO-LITERAL'!$C:$D,2,FALSE)),"",VLOOKUP(CONCATENATE("TIPO FACTURA",'Registrar expedidas_ingresos'!F85),'CODIGO-LITERAL'!$C:$D,2,FALSE))</f>
        <v/>
      </c>
      <c r="G85" s="62"/>
      <c r="H85" s="63"/>
      <c r="I85" s="64" t="str">
        <f>IF('Registrar expedidas_ingresos'!I85="","",'Registrar expedidas_ingresos'!I85)</f>
        <v/>
      </c>
      <c r="J85" s="64" t="str">
        <f>IF('Registrar expedidas_ingresos'!J85="","",'Registrar expedidas_ingresos'!J85)</f>
        <v/>
      </c>
      <c r="K85" s="60" t="str">
        <f>IF('Registrar expedidas_ingresos'!K85="","",'Registrar expedidas_ingresos'!K85)</f>
        <v/>
      </c>
      <c r="L85" s="60" t="str">
        <f>IF('Registrar expedidas_ingresos'!L85="","",'Registrar expedidas_ingresos'!L85)</f>
        <v/>
      </c>
      <c r="M85" s="60" t="str">
        <f>IF('Registrar expedidas_ingresos'!M85="","",'Registrar expedidas_ingresos'!M85)</f>
        <v/>
      </c>
      <c r="N85" s="61" t="str">
        <f>IF(OR(F85="F2",LEFT('Registrar expedidas_ingresos'!N85,2)="01"),"",IF(ISERROR(VLOOKUP(CONCATENATE("TIPO NIF",'Registrar expedidas_ingresos'!N85),'CODIGO-LITERAL'!$C:$D,2,FALSE)),"",VLOOKUP(CONCATENATE("TIPO NIF",'Registrar expedidas_ingresos'!N85),'CODIGO-LITERAL'!$C:$D,2,FALSE)))</f>
        <v/>
      </c>
      <c r="O85" s="60" t="str">
        <f>IF(OR('Registrar expedidas_ingresos'!O85="",N85="02",F85="F2"),"",'Registrar expedidas_ingresos'!O85)</f>
        <v/>
      </c>
      <c r="P85" s="60" t="str">
        <f>IF('Registrar expedidas_ingresos'!P85="","",'Registrar expedidas_ingresos'!P85)</f>
        <v/>
      </c>
      <c r="Q85" s="60" t="str">
        <f>IF(F85="F2","VENTAS A CONSUMIDOR FINAL",IF('Registrar expedidas_ingresos'!Q85="","",'Registrar expedidas_ingresos'!Q85))</f>
        <v/>
      </c>
      <c r="R85" s="61" t="str">
        <f>IF(F85="DV","02",IF(ISERROR(VLOOKUP(CONCATENATE("CLAVE OPERACION",'Registrar expedidas_ingresos'!R85),'CODIGO-LITERAL'!$C:$D,2,FALSE)),"",VLOOKUP(CONCATENATE("CLAVE OPERACION",'Registrar expedidas_ingresos'!R85),'CODIGO-LITERAL'!$C:$D,2,FALSE)))</f>
        <v/>
      </c>
      <c r="S85" s="61" t="str">
        <f>IF(R85="03","S1",
 IF(R85="08","N2",
  IF(ISERROR(VLOOKUP(CONCATENATE("CALIFICACION OPERACION",'Registrar expedidas_ingresos'!S85),'CODIGO-LITERAL'!$C:$D,2,FALSE)),"",VLOOKUP(CONCATENATE("CALIFICACION OPERACION",'Registrar expedidas_ingresos'!S85),'CODIGO-LITERAL'!$C:$D,2,FALSE))))</f>
        <v/>
      </c>
      <c r="T85" s="61" t="str">
        <f>IF(R85="03","",IF(R85="08","",IF(ISERROR(VLOOKUP(CONCATENATE("OPERACION EXENTA",'Registrar expedidas_ingresos'!T85),'CODIGO-LITERAL'!$C:$D,2,FALSE)),"",VLOOKUP(CONCATENATE("OPERACION EXENTA",'Registrar expedidas_ingresos'!T85),'CODIGO-LITERAL'!$C:$D,2,FALSE))))</f>
        <v/>
      </c>
      <c r="U85" s="60" t="str">
        <f t="shared" si="2"/>
        <v/>
      </c>
      <c r="V85" s="60" t="str">
        <f>IF('Registrar expedidas_ingresos'!V85="","",ROUND('Registrar expedidas_ingresos'!V85,2))</f>
        <v/>
      </c>
      <c r="W85" s="60" t="str">
        <f>IF(S85="S2",0,IF('Registrar expedidas_ingresos'!W85="","",'Registrar expedidas_ingresos'!W85))</f>
        <v/>
      </c>
      <c r="X85" s="60" t="str">
        <f>IF(S85="S2",0,IF('Registrar expedidas_ingresos'!X85="","",ROUND('Registrar expedidas_ingresos'!X85,2)))</f>
        <v/>
      </c>
      <c r="Y85" s="60" t="str">
        <f>IF('Registrar expedidas_ingresos'!Y85="","",'Registrar expedidas_ingresos'!Y85)</f>
        <v/>
      </c>
      <c r="Z85" s="60" t="str">
        <f>IF('Registrar expedidas_ingresos'!Z85="","",ROUND('Registrar expedidas_ingresos'!Z85,2))</f>
        <v/>
      </c>
      <c r="AA85" s="64" t="str">
        <f>IF(R85&lt;&gt;"07","",IF('Registrar expedidas_ingresos'!AA85="","",'Registrar expedidas_ingresos'!AA85))</f>
        <v/>
      </c>
      <c r="AB85" s="60" t="str">
        <f>IF(R85&lt;&gt;"07","",IF('Registrar expedidas_ingresos'!AB85="","",'Registrar expedidas_ingresos'!AB85))</f>
        <v/>
      </c>
      <c r="AC85" s="61" t="str">
        <f>IF(R85&lt;&gt;"07","",IF(ISERROR(VLOOKUP(CONCATENATE("MEDIO UTILIZADO",'Registrar expedidas_ingresos'!AC85),'CODIGO-LITERAL'!$C:$D,2,FALSE)),"",VLOOKUP(CONCATENATE("MEDIO UTILIZADO",'Registrar expedidas_ingresos'!AC85),'CODIGO-LITERAL'!$C:$D,2,FALSE)))</f>
        <v/>
      </c>
      <c r="AD85" s="60" t="str">
        <f>IF(R85&lt;&gt;"07","",IF('Registrar expedidas_ingresos'!AD85="","",'Registrar expedidas_ingresos'!AD85))</f>
        <v/>
      </c>
      <c r="AE85" s="65"/>
      <c r="AF85" s="65"/>
      <c r="AG85" s="60" t="str">
        <f>IF('Registrar expedidas_ingresos'!AG85="","",'Registrar expedidas_ingresos'!AG85)</f>
        <v/>
      </c>
      <c r="AH85" s="61" t="str">
        <f>IF(ISERROR(VLOOKUP(CONCATENATE("SITUACION",'Registrar expedidas_ingresos'!AH85),'CODIGO-LITERAL'!$C:$D,2,FALSE)),"",VLOOKUP(CONCATENATE("SITUACION",'Registrar expedidas_ingresos'!AH85),'CODIGO-LITERAL'!$C:$D,2,FALSE))</f>
        <v/>
      </c>
      <c r="AI85" s="60" t="str">
        <f>IF('Registrar expedidas_ingresos'!AI85="","",'Registrar expedidas_ingresos'!AI85)</f>
        <v/>
      </c>
      <c r="AJ85" s="60" t="str">
        <f>IF('Registrar expedidas_ingresos'!AJ85="","",'Registrar expedidas_ingresos'!AJ85)</f>
        <v/>
      </c>
    </row>
    <row r="86" spans="1:36" x14ac:dyDescent="0.25">
      <c r="A86" s="59" t="str">
        <f>IF('Registrar expedidas_ingresos'!J86="",IF('Registrar expedidas_ingresos'!I86="","",YEAR('Registrar expedidas_ingresos'!I86)),YEAR('Registrar expedidas_ingresos'!J86))</f>
        <v/>
      </c>
      <c r="B86" s="60" t="str">
        <f>IF('Registrar expedidas_ingresos'!B86="","",'Registrar expedidas_ingresos'!B86)</f>
        <v/>
      </c>
      <c r="C86" s="60" t="str">
        <f>IF('Registrar expedidas_ingresos'!C86="","",VLOOKUP(CONCATENATE("ACTIVIDAD",'Registrar expedidas_ingresos'!C86),'CODIGO-LITERAL'!C:D,2,FALSE))</f>
        <v/>
      </c>
      <c r="D86" s="60" t="str">
        <f>IF(OR(C86="C",C86="D"),"",IF(ISERROR(VLOOKUP(CONCATENATE(C86,'Registrar expedidas_ingresos'!D86),'CODIGO-LITERAL'!$C:$D,2,FALSE)),"",VLOOKUP(CONCATENATE(C86,'Registrar expedidas_ingresos'!D86),'CODIGO-LITERAL'!$C:$D,2,FALSE)))</f>
        <v/>
      </c>
      <c r="E86" s="60" t="str">
        <f>IF('Registrar expedidas_ingresos'!E86="","",'Registrar expedidas_ingresos'!E86)</f>
        <v/>
      </c>
      <c r="F86" s="61" t="str">
        <f>IF(ISERROR(VLOOKUP(CONCATENATE("TIPO FACTURA",'Registrar expedidas_ingresos'!F86),'CODIGO-LITERAL'!$C:$D,2,FALSE)),"",VLOOKUP(CONCATENATE("TIPO FACTURA",'Registrar expedidas_ingresos'!F86),'CODIGO-LITERAL'!$C:$D,2,FALSE))</f>
        <v/>
      </c>
      <c r="G86" s="62"/>
      <c r="H86" s="63"/>
      <c r="I86" s="64" t="str">
        <f>IF('Registrar expedidas_ingresos'!I86="","",'Registrar expedidas_ingresos'!I86)</f>
        <v/>
      </c>
      <c r="J86" s="64" t="str">
        <f>IF('Registrar expedidas_ingresos'!J86="","",'Registrar expedidas_ingresos'!J86)</f>
        <v/>
      </c>
      <c r="K86" s="60" t="str">
        <f>IF('Registrar expedidas_ingresos'!K86="","",'Registrar expedidas_ingresos'!K86)</f>
        <v/>
      </c>
      <c r="L86" s="60" t="str">
        <f>IF('Registrar expedidas_ingresos'!L86="","",'Registrar expedidas_ingresos'!L86)</f>
        <v/>
      </c>
      <c r="M86" s="60" t="str">
        <f>IF('Registrar expedidas_ingresos'!M86="","",'Registrar expedidas_ingresos'!M86)</f>
        <v/>
      </c>
      <c r="N86" s="61" t="str">
        <f>IF(OR(F86="F2",LEFT('Registrar expedidas_ingresos'!N86,2)="01"),"",IF(ISERROR(VLOOKUP(CONCATENATE("TIPO NIF",'Registrar expedidas_ingresos'!N86),'CODIGO-LITERAL'!$C:$D,2,FALSE)),"",VLOOKUP(CONCATENATE("TIPO NIF",'Registrar expedidas_ingresos'!N86),'CODIGO-LITERAL'!$C:$D,2,FALSE)))</f>
        <v/>
      </c>
      <c r="O86" s="60" t="str">
        <f>IF(OR('Registrar expedidas_ingresos'!O86="",N86="02",F86="F2"),"",'Registrar expedidas_ingresos'!O86)</f>
        <v/>
      </c>
      <c r="P86" s="60" t="str">
        <f>IF('Registrar expedidas_ingresos'!P86="","",'Registrar expedidas_ingresos'!P86)</f>
        <v/>
      </c>
      <c r="Q86" s="60" t="str">
        <f>IF(F86="F2","VENTAS A CONSUMIDOR FINAL",IF('Registrar expedidas_ingresos'!Q86="","",'Registrar expedidas_ingresos'!Q86))</f>
        <v/>
      </c>
      <c r="R86" s="61" t="str">
        <f>IF(F86="DV","02",IF(ISERROR(VLOOKUP(CONCATENATE("CLAVE OPERACION",'Registrar expedidas_ingresos'!R86),'CODIGO-LITERAL'!$C:$D,2,FALSE)),"",VLOOKUP(CONCATENATE("CLAVE OPERACION",'Registrar expedidas_ingresos'!R86),'CODIGO-LITERAL'!$C:$D,2,FALSE)))</f>
        <v/>
      </c>
      <c r="S86" s="61" t="str">
        <f>IF(R86="03","S1",
 IF(R86="08","N2",
  IF(ISERROR(VLOOKUP(CONCATENATE("CALIFICACION OPERACION",'Registrar expedidas_ingresos'!S86),'CODIGO-LITERAL'!$C:$D,2,FALSE)),"",VLOOKUP(CONCATENATE("CALIFICACION OPERACION",'Registrar expedidas_ingresos'!S86),'CODIGO-LITERAL'!$C:$D,2,FALSE))))</f>
        <v/>
      </c>
      <c r="T86" s="61" t="str">
        <f>IF(R86="03","",IF(R86="08","",IF(ISERROR(VLOOKUP(CONCATENATE("OPERACION EXENTA",'Registrar expedidas_ingresos'!T86),'CODIGO-LITERAL'!$C:$D,2,FALSE)),"",VLOOKUP(CONCATENATE("OPERACION EXENTA",'Registrar expedidas_ingresos'!T86),'CODIGO-LITERAL'!$C:$D,2,FALSE))))</f>
        <v/>
      </c>
      <c r="U86" s="60" t="str">
        <f t="shared" si="2"/>
        <v/>
      </c>
      <c r="V86" s="60" t="str">
        <f>IF('Registrar expedidas_ingresos'!V86="","",ROUND('Registrar expedidas_ingresos'!V86,2))</f>
        <v/>
      </c>
      <c r="W86" s="60" t="str">
        <f>IF(S86="S2",0,IF('Registrar expedidas_ingresos'!W86="","",'Registrar expedidas_ingresos'!W86))</f>
        <v/>
      </c>
      <c r="X86" s="60" t="str">
        <f>IF(S86="S2",0,IF('Registrar expedidas_ingresos'!X86="","",ROUND('Registrar expedidas_ingresos'!X86,2)))</f>
        <v/>
      </c>
      <c r="Y86" s="60" t="str">
        <f>IF('Registrar expedidas_ingresos'!Y86="","",'Registrar expedidas_ingresos'!Y86)</f>
        <v/>
      </c>
      <c r="Z86" s="60" t="str">
        <f>IF('Registrar expedidas_ingresos'!Z86="","",ROUND('Registrar expedidas_ingresos'!Z86,2))</f>
        <v/>
      </c>
      <c r="AA86" s="64" t="str">
        <f>IF(R86&lt;&gt;"07","",IF('Registrar expedidas_ingresos'!AA86="","",'Registrar expedidas_ingresos'!AA86))</f>
        <v/>
      </c>
      <c r="AB86" s="60" t="str">
        <f>IF(R86&lt;&gt;"07","",IF('Registrar expedidas_ingresos'!AB86="","",'Registrar expedidas_ingresos'!AB86))</f>
        <v/>
      </c>
      <c r="AC86" s="61" t="str">
        <f>IF(R86&lt;&gt;"07","",IF(ISERROR(VLOOKUP(CONCATENATE("MEDIO UTILIZADO",'Registrar expedidas_ingresos'!AC86),'CODIGO-LITERAL'!$C:$D,2,FALSE)),"",VLOOKUP(CONCATENATE("MEDIO UTILIZADO",'Registrar expedidas_ingresos'!AC86),'CODIGO-LITERAL'!$C:$D,2,FALSE)))</f>
        <v/>
      </c>
      <c r="AD86" s="60" t="str">
        <f>IF(R86&lt;&gt;"07","",IF('Registrar expedidas_ingresos'!AD86="","",'Registrar expedidas_ingresos'!AD86))</f>
        <v/>
      </c>
      <c r="AE86" s="65"/>
      <c r="AF86" s="65"/>
      <c r="AG86" s="60" t="str">
        <f>IF('Registrar expedidas_ingresos'!AG86="","",'Registrar expedidas_ingresos'!AG86)</f>
        <v/>
      </c>
      <c r="AH86" s="61" t="str">
        <f>IF(ISERROR(VLOOKUP(CONCATENATE("SITUACION",'Registrar expedidas_ingresos'!AH86),'CODIGO-LITERAL'!$C:$D,2,FALSE)),"",VLOOKUP(CONCATENATE("SITUACION",'Registrar expedidas_ingresos'!AH86),'CODIGO-LITERAL'!$C:$D,2,FALSE))</f>
        <v/>
      </c>
      <c r="AI86" s="60" t="str">
        <f>IF('Registrar expedidas_ingresos'!AI86="","",'Registrar expedidas_ingresos'!AI86)</f>
        <v/>
      </c>
      <c r="AJ86" s="60" t="str">
        <f>IF('Registrar expedidas_ingresos'!AJ86="","",'Registrar expedidas_ingresos'!AJ86)</f>
        <v/>
      </c>
    </row>
    <row r="87" spans="1:36" x14ac:dyDescent="0.25">
      <c r="A87" s="59" t="str">
        <f>IF('Registrar expedidas_ingresos'!J87="",IF('Registrar expedidas_ingresos'!I87="","",YEAR('Registrar expedidas_ingresos'!I87)),YEAR('Registrar expedidas_ingresos'!J87))</f>
        <v/>
      </c>
      <c r="B87" s="60" t="str">
        <f>IF('Registrar expedidas_ingresos'!B87="","",'Registrar expedidas_ingresos'!B87)</f>
        <v/>
      </c>
      <c r="C87" s="60" t="str">
        <f>IF('Registrar expedidas_ingresos'!C87="","",VLOOKUP(CONCATENATE("ACTIVIDAD",'Registrar expedidas_ingresos'!C87),'CODIGO-LITERAL'!C:D,2,FALSE))</f>
        <v/>
      </c>
      <c r="D87" s="60" t="str">
        <f>IF(OR(C87="C",C87="D"),"",IF(ISERROR(VLOOKUP(CONCATENATE(C87,'Registrar expedidas_ingresos'!D87),'CODIGO-LITERAL'!$C:$D,2,FALSE)),"",VLOOKUP(CONCATENATE(C87,'Registrar expedidas_ingresos'!D87),'CODIGO-LITERAL'!$C:$D,2,FALSE)))</f>
        <v/>
      </c>
      <c r="E87" s="60" t="str">
        <f>IF('Registrar expedidas_ingresos'!E87="","",'Registrar expedidas_ingresos'!E87)</f>
        <v/>
      </c>
      <c r="F87" s="61" t="str">
        <f>IF(ISERROR(VLOOKUP(CONCATENATE("TIPO FACTURA",'Registrar expedidas_ingresos'!F87),'CODIGO-LITERAL'!$C:$D,2,FALSE)),"",VLOOKUP(CONCATENATE("TIPO FACTURA",'Registrar expedidas_ingresos'!F87),'CODIGO-LITERAL'!$C:$D,2,FALSE))</f>
        <v/>
      </c>
      <c r="G87" s="62"/>
      <c r="H87" s="63"/>
      <c r="I87" s="64" t="str">
        <f>IF('Registrar expedidas_ingresos'!I87="","",'Registrar expedidas_ingresos'!I87)</f>
        <v/>
      </c>
      <c r="J87" s="64" t="str">
        <f>IF('Registrar expedidas_ingresos'!J87="","",'Registrar expedidas_ingresos'!J87)</f>
        <v/>
      </c>
      <c r="K87" s="60" t="str">
        <f>IF('Registrar expedidas_ingresos'!K87="","",'Registrar expedidas_ingresos'!K87)</f>
        <v/>
      </c>
      <c r="L87" s="60" t="str">
        <f>IF('Registrar expedidas_ingresos'!L87="","",'Registrar expedidas_ingresos'!L87)</f>
        <v/>
      </c>
      <c r="M87" s="60" t="str">
        <f>IF('Registrar expedidas_ingresos'!M87="","",'Registrar expedidas_ingresos'!M87)</f>
        <v/>
      </c>
      <c r="N87" s="61" t="str">
        <f>IF(OR(F87="F2",LEFT('Registrar expedidas_ingresos'!N87,2)="01"),"",IF(ISERROR(VLOOKUP(CONCATENATE("TIPO NIF",'Registrar expedidas_ingresos'!N87),'CODIGO-LITERAL'!$C:$D,2,FALSE)),"",VLOOKUP(CONCATENATE("TIPO NIF",'Registrar expedidas_ingresos'!N87),'CODIGO-LITERAL'!$C:$D,2,FALSE)))</f>
        <v/>
      </c>
      <c r="O87" s="60" t="str">
        <f>IF(OR('Registrar expedidas_ingresos'!O87="",N87="02",F87="F2"),"",'Registrar expedidas_ingresos'!O87)</f>
        <v/>
      </c>
      <c r="P87" s="60" t="str">
        <f>IF('Registrar expedidas_ingresos'!P87="","",'Registrar expedidas_ingresos'!P87)</f>
        <v/>
      </c>
      <c r="Q87" s="60" t="str">
        <f>IF(F87="F2","VENTAS A CONSUMIDOR FINAL",IF('Registrar expedidas_ingresos'!Q87="","",'Registrar expedidas_ingresos'!Q87))</f>
        <v/>
      </c>
      <c r="R87" s="61" t="str">
        <f>IF(F87="DV","02",IF(ISERROR(VLOOKUP(CONCATENATE("CLAVE OPERACION",'Registrar expedidas_ingresos'!R87),'CODIGO-LITERAL'!$C:$D,2,FALSE)),"",VLOOKUP(CONCATENATE("CLAVE OPERACION",'Registrar expedidas_ingresos'!R87),'CODIGO-LITERAL'!$C:$D,2,FALSE)))</f>
        <v/>
      </c>
      <c r="S87" s="61" t="str">
        <f>IF(R87="03","S1",
 IF(R87="08","N2",
  IF(ISERROR(VLOOKUP(CONCATENATE("CALIFICACION OPERACION",'Registrar expedidas_ingresos'!S87),'CODIGO-LITERAL'!$C:$D,2,FALSE)),"",VLOOKUP(CONCATENATE("CALIFICACION OPERACION",'Registrar expedidas_ingresos'!S87),'CODIGO-LITERAL'!$C:$D,2,FALSE))))</f>
        <v/>
      </c>
      <c r="T87" s="61" t="str">
        <f>IF(R87="03","",IF(R87="08","",IF(ISERROR(VLOOKUP(CONCATENATE("OPERACION EXENTA",'Registrar expedidas_ingresos'!T87),'CODIGO-LITERAL'!$C:$D,2,FALSE)),"",VLOOKUP(CONCATENATE("OPERACION EXENTA",'Registrar expedidas_ingresos'!T87),'CODIGO-LITERAL'!$C:$D,2,FALSE))))</f>
        <v/>
      </c>
      <c r="U87" s="60" t="str">
        <f t="shared" si="2"/>
        <v/>
      </c>
      <c r="V87" s="60" t="str">
        <f>IF('Registrar expedidas_ingresos'!V87="","",ROUND('Registrar expedidas_ingresos'!V87,2))</f>
        <v/>
      </c>
      <c r="W87" s="60" t="str">
        <f>IF(S87="S2",0,IF('Registrar expedidas_ingresos'!W87="","",'Registrar expedidas_ingresos'!W87))</f>
        <v/>
      </c>
      <c r="X87" s="60" t="str">
        <f>IF(S87="S2",0,IF('Registrar expedidas_ingresos'!X87="","",ROUND('Registrar expedidas_ingresos'!X87,2)))</f>
        <v/>
      </c>
      <c r="Y87" s="60" t="str">
        <f>IF('Registrar expedidas_ingresos'!Y87="","",'Registrar expedidas_ingresos'!Y87)</f>
        <v/>
      </c>
      <c r="Z87" s="60" t="str">
        <f>IF('Registrar expedidas_ingresos'!Z87="","",ROUND('Registrar expedidas_ingresos'!Z87,2))</f>
        <v/>
      </c>
      <c r="AA87" s="64" t="str">
        <f>IF(R87&lt;&gt;"07","",IF('Registrar expedidas_ingresos'!AA87="","",'Registrar expedidas_ingresos'!AA87))</f>
        <v/>
      </c>
      <c r="AB87" s="60" t="str">
        <f>IF(R87&lt;&gt;"07","",IF('Registrar expedidas_ingresos'!AB87="","",'Registrar expedidas_ingresos'!AB87))</f>
        <v/>
      </c>
      <c r="AC87" s="61" t="str">
        <f>IF(R87&lt;&gt;"07","",IF(ISERROR(VLOOKUP(CONCATENATE("MEDIO UTILIZADO",'Registrar expedidas_ingresos'!AC87),'CODIGO-LITERAL'!$C:$D,2,FALSE)),"",VLOOKUP(CONCATENATE("MEDIO UTILIZADO",'Registrar expedidas_ingresos'!AC87),'CODIGO-LITERAL'!$C:$D,2,FALSE)))</f>
        <v/>
      </c>
      <c r="AD87" s="60" t="str">
        <f>IF(R87&lt;&gt;"07","",IF('Registrar expedidas_ingresos'!AD87="","",'Registrar expedidas_ingresos'!AD87))</f>
        <v/>
      </c>
      <c r="AE87" s="65"/>
      <c r="AF87" s="65"/>
      <c r="AG87" s="60" t="str">
        <f>IF('Registrar expedidas_ingresos'!AG87="","",'Registrar expedidas_ingresos'!AG87)</f>
        <v/>
      </c>
      <c r="AH87" s="61" t="str">
        <f>IF(ISERROR(VLOOKUP(CONCATENATE("SITUACION",'Registrar expedidas_ingresos'!AH87),'CODIGO-LITERAL'!$C:$D,2,FALSE)),"",VLOOKUP(CONCATENATE("SITUACION",'Registrar expedidas_ingresos'!AH87),'CODIGO-LITERAL'!$C:$D,2,FALSE))</f>
        <v/>
      </c>
      <c r="AI87" s="60" t="str">
        <f>IF('Registrar expedidas_ingresos'!AI87="","",'Registrar expedidas_ingresos'!AI87)</f>
        <v/>
      </c>
      <c r="AJ87" s="60" t="str">
        <f>IF('Registrar expedidas_ingresos'!AJ87="","",'Registrar expedidas_ingresos'!AJ87)</f>
        <v/>
      </c>
    </row>
    <row r="88" spans="1:36" x14ac:dyDescent="0.25">
      <c r="A88" s="59" t="str">
        <f>IF('Registrar expedidas_ingresos'!J88="",IF('Registrar expedidas_ingresos'!I88="","",YEAR('Registrar expedidas_ingresos'!I88)),YEAR('Registrar expedidas_ingresos'!J88))</f>
        <v/>
      </c>
      <c r="B88" s="60" t="str">
        <f>IF('Registrar expedidas_ingresos'!B88="","",'Registrar expedidas_ingresos'!B88)</f>
        <v/>
      </c>
      <c r="C88" s="60" t="str">
        <f>IF('Registrar expedidas_ingresos'!C88="","",VLOOKUP(CONCATENATE("ACTIVIDAD",'Registrar expedidas_ingresos'!C88),'CODIGO-LITERAL'!C:D,2,FALSE))</f>
        <v/>
      </c>
      <c r="D88" s="60" t="str">
        <f>IF(OR(C88="C",C88="D"),"",IF(ISERROR(VLOOKUP(CONCATENATE(C88,'Registrar expedidas_ingresos'!D88),'CODIGO-LITERAL'!$C:$D,2,FALSE)),"",VLOOKUP(CONCATENATE(C88,'Registrar expedidas_ingresos'!D88),'CODIGO-LITERAL'!$C:$D,2,FALSE)))</f>
        <v/>
      </c>
      <c r="E88" s="60" t="str">
        <f>IF('Registrar expedidas_ingresos'!E88="","",'Registrar expedidas_ingresos'!E88)</f>
        <v/>
      </c>
      <c r="F88" s="61" t="str">
        <f>IF(ISERROR(VLOOKUP(CONCATENATE("TIPO FACTURA",'Registrar expedidas_ingresos'!F88),'CODIGO-LITERAL'!$C:$D,2,FALSE)),"",VLOOKUP(CONCATENATE("TIPO FACTURA",'Registrar expedidas_ingresos'!F88),'CODIGO-LITERAL'!$C:$D,2,FALSE))</f>
        <v/>
      </c>
      <c r="G88" s="62"/>
      <c r="H88" s="63"/>
      <c r="I88" s="64" t="str">
        <f>IF('Registrar expedidas_ingresos'!I88="","",'Registrar expedidas_ingresos'!I88)</f>
        <v/>
      </c>
      <c r="J88" s="64" t="str">
        <f>IF('Registrar expedidas_ingresos'!J88="","",'Registrar expedidas_ingresos'!J88)</f>
        <v/>
      </c>
      <c r="K88" s="60" t="str">
        <f>IF('Registrar expedidas_ingresos'!K88="","",'Registrar expedidas_ingresos'!K88)</f>
        <v/>
      </c>
      <c r="L88" s="60" t="str">
        <f>IF('Registrar expedidas_ingresos'!L88="","",'Registrar expedidas_ingresos'!L88)</f>
        <v/>
      </c>
      <c r="M88" s="60" t="str">
        <f>IF('Registrar expedidas_ingresos'!M88="","",'Registrar expedidas_ingresos'!M88)</f>
        <v/>
      </c>
      <c r="N88" s="61" t="str">
        <f>IF(OR(F88="F2",LEFT('Registrar expedidas_ingresos'!N88,2)="01"),"",IF(ISERROR(VLOOKUP(CONCATENATE("TIPO NIF",'Registrar expedidas_ingresos'!N88),'CODIGO-LITERAL'!$C:$D,2,FALSE)),"",VLOOKUP(CONCATENATE("TIPO NIF",'Registrar expedidas_ingresos'!N88),'CODIGO-LITERAL'!$C:$D,2,FALSE)))</f>
        <v/>
      </c>
      <c r="O88" s="60" t="str">
        <f>IF(OR('Registrar expedidas_ingresos'!O88="",N88="02",F88="F2"),"",'Registrar expedidas_ingresos'!O88)</f>
        <v/>
      </c>
      <c r="P88" s="60" t="str">
        <f>IF('Registrar expedidas_ingresos'!P88="","",'Registrar expedidas_ingresos'!P88)</f>
        <v/>
      </c>
      <c r="Q88" s="60" t="str">
        <f>IF(F88="F2","VENTAS A CONSUMIDOR FINAL",IF('Registrar expedidas_ingresos'!Q88="","",'Registrar expedidas_ingresos'!Q88))</f>
        <v/>
      </c>
      <c r="R88" s="61" t="str">
        <f>IF(F88="DV","02",IF(ISERROR(VLOOKUP(CONCATENATE("CLAVE OPERACION",'Registrar expedidas_ingresos'!R88),'CODIGO-LITERAL'!$C:$D,2,FALSE)),"",VLOOKUP(CONCATENATE("CLAVE OPERACION",'Registrar expedidas_ingresos'!R88),'CODIGO-LITERAL'!$C:$D,2,FALSE)))</f>
        <v/>
      </c>
      <c r="S88" s="61" t="str">
        <f>IF(R88="03","S1",
 IF(R88="08","N2",
  IF(ISERROR(VLOOKUP(CONCATENATE("CALIFICACION OPERACION",'Registrar expedidas_ingresos'!S88),'CODIGO-LITERAL'!$C:$D,2,FALSE)),"",VLOOKUP(CONCATENATE("CALIFICACION OPERACION",'Registrar expedidas_ingresos'!S88),'CODIGO-LITERAL'!$C:$D,2,FALSE))))</f>
        <v/>
      </c>
      <c r="T88" s="61" t="str">
        <f>IF(R88="03","",IF(R88="08","",IF(ISERROR(VLOOKUP(CONCATENATE("OPERACION EXENTA",'Registrar expedidas_ingresos'!T88),'CODIGO-LITERAL'!$C:$D,2,FALSE)),"",VLOOKUP(CONCATENATE("OPERACION EXENTA",'Registrar expedidas_ingresos'!T88),'CODIGO-LITERAL'!$C:$D,2,FALSE))))</f>
        <v/>
      </c>
      <c r="U88" s="60" t="str">
        <f t="shared" si="2"/>
        <v/>
      </c>
      <c r="V88" s="60" t="str">
        <f>IF('Registrar expedidas_ingresos'!V88="","",ROUND('Registrar expedidas_ingresos'!V88,2))</f>
        <v/>
      </c>
      <c r="W88" s="60" t="str">
        <f>IF(S88="S2",0,IF('Registrar expedidas_ingresos'!W88="","",'Registrar expedidas_ingresos'!W88))</f>
        <v/>
      </c>
      <c r="X88" s="60" t="str">
        <f>IF(S88="S2",0,IF('Registrar expedidas_ingresos'!X88="","",ROUND('Registrar expedidas_ingresos'!X88,2)))</f>
        <v/>
      </c>
      <c r="Y88" s="60" t="str">
        <f>IF('Registrar expedidas_ingresos'!Y88="","",'Registrar expedidas_ingresos'!Y88)</f>
        <v/>
      </c>
      <c r="Z88" s="60" t="str">
        <f>IF('Registrar expedidas_ingresos'!Z88="","",ROUND('Registrar expedidas_ingresos'!Z88,2))</f>
        <v/>
      </c>
      <c r="AA88" s="64" t="str">
        <f>IF(R88&lt;&gt;"07","",IF('Registrar expedidas_ingresos'!AA88="","",'Registrar expedidas_ingresos'!AA88))</f>
        <v/>
      </c>
      <c r="AB88" s="60" t="str">
        <f>IF(R88&lt;&gt;"07","",IF('Registrar expedidas_ingresos'!AB88="","",'Registrar expedidas_ingresos'!AB88))</f>
        <v/>
      </c>
      <c r="AC88" s="61" t="str">
        <f>IF(R88&lt;&gt;"07","",IF(ISERROR(VLOOKUP(CONCATENATE("MEDIO UTILIZADO",'Registrar expedidas_ingresos'!AC88),'CODIGO-LITERAL'!$C:$D,2,FALSE)),"",VLOOKUP(CONCATENATE("MEDIO UTILIZADO",'Registrar expedidas_ingresos'!AC88),'CODIGO-LITERAL'!$C:$D,2,FALSE)))</f>
        <v/>
      </c>
      <c r="AD88" s="60" t="str">
        <f>IF(R88&lt;&gt;"07","",IF('Registrar expedidas_ingresos'!AD88="","",'Registrar expedidas_ingresos'!AD88))</f>
        <v/>
      </c>
      <c r="AE88" s="65"/>
      <c r="AF88" s="65"/>
      <c r="AG88" s="60" t="str">
        <f>IF('Registrar expedidas_ingresos'!AG88="","",'Registrar expedidas_ingresos'!AG88)</f>
        <v/>
      </c>
      <c r="AH88" s="61" t="str">
        <f>IF(ISERROR(VLOOKUP(CONCATENATE("SITUACION",'Registrar expedidas_ingresos'!AH88),'CODIGO-LITERAL'!$C:$D,2,FALSE)),"",VLOOKUP(CONCATENATE("SITUACION",'Registrar expedidas_ingresos'!AH88),'CODIGO-LITERAL'!$C:$D,2,FALSE))</f>
        <v/>
      </c>
      <c r="AI88" s="60" t="str">
        <f>IF('Registrar expedidas_ingresos'!AI88="","",'Registrar expedidas_ingresos'!AI88)</f>
        <v/>
      </c>
      <c r="AJ88" s="60" t="str">
        <f>IF('Registrar expedidas_ingresos'!AJ88="","",'Registrar expedidas_ingresos'!AJ88)</f>
        <v/>
      </c>
    </row>
    <row r="89" spans="1:36" x14ac:dyDescent="0.25">
      <c r="A89" s="59" t="str">
        <f>IF('Registrar expedidas_ingresos'!J89="",IF('Registrar expedidas_ingresos'!I89="","",YEAR('Registrar expedidas_ingresos'!I89)),YEAR('Registrar expedidas_ingresos'!J89))</f>
        <v/>
      </c>
      <c r="B89" s="60" t="str">
        <f>IF('Registrar expedidas_ingresos'!B89="","",'Registrar expedidas_ingresos'!B89)</f>
        <v/>
      </c>
      <c r="C89" s="60" t="str">
        <f>IF('Registrar expedidas_ingresos'!C89="","",VLOOKUP(CONCATENATE("ACTIVIDAD",'Registrar expedidas_ingresos'!C89),'CODIGO-LITERAL'!C:D,2,FALSE))</f>
        <v/>
      </c>
      <c r="D89" s="60" t="str">
        <f>IF(OR(C89="C",C89="D"),"",IF(ISERROR(VLOOKUP(CONCATENATE(C89,'Registrar expedidas_ingresos'!D89),'CODIGO-LITERAL'!$C:$D,2,FALSE)),"",VLOOKUP(CONCATENATE(C89,'Registrar expedidas_ingresos'!D89),'CODIGO-LITERAL'!$C:$D,2,FALSE)))</f>
        <v/>
      </c>
      <c r="E89" s="60" t="str">
        <f>IF('Registrar expedidas_ingresos'!E89="","",'Registrar expedidas_ingresos'!E89)</f>
        <v/>
      </c>
      <c r="F89" s="61" t="str">
        <f>IF(ISERROR(VLOOKUP(CONCATENATE("TIPO FACTURA",'Registrar expedidas_ingresos'!F89),'CODIGO-LITERAL'!$C:$D,2,FALSE)),"",VLOOKUP(CONCATENATE("TIPO FACTURA",'Registrar expedidas_ingresos'!F89),'CODIGO-LITERAL'!$C:$D,2,FALSE))</f>
        <v/>
      </c>
      <c r="G89" s="62"/>
      <c r="H89" s="63"/>
      <c r="I89" s="64" t="str">
        <f>IF('Registrar expedidas_ingresos'!I89="","",'Registrar expedidas_ingresos'!I89)</f>
        <v/>
      </c>
      <c r="J89" s="64" t="str">
        <f>IF('Registrar expedidas_ingresos'!J89="","",'Registrar expedidas_ingresos'!J89)</f>
        <v/>
      </c>
      <c r="K89" s="60" t="str">
        <f>IF('Registrar expedidas_ingresos'!K89="","",'Registrar expedidas_ingresos'!K89)</f>
        <v/>
      </c>
      <c r="L89" s="60" t="str">
        <f>IF('Registrar expedidas_ingresos'!L89="","",'Registrar expedidas_ingresos'!L89)</f>
        <v/>
      </c>
      <c r="M89" s="60" t="str">
        <f>IF('Registrar expedidas_ingresos'!M89="","",'Registrar expedidas_ingresos'!M89)</f>
        <v/>
      </c>
      <c r="N89" s="61" t="str">
        <f>IF(OR(F89="F2",LEFT('Registrar expedidas_ingresos'!N89,2)="01"),"",IF(ISERROR(VLOOKUP(CONCATENATE("TIPO NIF",'Registrar expedidas_ingresos'!N89),'CODIGO-LITERAL'!$C:$D,2,FALSE)),"",VLOOKUP(CONCATENATE("TIPO NIF",'Registrar expedidas_ingresos'!N89),'CODIGO-LITERAL'!$C:$D,2,FALSE)))</f>
        <v/>
      </c>
      <c r="O89" s="60" t="str">
        <f>IF(OR('Registrar expedidas_ingresos'!O89="",N89="02",F89="F2"),"",'Registrar expedidas_ingresos'!O89)</f>
        <v/>
      </c>
      <c r="P89" s="60" t="str">
        <f>IF('Registrar expedidas_ingresos'!P89="","",'Registrar expedidas_ingresos'!P89)</f>
        <v/>
      </c>
      <c r="Q89" s="60" t="str">
        <f>IF(F89="F2","VENTAS A CONSUMIDOR FINAL",IF('Registrar expedidas_ingresos'!Q89="","",'Registrar expedidas_ingresos'!Q89))</f>
        <v/>
      </c>
      <c r="R89" s="61" t="str">
        <f>IF(F89="DV","02",IF(ISERROR(VLOOKUP(CONCATENATE("CLAVE OPERACION",'Registrar expedidas_ingresos'!R89),'CODIGO-LITERAL'!$C:$D,2,FALSE)),"",VLOOKUP(CONCATENATE("CLAVE OPERACION",'Registrar expedidas_ingresos'!R89),'CODIGO-LITERAL'!$C:$D,2,FALSE)))</f>
        <v/>
      </c>
      <c r="S89" s="61" t="str">
        <f>IF(R89="03","S1",
 IF(R89="08","N2",
  IF(ISERROR(VLOOKUP(CONCATENATE("CALIFICACION OPERACION",'Registrar expedidas_ingresos'!S89),'CODIGO-LITERAL'!$C:$D,2,FALSE)),"",VLOOKUP(CONCATENATE("CALIFICACION OPERACION",'Registrar expedidas_ingresos'!S89),'CODIGO-LITERAL'!$C:$D,2,FALSE))))</f>
        <v/>
      </c>
      <c r="T89" s="61" t="str">
        <f>IF(R89="03","",IF(R89="08","",IF(ISERROR(VLOOKUP(CONCATENATE("OPERACION EXENTA",'Registrar expedidas_ingresos'!T89),'CODIGO-LITERAL'!$C:$D,2,FALSE)),"",VLOOKUP(CONCATENATE("OPERACION EXENTA",'Registrar expedidas_ingresos'!T89),'CODIGO-LITERAL'!$C:$D,2,FALSE))))</f>
        <v/>
      </c>
      <c r="U89" s="60" t="str">
        <f t="shared" si="2"/>
        <v/>
      </c>
      <c r="V89" s="60" t="str">
        <f>IF('Registrar expedidas_ingresos'!V89="","",ROUND('Registrar expedidas_ingresos'!V89,2))</f>
        <v/>
      </c>
      <c r="W89" s="60" t="str">
        <f>IF(S89="S2",0,IF('Registrar expedidas_ingresos'!W89="","",'Registrar expedidas_ingresos'!W89))</f>
        <v/>
      </c>
      <c r="X89" s="60" t="str">
        <f>IF(S89="S2",0,IF('Registrar expedidas_ingresos'!X89="","",ROUND('Registrar expedidas_ingresos'!X89,2)))</f>
        <v/>
      </c>
      <c r="Y89" s="60" t="str">
        <f>IF('Registrar expedidas_ingresos'!Y89="","",'Registrar expedidas_ingresos'!Y89)</f>
        <v/>
      </c>
      <c r="Z89" s="60" t="str">
        <f>IF('Registrar expedidas_ingresos'!Z89="","",ROUND('Registrar expedidas_ingresos'!Z89,2))</f>
        <v/>
      </c>
      <c r="AA89" s="64" t="str">
        <f>IF(R89&lt;&gt;"07","",IF('Registrar expedidas_ingresos'!AA89="","",'Registrar expedidas_ingresos'!AA89))</f>
        <v/>
      </c>
      <c r="AB89" s="60" t="str">
        <f>IF(R89&lt;&gt;"07","",IF('Registrar expedidas_ingresos'!AB89="","",'Registrar expedidas_ingresos'!AB89))</f>
        <v/>
      </c>
      <c r="AC89" s="61" t="str">
        <f>IF(R89&lt;&gt;"07","",IF(ISERROR(VLOOKUP(CONCATENATE("MEDIO UTILIZADO",'Registrar expedidas_ingresos'!AC89),'CODIGO-LITERAL'!$C:$D,2,FALSE)),"",VLOOKUP(CONCATENATE("MEDIO UTILIZADO",'Registrar expedidas_ingresos'!AC89),'CODIGO-LITERAL'!$C:$D,2,FALSE)))</f>
        <v/>
      </c>
      <c r="AD89" s="60" t="str">
        <f>IF(R89&lt;&gt;"07","",IF('Registrar expedidas_ingresos'!AD89="","",'Registrar expedidas_ingresos'!AD89))</f>
        <v/>
      </c>
      <c r="AE89" s="65"/>
      <c r="AF89" s="65"/>
      <c r="AG89" s="60" t="str">
        <f>IF('Registrar expedidas_ingresos'!AG89="","",'Registrar expedidas_ingresos'!AG89)</f>
        <v/>
      </c>
      <c r="AH89" s="61" t="str">
        <f>IF(ISERROR(VLOOKUP(CONCATENATE("SITUACION",'Registrar expedidas_ingresos'!AH89),'CODIGO-LITERAL'!$C:$D,2,FALSE)),"",VLOOKUP(CONCATENATE("SITUACION",'Registrar expedidas_ingresos'!AH89),'CODIGO-LITERAL'!$C:$D,2,FALSE))</f>
        <v/>
      </c>
      <c r="AI89" s="60" t="str">
        <f>IF('Registrar expedidas_ingresos'!AI89="","",'Registrar expedidas_ingresos'!AI89)</f>
        <v/>
      </c>
      <c r="AJ89" s="60" t="str">
        <f>IF('Registrar expedidas_ingresos'!AJ89="","",'Registrar expedidas_ingresos'!AJ89)</f>
        <v/>
      </c>
    </row>
    <row r="90" spans="1:36" x14ac:dyDescent="0.25">
      <c r="A90" s="59" t="str">
        <f>IF('Registrar expedidas_ingresos'!J90="",IF('Registrar expedidas_ingresos'!I90="","",YEAR('Registrar expedidas_ingresos'!I90)),YEAR('Registrar expedidas_ingresos'!J90))</f>
        <v/>
      </c>
      <c r="B90" s="60" t="str">
        <f>IF('Registrar expedidas_ingresos'!B90="","",'Registrar expedidas_ingresos'!B90)</f>
        <v/>
      </c>
      <c r="C90" s="60" t="str">
        <f>IF('Registrar expedidas_ingresos'!C90="","",VLOOKUP(CONCATENATE("ACTIVIDAD",'Registrar expedidas_ingresos'!C90),'CODIGO-LITERAL'!C:D,2,FALSE))</f>
        <v/>
      </c>
      <c r="D90" s="60" t="str">
        <f>IF(OR(C90="C",C90="D"),"",IF(ISERROR(VLOOKUP(CONCATENATE(C90,'Registrar expedidas_ingresos'!D90),'CODIGO-LITERAL'!$C:$D,2,FALSE)),"",VLOOKUP(CONCATENATE(C90,'Registrar expedidas_ingresos'!D90),'CODIGO-LITERAL'!$C:$D,2,FALSE)))</f>
        <v/>
      </c>
      <c r="E90" s="60" t="str">
        <f>IF('Registrar expedidas_ingresos'!E90="","",'Registrar expedidas_ingresos'!E90)</f>
        <v/>
      </c>
      <c r="F90" s="61" t="str">
        <f>IF(ISERROR(VLOOKUP(CONCATENATE("TIPO FACTURA",'Registrar expedidas_ingresos'!F90),'CODIGO-LITERAL'!$C:$D,2,FALSE)),"",VLOOKUP(CONCATENATE("TIPO FACTURA",'Registrar expedidas_ingresos'!F90),'CODIGO-LITERAL'!$C:$D,2,FALSE))</f>
        <v/>
      </c>
      <c r="G90" s="62"/>
      <c r="H90" s="63"/>
      <c r="I90" s="64" t="str">
        <f>IF('Registrar expedidas_ingresos'!I90="","",'Registrar expedidas_ingresos'!I90)</f>
        <v/>
      </c>
      <c r="J90" s="64" t="str">
        <f>IF('Registrar expedidas_ingresos'!J90="","",'Registrar expedidas_ingresos'!J90)</f>
        <v/>
      </c>
      <c r="K90" s="60" t="str">
        <f>IF('Registrar expedidas_ingresos'!K90="","",'Registrar expedidas_ingresos'!K90)</f>
        <v/>
      </c>
      <c r="L90" s="60" t="str">
        <f>IF('Registrar expedidas_ingresos'!L90="","",'Registrar expedidas_ingresos'!L90)</f>
        <v/>
      </c>
      <c r="M90" s="60" t="str">
        <f>IF('Registrar expedidas_ingresos'!M90="","",'Registrar expedidas_ingresos'!M90)</f>
        <v/>
      </c>
      <c r="N90" s="61" t="str">
        <f>IF(OR(F90="F2",LEFT('Registrar expedidas_ingresos'!N90,2)="01"),"",IF(ISERROR(VLOOKUP(CONCATENATE("TIPO NIF",'Registrar expedidas_ingresos'!N90),'CODIGO-LITERAL'!$C:$D,2,FALSE)),"",VLOOKUP(CONCATENATE("TIPO NIF",'Registrar expedidas_ingresos'!N90),'CODIGO-LITERAL'!$C:$D,2,FALSE)))</f>
        <v/>
      </c>
      <c r="O90" s="60" t="str">
        <f>IF(OR('Registrar expedidas_ingresos'!O90="",N90="02",F90="F2"),"",'Registrar expedidas_ingresos'!O90)</f>
        <v/>
      </c>
      <c r="P90" s="60" t="str">
        <f>IF('Registrar expedidas_ingresos'!P90="","",'Registrar expedidas_ingresos'!P90)</f>
        <v/>
      </c>
      <c r="Q90" s="60" t="str">
        <f>IF(F90="F2","VENTAS A CONSUMIDOR FINAL",IF('Registrar expedidas_ingresos'!Q90="","",'Registrar expedidas_ingresos'!Q90))</f>
        <v/>
      </c>
      <c r="R90" s="61" t="str">
        <f>IF(F90="DV","02",IF(ISERROR(VLOOKUP(CONCATENATE("CLAVE OPERACION",'Registrar expedidas_ingresos'!R90),'CODIGO-LITERAL'!$C:$D,2,FALSE)),"",VLOOKUP(CONCATENATE("CLAVE OPERACION",'Registrar expedidas_ingresos'!R90),'CODIGO-LITERAL'!$C:$D,2,FALSE)))</f>
        <v/>
      </c>
      <c r="S90" s="61" t="str">
        <f>IF(R90="03","S1",
 IF(R90="08","N2",
  IF(ISERROR(VLOOKUP(CONCATENATE("CALIFICACION OPERACION",'Registrar expedidas_ingresos'!S90),'CODIGO-LITERAL'!$C:$D,2,FALSE)),"",VLOOKUP(CONCATENATE("CALIFICACION OPERACION",'Registrar expedidas_ingresos'!S90),'CODIGO-LITERAL'!$C:$D,2,FALSE))))</f>
        <v/>
      </c>
      <c r="T90" s="61" t="str">
        <f>IF(R90="03","",IF(R90="08","",IF(ISERROR(VLOOKUP(CONCATENATE("OPERACION EXENTA",'Registrar expedidas_ingresos'!T90),'CODIGO-LITERAL'!$C:$D,2,FALSE)),"",VLOOKUP(CONCATENATE("OPERACION EXENTA",'Registrar expedidas_ingresos'!T90),'CODIGO-LITERAL'!$C:$D,2,FALSE))))</f>
        <v/>
      </c>
      <c r="U90" s="60" t="str">
        <f t="shared" si="2"/>
        <v/>
      </c>
      <c r="V90" s="60" t="str">
        <f>IF('Registrar expedidas_ingresos'!V90="","",ROUND('Registrar expedidas_ingresos'!V90,2))</f>
        <v/>
      </c>
      <c r="W90" s="60" t="str">
        <f>IF(S90="S2",0,IF('Registrar expedidas_ingresos'!W90="","",'Registrar expedidas_ingresos'!W90))</f>
        <v/>
      </c>
      <c r="X90" s="60" t="str">
        <f>IF(S90="S2",0,IF('Registrar expedidas_ingresos'!X90="","",ROUND('Registrar expedidas_ingresos'!X90,2)))</f>
        <v/>
      </c>
      <c r="Y90" s="60" t="str">
        <f>IF('Registrar expedidas_ingresos'!Y90="","",'Registrar expedidas_ingresos'!Y90)</f>
        <v/>
      </c>
      <c r="Z90" s="60" t="str">
        <f>IF('Registrar expedidas_ingresos'!Z90="","",ROUND('Registrar expedidas_ingresos'!Z90,2))</f>
        <v/>
      </c>
      <c r="AA90" s="64" t="str">
        <f>IF(R90&lt;&gt;"07","",IF('Registrar expedidas_ingresos'!AA90="","",'Registrar expedidas_ingresos'!AA90))</f>
        <v/>
      </c>
      <c r="AB90" s="60" t="str">
        <f>IF(R90&lt;&gt;"07","",IF('Registrar expedidas_ingresos'!AB90="","",'Registrar expedidas_ingresos'!AB90))</f>
        <v/>
      </c>
      <c r="AC90" s="61" t="str">
        <f>IF(R90&lt;&gt;"07","",IF(ISERROR(VLOOKUP(CONCATENATE("MEDIO UTILIZADO",'Registrar expedidas_ingresos'!AC90),'CODIGO-LITERAL'!$C:$D,2,FALSE)),"",VLOOKUP(CONCATENATE("MEDIO UTILIZADO",'Registrar expedidas_ingresos'!AC90),'CODIGO-LITERAL'!$C:$D,2,FALSE)))</f>
        <v/>
      </c>
      <c r="AD90" s="60" t="str">
        <f>IF(R90&lt;&gt;"07","",IF('Registrar expedidas_ingresos'!AD90="","",'Registrar expedidas_ingresos'!AD90))</f>
        <v/>
      </c>
      <c r="AE90" s="65"/>
      <c r="AF90" s="65"/>
      <c r="AG90" s="60" t="str">
        <f>IF('Registrar expedidas_ingresos'!AG90="","",'Registrar expedidas_ingresos'!AG90)</f>
        <v/>
      </c>
      <c r="AH90" s="61" t="str">
        <f>IF(ISERROR(VLOOKUP(CONCATENATE("SITUACION",'Registrar expedidas_ingresos'!AH90),'CODIGO-LITERAL'!$C:$D,2,FALSE)),"",VLOOKUP(CONCATENATE("SITUACION",'Registrar expedidas_ingresos'!AH90),'CODIGO-LITERAL'!$C:$D,2,FALSE))</f>
        <v/>
      </c>
      <c r="AI90" s="60" t="str">
        <f>IF('Registrar expedidas_ingresos'!AI90="","",'Registrar expedidas_ingresos'!AI90)</f>
        <v/>
      </c>
      <c r="AJ90" s="60" t="str">
        <f>IF('Registrar expedidas_ingresos'!AJ90="","",'Registrar expedidas_ingresos'!AJ90)</f>
        <v/>
      </c>
    </row>
    <row r="91" spans="1:36" x14ac:dyDescent="0.25">
      <c r="A91" s="59" t="str">
        <f>IF('Registrar expedidas_ingresos'!J91="",IF('Registrar expedidas_ingresos'!I91="","",YEAR('Registrar expedidas_ingresos'!I91)),YEAR('Registrar expedidas_ingresos'!J91))</f>
        <v/>
      </c>
      <c r="B91" s="60" t="str">
        <f>IF('Registrar expedidas_ingresos'!B91="","",'Registrar expedidas_ingresos'!B91)</f>
        <v/>
      </c>
      <c r="C91" s="60" t="str">
        <f>IF('Registrar expedidas_ingresos'!C91="","",VLOOKUP(CONCATENATE("ACTIVIDAD",'Registrar expedidas_ingresos'!C91),'CODIGO-LITERAL'!C:D,2,FALSE))</f>
        <v/>
      </c>
      <c r="D91" s="60" t="str">
        <f>IF(OR(C91="C",C91="D"),"",IF(ISERROR(VLOOKUP(CONCATENATE(C91,'Registrar expedidas_ingresos'!D91),'CODIGO-LITERAL'!$C:$D,2,FALSE)),"",VLOOKUP(CONCATENATE(C91,'Registrar expedidas_ingresos'!D91),'CODIGO-LITERAL'!$C:$D,2,FALSE)))</f>
        <v/>
      </c>
      <c r="E91" s="60" t="str">
        <f>IF('Registrar expedidas_ingresos'!E91="","",'Registrar expedidas_ingresos'!E91)</f>
        <v/>
      </c>
      <c r="F91" s="61" t="str">
        <f>IF(ISERROR(VLOOKUP(CONCATENATE("TIPO FACTURA",'Registrar expedidas_ingresos'!F91),'CODIGO-LITERAL'!$C:$D,2,FALSE)),"",VLOOKUP(CONCATENATE("TIPO FACTURA",'Registrar expedidas_ingresos'!F91),'CODIGO-LITERAL'!$C:$D,2,FALSE))</f>
        <v/>
      </c>
      <c r="G91" s="62"/>
      <c r="H91" s="63"/>
      <c r="I91" s="64" t="str">
        <f>IF('Registrar expedidas_ingresos'!I91="","",'Registrar expedidas_ingresos'!I91)</f>
        <v/>
      </c>
      <c r="J91" s="64" t="str">
        <f>IF('Registrar expedidas_ingresos'!J91="","",'Registrar expedidas_ingresos'!J91)</f>
        <v/>
      </c>
      <c r="K91" s="60" t="str">
        <f>IF('Registrar expedidas_ingresos'!K91="","",'Registrar expedidas_ingresos'!K91)</f>
        <v/>
      </c>
      <c r="L91" s="60" t="str">
        <f>IF('Registrar expedidas_ingresos'!L91="","",'Registrar expedidas_ingresos'!L91)</f>
        <v/>
      </c>
      <c r="M91" s="60" t="str">
        <f>IF('Registrar expedidas_ingresos'!M91="","",'Registrar expedidas_ingresos'!M91)</f>
        <v/>
      </c>
      <c r="N91" s="61" t="str">
        <f>IF(OR(F91="F2",LEFT('Registrar expedidas_ingresos'!N91,2)="01"),"",IF(ISERROR(VLOOKUP(CONCATENATE("TIPO NIF",'Registrar expedidas_ingresos'!N91),'CODIGO-LITERAL'!$C:$D,2,FALSE)),"",VLOOKUP(CONCATENATE("TIPO NIF",'Registrar expedidas_ingresos'!N91),'CODIGO-LITERAL'!$C:$D,2,FALSE)))</f>
        <v/>
      </c>
      <c r="O91" s="60" t="str">
        <f>IF(OR('Registrar expedidas_ingresos'!O91="",N91="02",F91="F2"),"",'Registrar expedidas_ingresos'!O91)</f>
        <v/>
      </c>
      <c r="P91" s="60" t="str">
        <f>IF('Registrar expedidas_ingresos'!P91="","",'Registrar expedidas_ingresos'!P91)</f>
        <v/>
      </c>
      <c r="Q91" s="60" t="str">
        <f>IF(F91="F2","VENTAS A CONSUMIDOR FINAL",IF('Registrar expedidas_ingresos'!Q91="","",'Registrar expedidas_ingresos'!Q91))</f>
        <v/>
      </c>
      <c r="R91" s="61" t="str">
        <f>IF(F91="DV","02",IF(ISERROR(VLOOKUP(CONCATENATE("CLAVE OPERACION",'Registrar expedidas_ingresos'!R91),'CODIGO-LITERAL'!$C:$D,2,FALSE)),"",VLOOKUP(CONCATENATE("CLAVE OPERACION",'Registrar expedidas_ingresos'!R91),'CODIGO-LITERAL'!$C:$D,2,FALSE)))</f>
        <v/>
      </c>
      <c r="S91" s="61" t="str">
        <f>IF(R91="03","S1",
 IF(R91="08","N2",
  IF(ISERROR(VLOOKUP(CONCATENATE("CALIFICACION OPERACION",'Registrar expedidas_ingresos'!S91),'CODIGO-LITERAL'!$C:$D,2,FALSE)),"",VLOOKUP(CONCATENATE("CALIFICACION OPERACION",'Registrar expedidas_ingresos'!S91),'CODIGO-LITERAL'!$C:$D,2,FALSE))))</f>
        <v/>
      </c>
      <c r="T91" s="61" t="str">
        <f>IF(R91="03","",IF(R91="08","",IF(ISERROR(VLOOKUP(CONCATENATE("OPERACION EXENTA",'Registrar expedidas_ingresos'!T91),'CODIGO-LITERAL'!$C:$D,2,FALSE)),"",VLOOKUP(CONCATENATE("OPERACION EXENTA",'Registrar expedidas_ingresos'!T91),'CODIGO-LITERAL'!$C:$D,2,FALSE))))</f>
        <v/>
      </c>
      <c r="U91" s="60" t="str">
        <f t="shared" si="2"/>
        <v/>
      </c>
      <c r="V91" s="60" t="str">
        <f>IF('Registrar expedidas_ingresos'!V91="","",ROUND('Registrar expedidas_ingresos'!V91,2))</f>
        <v/>
      </c>
      <c r="W91" s="60" t="str">
        <f>IF(S91="S2",0,IF('Registrar expedidas_ingresos'!W91="","",'Registrar expedidas_ingresos'!W91))</f>
        <v/>
      </c>
      <c r="X91" s="60" t="str">
        <f>IF(S91="S2",0,IF('Registrar expedidas_ingresos'!X91="","",ROUND('Registrar expedidas_ingresos'!X91,2)))</f>
        <v/>
      </c>
      <c r="Y91" s="60" t="str">
        <f>IF('Registrar expedidas_ingresos'!Y91="","",'Registrar expedidas_ingresos'!Y91)</f>
        <v/>
      </c>
      <c r="Z91" s="60" t="str">
        <f>IF('Registrar expedidas_ingresos'!Z91="","",ROUND('Registrar expedidas_ingresos'!Z91,2))</f>
        <v/>
      </c>
      <c r="AA91" s="64" t="str">
        <f>IF(R91&lt;&gt;"07","",IF('Registrar expedidas_ingresos'!AA91="","",'Registrar expedidas_ingresos'!AA91))</f>
        <v/>
      </c>
      <c r="AB91" s="60" t="str">
        <f>IF(R91&lt;&gt;"07","",IF('Registrar expedidas_ingresos'!AB91="","",'Registrar expedidas_ingresos'!AB91))</f>
        <v/>
      </c>
      <c r="AC91" s="61" t="str">
        <f>IF(R91&lt;&gt;"07","",IF(ISERROR(VLOOKUP(CONCATENATE("MEDIO UTILIZADO",'Registrar expedidas_ingresos'!AC91),'CODIGO-LITERAL'!$C:$D,2,FALSE)),"",VLOOKUP(CONCATENATE("MEDIO UTILIZADO",'Registrar expedidas_ingresos'!AC91),'CODIGO-LITERAL'!$C:$D,2,FALSE)))</f>
        <v/>
      </c>
      <c r="AD91" s="60" t="str">
        <f>IF(R91&lt;&gt;"07","",IF('Registrar expedidas_ingresos'!AD91="","",'Registrar expedidas_ingresos'!AD91))</f>
        <v/>
      </c>
      <c r="AE91" s="65"/>
      <c r="AF91" s="65"/>
      <c r="AG91" s="60" t="str">
        <f>IF('Registrar expedidas_ingresos'!AG91="","",'Registrar expedidas_ingresos'!AG91)</f>
        <v/>
      </c>
      <c r="AH91" s="61" t="str">
        <f>IF(ISERROR(VLOOKUP(CONCATENATE("SITUACION",'Registrar expedidas_ingresos'!AH91),'CODIGO-LITERAL'!$C:$D,2,FALSE)),"",VLOOKUP(CONCATENATE("SITUACION",'Registrar expedidas_ingresos'!AH91),'CODIGO-LITERAL'!$C:$D,2,FALSE))</f>
        <v/>
      </c>
      <c r="AI91" s="60" t="str">
        <f>IF('Registrar expedidas_ingresos'!AI91="","",'Registrar expedidas_ingresos'!AI91)</f>
        <v/>
      </c>
      <c r="AJ91" s="60" t="str">
        <f>IF('Registrar expedidas_ingresos'!AJ91="","",'Registrar expedidas_ingresos'!AJ91)</f>
        <v/>
      </c>
    </row>
    <row r="92" spans="1:36" x14ac:dyDescent="0.25">
      <c r="A92" s="59" t="str">
        <f>IF('Registrar expedidas_ingresos'!J92="",IF('Registrar expedidas_ingresos'!I92="","",YEAR('Registrar expedidas_ingresos'!I92)),YEAR('Registrar expedidas_ingresos'!J92))</f>
        <v/>
      </c>
      <c r="B92" s="60" t="str">
        <f>IF('Registrar expedidas_ingresos'!B92="","",'Registrar expedidas_ingresos'!B92)</f>
        <v/>
      </c>
      <c r="C92" s="60" t="str">
        <f>IF('Registrar expedidas_ingresos'!C92="","",VLOOKUP(CONCATENATE("ACTIVIDAD",'Registrar expedidas_ingresos'!C92),'CODIGO-LITERAL'!C:D,2,FALSE))</f>
        <v/>
      </c>
      <c r="D92" s="60" t="str">
        <f>IF(OR(C92="C",C92="D"),"",IF(ISERROR(VLOOKUP(CONCATENATE(C92,'Registrar expedidas_ingresos'!D92),'CODIGO-LITERAL'!$C:$D,2,FALSE)),"",VLOOKUP(CONCATENATE(C92,'Registrar expedidas_ingresos'!D92),'CODIGO-LITERAL'!$C:$D,2,FALSE)))</f>
        <v/>
      </c>
      <c r="E92" s="60" t="str">
        <f>IF('Registrar expedidas_ingresos'!E92="","",'Registrar expedidas_ingresos'!E92)</f>
        <v/>
      </c>
      <c r="F92" s="61" t="str">
        <f>IF(ISERROR(VLOOKUP(CONCATENATE("TIPO FACTURA",'Registrar expedidas_ingresos'!F92),'CODIGO-LITERAL'!$C:$D,2,FALSE)),"",VLOOKUP(CONCATENATE("TIPO FACTURA",'Registrar expedidas_ingresos'!F92),'CODIGO-LITERAL'!$C:$D,2,FALSE))</f>
        <v/>
      </c>
      <c r="G92" s="62"/>
      <c r="H92" s="63"/>
      <c r="I92" s="64" t="str">
        <f>IF('Registrar expedidas_ingresos'!I92="","",'Registrar expedidas_ingresos'!I92)</f>
        <v/>
      </c>
      <c r="J92" s="64" t="str">
        <f>IF('Registrar expedidas_ingresos'!J92="","",'Registrar expedidas_ingresos'!J92)</f>
        <v/>
      </c>
      <c r="K92" s="60" t="str">
        <f>IF('Registrar expedidas_ingresos'!K92="","",'Registrar expedidas_ingresos'!K92)</f>
        <v/>
      </c>
      <c r="L92" s="60" t="str">
        <f>IF('Registrar expedidas_ingresos'!L92="","",'Registrar expedidas_ingresos'!L92)</f>
        <v/>
      </c>
      <c r="M92" s="60" t="str">
        <f>IF('Registrar expedidas_ingresos'!M92="","",'Registrar expedidas_ingresos'!M92)</f>
        <v/>
      </c>
      <c r="N92" s="61" t="str">
        <f>IF(OR(F92="F2",LEFT('Registrar expedidas_ingresos'!N92,2)="01"),"",IF(ISERROR(VLOOKUP(CONCATENATE("TIPO NIF",'Registrar expedidas_ingresos'!N92),'CODIGO-LITERAL'!$C:$D,2,FALSE)),"",VLOOKUP(CONCATENATE("TIPO NIF",'Registrar expedidas_ingresos'!N92),'CODIGO-LITERAL'!$C:$D,2,FALSE)))</f>
        <v/>
      </c>
      <c r="O92" s="60" t="str">
        <f>IF(OR('Registrar expedidas_ingresos'!O92="",N92="02",F92="F2"),"",'Registrar expedidas_ingresos'!O92)</f>
        <v/>
      </c>
      <c r="P92" s="60" t="str">
        <f>IF('Registrar expedidas_ingresos'!P92="","",'Registrar expedidas_ingresos'!P92)</f>
        <v/>
      </c>
      <c r="Q92" s="60" t="str">
        <f>IF(F92="F2","VENTAS A CONSUMIDOR FINAL",IF('Registrar expedidas_ingresos'!Q92="","",'Registrar expedidas_ingresos'!Q92))</f>
        <v/>
      </c>
      <c r="R92" s="61" t="str">
        <f>IF(F92="DV","02",IF(ISERROR(VLOOKUP(CONCATENATE("CLAVE OPERACION",'Registrar expedidas_ingresos'!R92),'CODIGO-LITERAL'!$C:$D,2,FALSE)),"",VLOOKUP(CONCATENATE("CLAVE OPERACION",'Registrar expedidas_ingresos'!R92),'CODIGO-LITERAL'!$C:$D,2,FALSE)))</f>
        <v/>
      </c>
      <c r="S92" s="61" t="str">
        <f>IF(R92="03","S1",
 IF(R92="08","N2",
  IF(ISERROR(VLOOKUP(CONCATENATE("CALIFICACION OPERACION",'Registrar expedidas_ingresos'!S92),'CODIGO-LITERAL'!$C:$D,2,FALSE)),"",VLOOKUP(CONCATENATE("CALIFICACION OPERACION",'Registrar expedidas_ingresos'!S92),'CODIGO-LITERAL'!$C:$D,2,FALSE))))</f>
        <v/>
      </c>
      <c r="T92" s="61" t="str">
        <f>IF(R92="03","",IF(R92="08","",IF(ISERROR(VLOOKUP(CONCATENATE("OPERACION EXENTA",'Registrar expedidas_ingresos'!T92),'CODIGO-LITERAL'!$C:$D,2,FALSE)),"",VLOOKUP(CONCATENATE("OPERACION EXENTA",'Registrar expedidas_ingresos'!T92),'CODIGO-LITERAL'!$C:$D,2,FALSE))))</f>
        <v/>
      </c>
      <c r="U92" s="60" t="str">
        <f t="shared" si="2"/>
        <v/>
      </c>
      <c r="V92" s="60" t="str">
        <f>IF('Registrar expedidas_ingresos'!V92="","",ROUND('Registrar expedidas_ingresos'!V92,2))</f>
        <v/>
      </c>
      <c r="W92" s="60" t="str">
        <f>IF(S92="S2",0,IF('Registrar expedidas_ingresos'!W92="","",'Registrar expedidas_ingresos'!W92))</f>
        <v/>
      </c>
      <c r="X92" s="60" t="str">
        <f>IF(S92="S2",0,IF('Registrar expedidas_ingresos'!X92="","",ROUND('Registrar expedidas_ingresos'!X92,2)))</f>
        <v/>
      </c>
      <c r="Y92" s="60" t="str">
        <f>IF('Registrar expedidas_ingresos'!Y92="","",'Registrar expedidas_ingresos'!Y92)</f>
        <v/>
      </c>
      <c r="Z92" s="60" t="str">
        <f>IF('Registrar expedidas_ingresos'!Z92="","",ROUND('Registrar expedidas_ingresos'!Z92,2))</f>
        <v/>
      </c>
      <c r="AA92" s="64" t="str">
        <f>IF(R92&lt;&gt;"07","",IF('Registrar expedidas_ingresos'!AA92="","",'Registrar expedidas_ingresos'!AA92))</f>
        <v/>
      </c>
      <c r="AB92" s="60" t="str">
        <f>IF(R92&lt;&gt;"07","",IF('Registrar expedidas_ingresos'!AB92="","",'Registrar expedidas_ingresos'!AB92))</f>
        <v/>
      </c>
      <c r="AC92" s="61" t="str">
        <f>IF(R92&lt;&gt;"07","",IF(ISERROR(VLOOKUP(CONCATENATE("MEDIO UTILIZADO",'Registrar expedidas_ingresos'!AC92),'CODIGO-LITERAL'!$C:$D,2,FALSE)),"",VLOOKUP(CONCATENATE("MEDIO UTILIZADO",'Registrar expedidas_ingresos'!AC92),'CODIGO-LITERAL'!$C:$D,2,FALSE)))</f>
        <v/>
      </c>
      <c r="AD92" s="60" t="str">
        <f>IF(R92&lt;&gt;"07","",IF('Registrar expedidas_ingresos'!AD92="","",'Registrar expedidas_ingresos'!AD92))</f>
        <v/>
      </c>
      <c r="AE92" s="65"/>
      <c r="AF92" s="65"/>
      <c r="AG92" s="60" t="str">
        <f>IF('Registrar expedidas_ingresos'!AG92="","",'Registrar expedidas_ingresos'!AG92)</f>
        <v/>
      </c>
      <c r="AH92" s="61" t="str">
        <f>IF(ISERROR(VLOOKUP(CONCATENATE("SITUACION",'Registrar expedidas_ingresos'!AH92),'CODIGO-LITERAL'!$C:$D,2,FALSE)),"",VLOOKUP(CONCATENATE("SITUACION",'Registrar expedidas_ingresos'!AH92),'CODIGO-LITERAL'!$C:$D,2,FALSE))</f>
        <v/>
      </c>
      <c r="AI92" s="60" t="str">
        <f>IF('Registrar expedidas_ingresos'!AI92="","",'Registrar expedidas_ingresos'!AI92)</f>
        <v/>
      </c>
      <c r="AJ92" s="60" t="str">
        <f>IF('Registrar expedidas_ingresos'!AJ92="","",'Registrar expedidas_ingresos'!AJ92)</f>
        <v/>
      </c>
    </row>
    <row r="93" spans="1:36" x14ac:dyDescent="0.25">
      <c r="A93" s="59" t="str">
        <f>IF('Registrar expedidas_ingresos'!J93="",IF('Registrar expedidas_ingresos'!I93="","",YEAR('Registrar expedidas_ingresos'!I93)),YEAR('Registrar expedidas_ingresos'!J93))</f>
        <v/>
      </c>
      <c r="B93" s="60" t="str">
        <f>IF('Registrar expedidas_ingresos'!B93="","",'Registrar expedidas_ingresos'!B93)</f>
        <v/>
      </c>
      <c r="C93" s="60" t="str">
        <f>IF('Registrar expedidas_ingresos'!C93="","",VLOOKUP(CONCATENATE("ACTIVIDAD",'Registrar expedidas_ingresos'!C93),'CODIGO-LITERAL'!C:D,2,FALSE))</f>
        <v/>
      </c>
      <c r="D93" s="60" t="str">
        <f>IF(OR(C93="C",C93="D"),"",IF(ISERROR(VLOOKUP(CONCATENATE(C93,'Registrar expedidas_ingresos'!D93),'CODIGO-LITERAL'!$C:$D,2,FALSE)),"",VLOOKUP(CONCATENATE(C93,'Registrar expedidas_ingresos'!D93),'CODIGO-LITERAL'!$C:$D,2,FALSE)))</f>
        <v/>
      </c>
      <c r="E93" s="60" t="str">
        <f>IF('Registrar expedidas_ingresos'!E93="","",'Registrar expedidas_ingresos'!E93)</f>
        <v/>
      </c>
      <c r="F93" s="61" t="str">
        <f>IF(ISERROR(VLOOKUP(CONCATENATE("TIPO FACTURA",'Registrar expedidas_ingresos'!F93),'CODIGO-LITERAL'!$C:$D,2,FALSE)),"",VLOOKUP(CONCATENATE("TIPO FACTURA",'Registrar expedidas_ingresos'!F93),'CODIGO-LITERAL'!$C:$D,2,FALSE))</f>
        <v/>
      </c>
      <c r="G93" s="62"/>
      <c r="H93" s="63"/>
      <c r="I93" s="64" t="str">
        <f>IF('Registrar expedidas_ingresos'!I93="","",'Registrar expedidas_ingresos'!I93)</f>
        <v/>
      </c>
      <c r="J93" s="64" t="str">
        <f>IF('Registrar expedidas_ingresos'!J93="","",'Registrar expedidas_ingresos'!J93)</f>
        <v/>
      </c>
      <c r="K93" s="60" t="str">
        <f>IF('Registrar expedidas_ingresos'!K93="","",'Registrar expedidas_ingresos'!K93)</f>
        <v/>
      </c>
      <c r="L93" s="60" t="str">
        <f>IF('Registrar expedidas_ingresos'!L93="","",'Registrar expedidas_ingresos'!L93)</f>
        <v/>
      </c>
      <c r="M93" s="60" t="str">
        <f>IF('Registrar expedidas_ingresos'!M93="","",'Registrar expedidas_ingresos'!M93)</f>
        <v/>
      </c>
      <c r="N93" s="61" t="str">
        <f>IF(OR(F93="F2",LEFT('Registrar expedidas_ingresos'!N93,2)="01"),"",IF(ISERROR(VLOOKUP(CONCATENATE("TIPO NIF",'Registrar expedidas_ingresos'!N93),'CODIGO-LITERAL'!$C:$D,2,FALSE)),"",VLOOKUP(CONCATENATE("TIPO NIF",'Registrar expedidas_ingresos'!N93),'CODIGO-LITERAL'!$C:$D,2,FALSE)))</f>
        <v/>
      </c>
      <c r="O93" s="60" t="str">
        <f>IF(OR('Registrar expedidas_ingresos'!O93="",N93="02",F93="F2"),"",'Registrar expedidas_ingresos'!O93)</f>
        <v/>
      </c>
      <c r="P93" s="60" t="str">
        <f>IF('Registrar expedidas_ingresos'!P93="","",'Registrar expedidas_ingresos'!P93)</f>
        <v/>
      </c>
      <c r="Q93" s="60" t="str">
        <f>IF(F93="F2","VENTAS A CONSUMIDOR FINAL",IF('Registrar expedidas_ingresos'!Q93="","",'Registrar expedidas_ingresos'!Q93))</f>
        <v/>
      </c>
      <c r="R93" s="61" t="str">
        <f>IF(F93="DV","02",IF(ISERROR(VLOOKUP(CONCATENATE("CLAVE OPERACION",'Registrar expedidas_ingresos'!R93),'CODIGO-LITERAL'!$C:$D,2,FALSE)),"",VLOOKUP(CONCATENATE("CLAVE OPERACION",'Registrar expedidas_ingresos'!R93),'CODIGO-LITERAL'!$C:$D,2,FALSE)))</f>
        <v/>
      </c>
      <c r="S93" s="61" t="str">
        <f>IF(R93="03","S1",
 IF(R93="08","N2",
  IF(ISERROR(VLOOKUP(CONCATENATE("CALIFICACION OPERACION",'Registrar expedidas_ingresos'!S93),'CODIGO-LITERAL'!$C:$D,2,FALSE)),"",VLOOKUP(CONCATENATE("CALIFICACION OPERACION",'Registrar expedidas_ingresos'!S93),'CODIGO-LITERAL'!$C:$D,2,FALSE))))</f>
        <v/>
      </c>
      <c r="T93" s="61" t="str">
        <f>IF(R93="03","",IF(R93="08","",IF(ISERROR(VLOOKUP(CONCATENATE("OPERACION EXENTA",'Registrar expedidas_ingresos'!T93),'CODIGO-LITERAL'!$C:$D,2,FALSE)),"",VLOOKUP(CONCATENATE("OPERACION EXENTA",'Registrar expedidas_ingresos'!T93),'CODIGO-LITERAL'!$C:$D,2,FALSE))))</f>
        <v/>
      </c>
      <c r="U93" s="60" t="str">
        <f t="shared" si="2"/>
        <v/>
      </c>
      <c r="V93" s="60" t="str">
        <f>IF('Registrar expedidas_ingresos'!V93="","",ROUND('Registrar expedidas_ingresos'!V93,2))</f>
        <v/>
      </c>
      <c r="W93" s="60" t="str">
        <f>IF(S93="S2",0,IF('Registrar expedidas_ingresos'!W93="","",'Registrar expedidas_ingresos'!W93))</f>
        <v/>
      </c>
      <c r="X93" s="60" t="str">
        <f>IF(S93="S2",0,IF('Registrar expedidas_ingresos'!X93="","",ROUND('Registrar expedidas_ingresos'!X93,2)))</f>
        <v/>
      </c>
      <c r="Y93" s="60" t="str">
        <f>IF('Registrar expedidas_ingresos'!Y93="","",'Registrar expedidas_ingresos'!Y93)</f>
        <v/>
      </c>
      <c r="Z93" s="60" t="str">
        <f>IF('Registrar expedidas_ingresos'!Z93="","",ROUND('Registrar expedidas_ingresos'!Z93,2))</f>
        <v/>
      </c>
      <c r="AA93" s="64" t="str">
        <f>IF(R93&lt;&gt;"07","",IF('Registrar expedidas_ingresos'!AA93="","",'Registrar expedidas_ingresos'!AA93))</f>
        <v/>
      </c>
      <c r="AB93" s="60" t="str">
        <f>IF(R93&lt;&gt;"07","",IF('Registrar expedidas_ingresos'!AB93="","",'Registrar expedidas_ingresos'!AB93))</f>
        <v/>
      </c>
      <c r="AC93" s="61" t="str">
        <f>IF(R93&lt;&gt;"07","",IF(ISERROR(VLOOKUP(CONCATENATE("MEDIO UTILIZADO",'Registrar expedidas_ingresos'!AC93),'CODIGO-LITERAL'!$C:$D,2,FALSE)),"",VLOOKUP(CONCATENATE("MEDIO UTILIZADO",'Registrar expedidas_ingresos'!AC93),'CODIGO-LITERAL'!$C:$D,2,FALSE)))</f>
        <v/>
      </c>
      <c r="AD93" s="60" t="str">
        <f>IF(R93&lt;&gt;"07","",IF('Registrar expedidas_ingresos'!AD93="","",'Registrar expedidas_ingresos'!AD93))</f>
        <v/>
      </c>
      <c r="AE93" s="65"/>
      <c r="AF93" s="65"/>
      <c r="AG93" s="60" t="str">
        <f>IF('Registrar expedidas_ingresos'!AG93="","",'Registrar expedidas_ingresos'!AG93)</f>
        <v/>
      </c>
      <c r="AH93" s="61" t="str">
        <f>IF(ISERROR(VLOOKUP(CONCATENATE("SITUACION",'Registrar expedidas_ingresos'!AH93),'CODIGO-LITERAL'!$C:$D,2,FALSE)),"",VLOOKUP(CONCATENATE("SITUACION",'Registrar expedidas_ingresos'!AH93),'CODIGO-LITERAL'!$C:$D,2,FALSE))</f>
        <v/>
      </c>
      <c r="AI93" s="60" t="str">
        <f>IF('Registrar expedidas_ingresos'!AI93="","",'Registrar expedidas_ingresos'!AI93)</f>
        <v/>
      </c>
      <c r="AJ93" s="60" t="str">
        <f>IF('Registrar expedidas_ingresos'!AJ93="","",'Registrar expedidas_ingresos'!AJ93)</f>
        <v/>
      </c>
    </row>
    <row r="94" spans="1:36" x14ac:dyDescent="0.25">
      <c r="A94" s="59" t="str">
        <f>IF('Registrar expedidas_ingresos'!J94="",IF('Registrar expedidas_ingresos'!I94="","",YEAR('Registrar expedidas_ingresos'!I94)),YEAR('Registrar expedidas_ingresos'!J94))</f>
        <v/>
      </c>
      <c r="B94" s="60" t="str">
        <f>IF('Registrar expedidas_ingresos'!B94="","",'Registrar expedidas_ingresos'!B94)</f>
        <v/>
      </c>
      <c r="C94" s="60" t="str">
        <f>IF('Registrar expedidas_ingresos'!C94="","",VLOOKUP(CONCATENATE("ACTIVIDAD",'Registrar expedidas_ingresos'!C94),'CODIGO-LITERAL'!C:D,2,FALSE))</f>
        <v/>
      </c>
      <c r="D94" s="60" t="str">
        <f>IF(OR(C94="C",C94="D"),"",IF(ISERROR(VLOOKUP(CONCATENATE(C94,'Registrar expedidas_ingresos'!D94),'CODIGO-LITERAL'!$C:$D,2,FALSE)),"",VLOOKUP(CONCATENATE(C94,'Registrar expedidas_ingresos'!D94),'CODIGO-LITERAL'!$C:$D,2,FALSE)))</f>
        <v/>
      </c>
      <c r="E94" s="60" t="str">
        <f>IF('Registrar expedidas_ingresos'!E94="","",'Registrar expedidas_ingresos'!E94)</f>
        <v/>
      </c>
      <c r="F94" s="61" t="str">
        <f>IF(ISERROR(VLOOKUP(CONCATENATE("TIPO FACTURA",'Registrar expedidas_ingresos'!F94),'CODIGO-LITERAL'!$C:$D,2,FALSE)),"",VLOOKUP(CONCATENATE("TIPO FACTURA",'Registrar expedidas_ingresos'!F94),'CODIGO-LITERAL'!$C:$D,2,FALSE))</f>
        <v/>
      </c>
      <c r="G94" s="62"/>
      <c r="H94" s="63"/>
      <c r="I94" s="64" t="str">
        <f>IF('Registrar expedidas_ingresos'!I94="","",'Registrar expedidas_ingresos'!I94)</f>
        <v/>
      </c>
      <c r="J94" s="64" t="str">
        <f>IF('Registrar expedidas_ingresos'!J94="","",'Registrar expedidas_ingresos'!J94)</f>
        <v/>
      </c>
      <c r="K94" s="60" t="str">
        <f>IF('Registrar expedidas_ingresos'!K94="","",'Registrar expedidas_ingresos'!K94)</f>
        <v/>
      </c>
      <c r="L94" s="60" t="str">
        <f>IF('Registrar expedidas_ingresos'!L94="","",'Registrar expedidas_ingresos'!L94)</f>
        <v/>
      </c>
      <c r="M94" s="60" t="str">
        <f>IF('Registrar expedidas_ingresos'!M94="","",'Registrar expedidas_ingresos'!M94)</f>
        <v/>
      </c>
      <c r="N94" s="61" t="str">
        <f>IF(OR(F94="F2",LEFT('Registrar expedidas_ingresos'!N94,2)="01"),"",IF(ISERROR(VLOOKUP(CONCATENATE("TIPO NIF",'Registrar expedidas_ingresos'!N94),'CODIGO-LITERAL'!$C:$D,2,FALSE)),"",VLOOKUP(CONCATENATE("TIPO NIF",'Registrar expedidas_ingresos'!N94),'CODIGO-LITERAL'!$C:$D,2,FALSE)))</f>
        <v/>
      </c>
      <c r="O94" s="60" t="str">
        <f>IF(OR('Registrar expedidas_ingresos'!O94="",N94="02",F94="F2"),"",'Registrar expedidas_ingresos'!O94)</f>
        <v/>
      </c>
      <c r="P94" s="60" t="str">
        <f>IF('Registrar expedidas_ingresos'!P94="","",'Registrar expedidas_ingresos'!P94)</f>
        <v/>
      </c>
      <c r="Q94" s="60" t="str">
        <f>IF(F94="F2","VENTAS A CONSUMIDOR FINAL",IF('Registrar expedidas_ingresos'!Q94="","",'Registrar expedidas_ingresos'!Q94))</f>
        <v/>
      </c>
      <c r="R94" s="61" t="str">
        <f>IF(F94="DV","02",IF(ISERROR(VLOOKUP(CONCATENATE("CLAVE OPERACION",'Registrar expedidas_ingresos'!R94),'CODIGO-LITERAL'!$C:$D,2,FALSE)),"",VLOOKUP(CONCATENATE("CLAVE OPERACION",'Registrar expedidas_ingresos'!R94),'CODIGO-LITERAL'!$C:$D,2,FALSE)))</f>
        <v/>
      </c>
      <c r="S94" s="61" t="str">
        <f>IF(R94="03","S1",
 IF(R94="08","N2",
  IF(ISERROR(VLOOKUP(CONCATENATE("CALIFICACION OPERACION",'Registrar expedidas_ingresos'!S94),'CODIGO-LITERAL'!$C:$D,2,FALSE)),"",VLOOKUP(CONCATENATE("CALIFICACION OPERACION",'Registrar expedidas_ingresos'!S94),'CODIGO-LITERAL'!$C:$D,2,FALSE))))</f>
        <v/>
      </c>
      <c r="T94" s="61" t="str">
        <f>IF(R94="03","",IF(R94="08","",IF(ISERROR(VLOOKUP(CONCATENATE("OPERACION EXENTA",'Registrar expedidas_ingresos'!T94),'CODIGO-LITERAL'!$C:$D,2,FALSE)),"",VLOOKUP(CONCATENATE("OPERACION EXENTA",'Registrar expedidas_ingresos'!T94),'CODIGO-LITERAL'!$C:$D,2,FALSE))))</f>
        <v/>
      </c>
      <c r="U94" s="60" t="str">
        <f t="shared" si="2"/>
        <v/>
      </c>
      <c r="V94" s="60" t="str">
        <f>IF('Registrar expedidas_ingresos'!V94="","",ROUND('Registrar expedidas_ingresos'!V94,2))</f>
        <v/>
      </c>
      <c r="W94" s="60" t="str">
        <f>IF(S94="S2",0,IF('Registrar expedidas_ingresos'!W94="","",'Registrar expedidas_ingresos'!W94))</f>
        <v/>
      </c>
      <c r="X94" s="60" t="str">
        <f>IF(S94="S2",0,IF('Registrar expedidas_ingresos'!X94="","",ROUND('Registrar expedidas_ingresos'!X94,2)))</f>
        <v/>
      </c>
      <c r="Y94" s="60" t="str">
        <f>IF('Registrar expedidas_ingresos'!Y94="","",'Registrar expedidas_ingresos'!Y94)</f>
        <v/>
      </c>
      <c r="Z94" s="60" t="str">
        <f>IF('Registrar expedidas_ingresos'!Z94="","",ROUND('Registrar expedidas_ingresos'!Z94,2))</f>
        <v/>
      </c>
      <c r="AA94" s="64" t="str">
        <f>IF(R94&lt;&gt;"07","",IF('Registrar expedidas_ingresos'!AA94="","",'Registrar expedidas_ingresos'!AA94))</f>
        <v/>
      </c>
      <c r="AB94" s="60" t="str">
        <f>IF(R94&lt;&gt;"07","",IF('Registrar expedidas_ingresos'!AB94="","",'Registrar expedidas_ingresos'!AB94))</f>
        <v/>
      </c>
      <c r="AC94" s="61" t="str">
        <f>IF(R94&lt;&gt;"07","",IF(ISERROR(VLOOKUP(CONCATENATE("MEDIO UTILIZADO",'Registrar expedidas_ingresos'!AC94),'CODIGO-LITERAL'!$C:$D,2,FALSE)),"",VLOOKUP(CONCATENATE("MEDIO UTILIZADO",'Registrar expedidas_ingresos'!AC94),'CODIGO-LITERAL'!$C:$D,2,FALSE)))</f>
        <v/>
      </c>
      <c r="AD94" s="60" t="str">
        <f>IF(R94&lt;&gt;"07","",IF('Registrar expedidas_ingresos'!AD94="","",'Registrar expedidas_ingresos'!AD94))</f>
        <v/>
      </c>
      <c r="AE94" s="65"/>
      <c r="AF94" s="65"/>
      <c r="AG94" s="60" t="str">
        <f>IF('Registrar expedidas_ingresos'!AG94="","",'Registrar expedidas_ingresos'!AG94)</f>
        <v/>
      </c>
      <c r="AH94" s="61" t="str">
        <f>IF(ISERROR(VLOOKUP(CONCATENATE("SITUACION",'Registrar expedidas_ingresos'!AH94),'CODIGO-LITERAL'!$C:$D,2,FALSE)),"",VLOOKUP(CONCATENATE("SITUACION",'Registrar expedidas_ingresos'!AH94),'CODIGO-LITERAL'!$C:$D,2,FALSE))</f>
        <v/>
      </c>
      <c r="AI94" s="60" t="str">
        <f>IF('Registrar expedidas_ingresos'!AI94="","",'Registrar expedidas_ingresos'!AI94)</f>
        <v/>
      </c>
      <c r="AJ94" s="60" t="str">
        <f>IF('Registrar expedidas_ingresos'!AJ94="","",'Registrar expedidas_ingresos'!AJ94)</f>
        <v/>
      </c>
    </row>
    <row r="95" spans="1:36" x14ac:dyDescent="0.25">
      <c r="A95" s="59" t="str">
        <f>IF('Registrar expedidas_ingresos'!J95="",IF('Registrar expedidas_ingresos'!I95="","",YEAR('Registrar expedidas_ingresos'!I95)),YEAR('Registrar expedidas_ingresos'!J95))</f>
        <v/>
      </c>
      <c r="B95" s="60" t="str">
        <f>IF('Registrar expedidas_ingresos'!B95="","",'Registrar expedidas_ingresos'!B95)</f>
        <v/>
      </c>
      <c r="C95" s="60" t="str">
        <f>IF('Registrar expedidas_ingresos'!C95="","",VLOOKUP(CONCATENATE("ACTIVIDAD",'Registrar expedidas_ingresos'!C95),'CODIGO-LITERAL'!C:D,2,FALSE))</f>
        <v/>
      </c>
      <c r="D95" s="60" t="str">
        <f>IF(OR(C95="C",C95="D"),"",IF(ISERROR(VLOOKUP(CONCATENATE(C95,'Registrar expedidas_ingresos'!D95),'CODIGO-LITERAL'!$C:$D,2,FALSE)),"",VLOOKUP(CONCATENATE(C95,'Registrar expedidas_ingresos'!D95),'CODIGO-LITERAL'!$C:$D,2,FALSE)))</f>
        <v/>
      </c>
      <c r="E95" s="60" t="str">
        <f>IF('Registrar expedidas_ingresos'!E95="","",'Registrar expedidas_ingresos'!E95)</f>
        <v/>
      </c>
      <c r="F95" s="61" t="str">
        <f>IF(ISERROR(VLOOKUP(CONCATENATE("TIPO FACTURA",'Registrar expedidas_ingresos'!F95),'CODIGO-LITERAL'!$C:$D,2,FALSE)),"",VLOOKUP(CONCATENATE("TIPO FACTURA",'Registrar expedidas_ingresos'!F95),'CODIGO-LITERAL'!$C:$D,2,FALSE))</f>
        <v/>
      </c>
      <c r="G95" s="62"/>
      <c r="H95" s="63"/>
      <c r="I95" s="64" t="str">
        <f>IF('Registrar expedidas_ingresos'!I95="","",'Registrar expedidas_ingresos'!I95)</f>
        <v/>
      </c>
      <c r="J95" s="64" t="str">
        <f>IF('Registrar expedidas_ingresos'!J95="","",'Registrar expedidas_ingresos'!J95)</f>
        <v/>
      </c>
      <c r="K95" s="60" t="str">
        <f>IF('Registrar expedidas_ingresos'!K95="","",'Registrar expedidas_ingresos'!K95)</f>
        <v/>
      </c>
      <c r="L95" s="60" t="str">
        <f>IF('Registrar expedidas_ingresos'!L95="","",'Registrar expedidas_ingresos'!L95)</f>
        <v/>
      </c>
      <c r="M95" s="60" t="str">
        <f>IF('Registrar expedidas_ingresos'!M95="","",'Registrar expedidas_ingresos'!M95)</f>
        <v/>
      </c>
      <c r="N95" s="61" t="str">
        <f>IF(OR(F95="F2",LEFT('Registrar expedidas_ingresos'!N95,2)="01"),"",IF(ISERROR(VLOOKUP(CONCATENATE("TIPO NIF",'Registrar expedidas_ingresos'!N95),'CODIGO-LITERAL'!$C:$D,2,FALSE)),"",VLOOKUP(CONCATENATE("TIPO NIF",'Registrar expedidas_ingresos'!N95),'CODIGO-LITERAL'!$C:$D,2,FALSE)))</f>
        <v/>
      </c>
      <c r="O95" s="60" t="str">
        <f>IF(OR('Registrar expedidas_ingresos'!O95="",N95="02",F95="F2"),"",'Registrar expedidas_ingresos'!O95)</f>
        <v/>
      </c>
      <c r="P95" s="60" t="str">
        <f>IF('Registrar expedidas_ingresos'!P95="","",'Registrar expedidas_ingresos'!P95)</f>
        <v/>
      </c>
      <c r="Q95" s="60" t="str">
        <f>IF(F95="F2","VENTAS A CONSUMIDOR FINAL",IF('Registrar expedidas_ingresos'!Q95="","",'Registrar expedidas_ingresos'!Q95))</f>
        <v/>
      </c>
      <c r="R95" s="61" t="str">
        <f>IF(F95="DV","02",IF(ISERROR(VLOOKUP(CONCATENATE("CLAVE OPERACION",'Registrar expedidas_ingresos'!R95),'CODIGO-LITERAL'!$C:$D,2,FALSE)),"",VLOOKUP(CONCATENATE("CLAVE OPERACION",'Registrar expedidas_ingresos'!R95),'CODIGO-LITERAL'!$C:$D,2,FALSE)))</f>
        <v/>
      </c>
      <c r="S95" s="61" t="str">
        <f>IF(R95="03","S1",
 IF(R95="08","N2",
  IF(ISERROR(VLOOKUP(CONCATENATE("CALIFICACION OPERACION",'Registrar expedidas_ingresos'!S95),'CODIGO-LITERAL'!$C:$D,2,FALSE)),"",VLOOKUP(CONCATENATE("CALIFICACION OPERACION",'Registrar expedidas_ingresos'!S95),'CODIGO-LITERAL'!$C:$D,2,FALSE))))</f>
        <v/>
      </c>
      <c r="T95" s="61" t="str">
        <f>IF(R95="03","",IF(R95="08","",IF(ISERROR(VLOOKUP(CONCATENATE("OPERACION EXENTA",'Registrar expedidas_ingresos'!T95),'CODIGO-LITERAL'!$C:$D,2,FALSE)),"",VLOOKUP(CONCATENATE("OPERACION EXENTA",'Registrar expedidas_ingresos'!T95),'CODIGO-LITERAL'!$C:$D,2,FALSE))))</f>
        <v/>
      </c>
      <c r="U95" s="60" t="str">
        <f t="shared" si="2"/>
        <v/>
      </c>
      <c r="V95" s="60" t="str">
        <f>IF('Registrar expedidas_ingresos'!V95="","",ROUND('Registrar expedidas_ingresos'!V95,2))</f>
        <v/>
      </c>
      <c r="W95" s="60" t="str">
        <f>IF(S95="S2",0,IF('Registrar expedidas_ingresos'!W95="","",'Registrar expedidas_ingresos'!W95))</f>
        <v/>
      </c>
      <c r="X95" s="60" t="str">
        <f>IF(S95="S2",0,IF('Registrar expedidas_ingresos'!X95="","",ROUND('Registrar expedidas_ingresos'!X95,2)))</f>
        <v/>
      </c>
      <c r="Y95" s="60" t="str">
        <f>IF('Registrar expedidas_ingresos'!Y95="","",'Registrar expedidas_ingresos'!Y95)</f>
        <v/>
      </c>
      <c r="Z95" s="60" t="str">
        <f>IF('Registrar expedidas_ingresos'!Z95="","",ROUND('Registrar expedidas_ingresos'!Z95,2))</f>
        <v/>
      </c>
      <c r="AA95" s="64" t="str">
        <f>IF(R95&lt;&gt;"07","",IF('Registrar expedidas_ingresos'!AA95="","",'Registrar expedidas_ingresos'!AA95))</f>
        <v/>
      </c>
      <c r="AB95" s="60" t="str">
        <f>IF(R95&lt;&gt;"07","",IF('Registrar expedidas_ingresos'!AB95="","",'Registrar expedidas_ingresos'!AB95))</f>
        <v/>
      </c>
      <c r="AC95" s="61" t="str">
        <f>IF(R95&lt;&gt;"07","",IF(ISERROR(VLOOKUP(CONCATENATE("MEDIO UTILIZADO",'Registrar expedidas_ingresos'!AC95),'CODIGO-LITERAL'!$C:$D,2,FALSE)),"",VLOOKUP(CONCATENATE("MEDIO UTILIZADO",'Registrar expedidas_ingresos'!AC95),'CODIGO-LITERAL'!$C:$D,2,FALSE)))</f>
        <v/>
      </c>
      <c r="AD95" s="60" t="str">
        <f>IF(R95&lt;&gt;"07","",IF('Registrar expedidas_ingresos'!AD95="","",'Registrar expedidas_ingresos'!AD95))</f>
        <v/>
      </c>
      <c r="AE95" s="65"/>
      <c r="AF95" s="65"/>
      <c r="AG95" s="60" t="str">
        <f>IF('Registrar expedidas_ingresos'!AG95="","",'Registrar expedidas_ingresos'!AG95)</f>
        <v/>
      </c>
      <c r="AH95" s="61" t="str">
        <f>IF(ISERROR(VLOOKUP(CONCATENATE("SITUACION",'Registrar expedidas_ingresos'!AH95),'CODIGO-LITERAL'!$C:$D,2,FALSE)),"",VLOOKUP(CONCATENATE("SITUACION",'Registrar expedidas_ingresos'!AH95),'CODIGO-LITERAL'!$C:$D,2,FALSE))</f>
        <v/>
      </c>
      <c r="AI95" s="60" t="str">
        <f>IF('Registrar expedidas_ingresos'!AI95="","",'Registrar expedidas_ingresos'!AI95)</f>
        <v/>
      </c>
      <c r="AJ95" s="60" t="str">
        <f>IF('Registrar expedidas_ingresos'!AJ95="","",'Registrar expedidas_ingresos'!AJ95)</f>
        <v/>
      </c>
    </row>
    <row r="96" spans="1:36" x14ac:dyDescent="0.25">
      <c r="A96" s="59" t="str">
        <f>IF('Registrar expedidas_ingresos'!J96="",IF('Registrar expedidas_ingresos'!I96="","",YEAR('Registrar expedidas_ingresos'!I96)),YEAR('Registrar expedidas_ingresos'!J96))</f>
        <v/>
      </c>
      <c r="B96" s="60" t="str">
        <f>IF('Registrar expedidas_ingresos'!B96="","",'Registrar expedidas_ingresos'!B96)</f>
        <v/>
      </c>
      <c r="C96" s="60" t="str">
        <f>IF('Registrar expedidas_ingresos'!C96="","",VLOOKUP(CONCATENATE("ACTIVIDAD",'Registrar expedidas_ingresos'!C96),'CODIGO-LITERAL'!C:D,2,FALSE))</f>
        <v/>
      </c>
      <c r="D96" s="60" t="str">
        <f>IF(OR(C96="C",C96="D"),"",IF(ISERROR(VLOOKUP(CONCATENATE(C96,'Registrar expedidas_ingresos'!D96),'CODIGO-LITERAL'!$C:$D,2,FALSE)),"",VLOOKUP(CONCATENATE(C96,'Registrar expedidas_ingresos'!D96),'CODIGO-LITERAL'!$C:$D,2,FALSE)))</f>
        <v/>
      </c>
      <c r="E96" s="60" t="str">
        <f>IF('Registrar expedidas_ingresos'!E96="","",'Registrar expedidas_ingresos'!E96)</f>
        <v/>
      </c>
      <c r="F96" s="61" t="str">
        <f>IF(ISERROR(VLOOKUP(CONCATENATE("TIPO FACTURA",'Registrar expedidas_ingresos'!F96),'CODIGO-LITERAL'!$C:$D,2,FALSE)),"",VLOOKUP(CONCATENATE("TIPO FACTURA",'Registrar expedidas_ingresos'!F96),'CODIGO-LITERAL'!$C:$D,2,FALSE))</f>
        <v/>
      </c>
      <c r="G96" s="62"/>
      <c r="H96" s="63"/>
      <c r="I96" s="64" t="str">
        <f>IF('Registrar expedidas_ingresos'!I96="","",'Registrar expedidas_ingresos'!I96)</f>
        <v/>
      </c>
      <c r="J96" s="64" t="str">
        <f>IF('Registrar expedidas_ingresos'!J96="","",'Registrar expedidas_ingresos'!J96)</f>
        <v/>
      </c>
      <c r="K96" s="60" t="str">
        <f>IF('Registrar expedidas_ingresos'!K96="","",'Registrar expedidas_ingresos'!K96)</f>
        <v/>
      </c>
      <c r="L96" s="60" t="str">
        <f>IF('Registrar expedidas_ingresos'!L96="","",'Registrar expedidas_ingresos'!L96)</f>
        <v/>
      </c>
      <c r="M96" s="60" t="str">
        <f>IF('Registrar expedidas_ingresos'!M96="","",'Registrar expedidas_ingresos'!M96)</f>
        <v/>
      </c>
      <c r="N96" s="61" t="str">
        <f>IF(OR(F96="F2",LEFT('Registrar expedidas_ingresos'!N96,2)="01"),"",IF(ISERROR(VLOOKUP(CONCATENATE("TIPO NIF",'Registrar expedidas_ingresos'!N96),'CODIGO-LITERAL'!$C:$D,2,FALSE)),"",VLOOKUP(CONCATENATE("TIPO NIF",'Registrar expedidas_ingresos'!N96),'CODIGO-LITERAL'!$C:$D,2,FALSE)))</f>
        <v/>
      </c>
      <c r="O96" s="60" t="str">
        <f>IF(OR('Registrar expedidas_ingresos'!O96="",N96="02",F96="F2"),"",'Registrar expedidas_ingresos'!O96)</f>
        <v/>
      </c>
      <c r="P96" s="60" t="str">
        <f>IF('Registrar expedidas_ingresos'!P96="","",'Registrar expedidas_ingresos'!P96)</f>
        <v/>
      </c>
      <c r="Q96" s="60" t="str">
        <f>IF(F96="F2","VENTAS A CONSUMIDOR FINAL",IF('Registrar expedidas_ingresos'!Q96="","",'Registrar expedidas_ingresos'!Q96))</f>
        <v/>
      </c>
      <c r="R96" s="61" t="str">
        <f>IF(F96="DV","02",IF(ISERROR(VLOOKUP(CONCATENATE("CLAVE OPERACION",'Registrar expedidas_ingresos'!R96),'CODIGO-LITERAL'!$C:$D,2,FALSE)),"",VLOOKUP(CONCATENATE("CLAVE OPERACION",'Registrar expedidas_ingresos'!R96),'CODIGO-LITERAL'!$C:$D,2,FALSE)))</f>
        <v/>
      </c>
      <c r="S96" s="61" t="str">
        <f>IF(R96="03","S1",
 IF(R96="08","N2",
  IF(ISERROR(VLOOKUP(CONCATENATE("CALIFICACION OPERACION",'Registrar expedidas_ingresos'!S96),'CODIGO-LITERAL'!$C:$D,2,FALSE)),"",VLOOKUP(CONCATENATE("CALIFICACION OPERACION",'Registrar expedidas_ingresos'!S96),'CODIGO-LITERAL'!$C:$D,2,FALSE))))</f>
        <v/>
      </c>
      <c r="T96" s="61" t="str">
        <f>IF(R96="03","",IF(R96="08","",IF(ISERROR(VLOOKUP(CONCATENATE("OPERACION EXENTA",'Registrar expedidas_ingresos'!T96),'CODIGO-LITERAL'!$C:$D,2,FALSE)),"",VLOOKUP(CONCATENATE("OPERACION EXENTA",'Registrar expedidas_ingresos'!T96),'CODIGO-LITERAL'!$C:$D,2,FALSE))))</f>
        <v/>
      </c>
      <c r="U96" s="60" t="str">
        <f t="shared" si="2"/>
        <v/>
      </c>
      <c r="V96" s="60" t="str">
        <f>IF('Registrar expedidas_ingresos'!V96="","",ROUND('Registrar expedidas_ingresos'!V96,2))</f>
        <v/>
      </c>
      <c r="W96" s="60" t="str">
        <f>IF(S96="S2",0,IF('Registrar expedidas_ingresos'!W96="","",'Registrar expedidas_ingresos'!W96))</f>
        <v/>
      </c>
      <c r="X96" s="60" t="str">
        <f>IF(S96="S2",0,IF('Registrar expedidas_ingresos'!X96="","",ROUND('Registrar expedidas_ingresos'!X96,2)))</f>
        <v/>
      </c>
      <c r="Y96" s="60" t="str">
        <f>IF('Registrar expedidas_ingresos'!Y96="","",'Registrar expedidas_ingresos'!Y96)</f>
        <v/>
      </c>
      <c r="Z96" s="60" t="str">
        <f>IF('Registrar expedidas_ingresos'!Z96="","",ROUND('Registrar expedidas_ingresos'!Z96,2))</f>
        <v/>
      </c>
      <c r="AA96" s="64" t="str">
        <f>IF(R96&lt;&gt;"07","",IF('Registrar expedidas_ingresos'!AA96="","",'Registrar expedidas_ingresos'!AA96))</f>
        <v/>
      </c>
      <c r="AB96" s="60" t="str">
        <f>IF(R96&lt;&gt;"07","",IF('Registrar expedidas_ingresos'!AB96="","",'Registrar expedidas_ingresos'!AB96))</f>
        <v/>
      </c>
      <c r="AC96" s="61" t="str">
        <f>IF(R96&lt;&gt;"07","",IF(ISERROR(VLOOKUP(CONCATENATE("MEDIO UTILIZADO",'Registrar expedidas_ingresos'!AC96),'CODIGO-LITERAL'!$C:$D,2,FALSE)),"",VLOOKUP(CONCATENATE("MEDIO UTILIZADO",'Registrar expedidas_ingresos'!AC96),'CODIGO-LITERAL'!$C:$D,2,FALSE)))</f>
        <v/>
      </c>
      <c r="AD96" s="60" t="str">
        <f>IF(R96&lt;&gt;"07","",IF('Registrar expedidas_ingresos'!AD96="","",'Registrar expedidas_ingresos'!AD96))</f>
        <v/>
      </c>
      <c r="AE96" s="65"/>
      <c r="AF96" s="65"/>
      <c r="AG96" s="60" t="str">
        <f>IF('Registrar expedidas_ingresos'!AG96="","",'Registrar expedidas_ingresos'!AG96)</f>
        <v/>
      </c>
      <c r="AH96" s="61" t="str">
        <f>IF(ISERROR(VLOOKUP(CONCATENATE("SITUACION",'Registrar expedidas_ingresos'!AH96),'CODIGO-LITERAL'!$C:$D,2,FALSE)),"",VLOOKUP(CONCATENATE("SITUACION",'Registrar expedidas_ingresos'!AH96),'CODIGO-LITERAL'!$C:$D,2,FALSE))</f>
        <v/>
      </c>
      <c r="AI96" s="60" t="str">
        <f>IF('Registrar expedidas_ingresos'!AI96="","",'Registrar expedidas_ingresos'!AI96)</f>
        <v/>
      </c>
      <c r="AJ96" s="60" t="str">
        <f>IF('Registrar expedidas_ingresos'!AJ96="","",'Registrar expedidas_ingresos'!AJ96)</f>
        <v/>
      </c>
    </row>
    <row r="97" spans="1:36" x14ac:dyDescent="0.25">
      <c r="A97" s="59" t="str">
        <f>IF('Registrar expedidas_ingresos'!J97="",IF('Registrar expedidas_ingresos'!I97="","",YEAR('Registrar expedidas_ingresos'!I97)),YEAR('Registrar expedidas_ingresos'!J97))</f>
        <v/>
      </c>
      <c r="B97" s="60" t="str">
        <f>IF('Registrar expedidas_ingresos'!B97="","",'Registrar expedidas_ingresos'!B97)</f>
        <v/>
      </c>
      <c r="C97" s="60" t="str">
        <f>IF('Registrar expedidas_ingresos'!C97="","",VLOOKUP(CONCATENATE("ACTIVIDAD",'Registrar expedidas_ingresos'!C97),'CODIGO-LITERAL'!C:D,2,FALSE))</f>
        <v/>
      </c>
      <c r="D97" s="60" t="str">
        <f>IF(OR(C97="C",C97="D"),"",IF(ISERROR(VLOOKUP(CONCATENATE(C97,'Registrar expedidas_ingresos'!D97),'CODIGO-LITERAL'!$C:$D,2,FALSE)),"",VLOOKUP(CONCATENATE(C97,'Registrar expedidas_ingresos'!D97),'CODIGO-LITERAL'!$C:$D,2,FALSE)))</f>
        <v/>
      </c>
      <c r="E97" s="60" t="str">
        <f>IF('Registrar expedidas_ingresos'!E97="","",'Registrar expedidas_ingresos'!E97)</f>
        <v/>
      </c>
      <c r="F97" s="61" t="str">
        <f>IF(ISERROR(VLOOKUP(CONCATENATE("TIPO FACTURA",'Registrar expedidas_ingresos'!F97),'CODIGO-LITERAL'!$C:$D,2,FALSE)),"",VLOOKUP(CONCATENATE("TIPO FACTURA",'Registrar expedidas_ingresos'!F97),'CODIGO-LITERAL'!$C:$D,2,FALSE))</f>
        <v/>
      </c>
      <c r="G97" s="62"/>
      <c r="H97" s="63"/>
      <c r="I97" s="64" t="str">
        <f>IF('Registrar expedidas_ingresos'!I97="","",'Registrar expedidas_ingresos'!I97)</f>
        <v/>
      </c>
      <c r="J97" s="64" t="str">
        <f>IF('Registrar expedidas_ingresos'!J97="","",'Registrar expedidas_ingresos'!J97)</f>
        <v/>
      </c>
      <c r="K97" s="60" t="str">
        <f>IF('Registrar expedidas_ingresos'!K97="","",'Registrar expedidas_ingresos'!K97)</f>
        <v/>
      </c>
      <c r="L97" s="60" t="str">
        <f>IF('Registrar expedidas_ingresos'!L97="","",'Registrar expedidas_ingresos'!L97)</f>
        <v/>
      </c>
      <c r="M97" s="60" t="str">
        <f>IF('Registrar expedidas_ingresos'!M97="","",'Registrar expedidas_ingresos'!M97)</f>
        <v/>
      </c>
      <c r="N97" s="61" t="str">
        <f>IF(OR(F97="F2",LEFT('Registrar expedidas_ingresos'!N97,2)="01"),"",IF(ISERROR(VLOOKUP(CONCATENATE("TIPO NIF",'Registrar expedidas_ingresos'!N97),'CODIGO-LITERAL'!$C:$D,2,FALSE)),"",VLOOKUP(CONCATENATE("TIPO NIF",'Registrar expedidas_ingresos'!N97),'CODIGO-LITERAL'!$C:$D,2,FALSE)))</f>
        <v/>
      </c>
      <c r="O97" s="60" t="str">
        <f>IF(OR('Registrar expedidas_ingresos'!O97="",N97="02",F97="F2"),"",'Registrar expedidas_ingresos'!O97)</f>
        <v/>
      </c>
      <c r="P97" s="60" t="str">
        <f>IF('Registrar expedidas_ingresos'!P97="","",'Registrar expedidas_ingresos'!P97)</f>
        <v/>
      </c>
      <c r="Q97" s="60" t="str">
        <f>IF(F97="F2","VENTAS A CONSUMIDOR FINAL",IF('Registrar expedidas_ingresos'!Q97="","",'Registrar expedidas_ingresos'!Q97))</f>
        <v/>
      </c>
      <c r="R97" s="61" t="str">
        <f>IF(F97="DV","02",IF(ISERROR(VLOOKUP(CONCATENATE("CLAVE OPERACION",'Registrar expedidas_ingresos'!R97),'CODIGO-LITERAL'!$C:$D,2,FALSE)),"",VLOOKUP(CONCATENATE("CLAVE OPERACION",'Registrar expedidas_ingresos'!R97),'CODIGO-LITERAL'!$C:$D,2,FALSE)))</f>
        <v/>
      </c>
      <c r="S97" s="61" t="str">
        <f>IF(R97="03","S1",
 IF(R97="08","N2",
  IF(ISERROR(VLOOKUP(CONCATENATE("CALIFICACION OPERACION",'Registrar expedidas_ingresos'!S97),'CODIGO-LITERAL'!$C:$D,2,FALSE)),"",VLOOKUP(CONCATENATE("CALIFICACION OPERACION",'Registrar expedidas_ingresos'!S97),'CODIGO-LITERAL'!$C:$D,2,FALSE))))</f>
        <v/>
      </c>
      <c r="T97" s="61" t="str">
        <f>IF(R97="03","",IF(R97="08","",IF(ISERROR(VLOOKUP(CONCATENATE("OPERACION EXENTA",'Registrar expedidas_ingresos'!T97),'CODIGO-LITERAL'!$C:$D,2,FALSE)),"",VLOOKUP(CONCATENATE("OPERACION EXENTA",'Registrar expedidas_ingresos'!T97),'CODIGO-LITERAL'!$C:$D,2,FALSE))))</f>
        <v/>
      </c>
      <c r="U97" s="60" t="str">
        <f t="shared" si="2"/>
        <v/>
      </c>
      <c r="V97" s="60" t="str">
        <f>IF('Registrar expedidas_ingresos'!V97="","",ROUND('Registrar expedidas_ingresos'!V97,2))</f>
        <v/>
      </c>
      <c r="W97" s="60" t="str">
        <f>IF(S97="S2",0,IF('Registrar expedidas_ingresos'!W97="","",'Registrar expedidas_ingresos'!W97))</f>
        <v/>
      </c>
      <c r="X97" s="60" t="str">
        <f>IF(S97="S2",0,IF('Registrar expedidas_ingresos'!X97="","",ROUND('Registrar expedidas_ingresos'!X97,2)))</f>
        <v/>
      </c>
      <c r="Y97" s="60" t="str">
        <f>IF('Registrar expedidas_ingresos'!Y97="","",'Registrar expedidas_ingresos'!Y97)</f>
        <v/>
      </c>
      <c r="Z97" s="60" t="str">
        <f>IF('Registrar expedidas_ingresos'!Z97="","",ROUND('Registrar expedidas_ingresos'!Z97,2))</f>
        <v/>
      </c>
      <c r="AA97" s="64" t="str">
        <f>IF(R97&lt;&gt;"07","",IF('Registrar expedidas_ingresos'!AA97="","",'Registrar expedidas_ingresos'!AA97))</f>
        <v/>
      </c>
      <c r="AB97" s="60" t="str">
        <f>IF(R97&lt;&gt;"07","",IF('Registrar expedidas_ingresos'!AB97="","",'Registrar expedidas_ingresos'!AB97))</f>
        <v/>
      </c>
      <c r="AC97" s="61" t="str">
        <f>IF(R97&lt;&gt;"07","",IF(ISERROR(VLOOKUP(CONCATENATE("MEDIO UTILIZADO",'Registrar expedidas_ingresos'!AC97),'CODIGO-LITERAL'!$C:$D,2,FALSE)),"",VLOOKUP(CONCATENATE("MEDIO UTILIZADO",'Registrar expedidas_ingresos'!AC97),'CODIGO-LITERAL'!$C:$D,2,FALSE)))</f>
        <v/>
      </c>
      <c r="AD97" s="60" t="str">
        <f>IF(R97&lt;&gt;"07","",IF('Registrar expedidas_ingresos'!AD97="","",'Registrar expedidas_ingresos'!AD97))</f>
        <v/>
      </c>
      <c r="AE97" s="65"/>
      <c r="AF97" s="65"/>
      <c r="AG97" s="60" t="str">
        <f>IF('Registrar expedidas_ingresos'!AG97="","",'Registrar expedidas_ingresos'!AG97)</f>
        <v/>
      </c>
      <c r="AH97" s="61" t="str">
        <f>IF(ISERROR(VLOOKUP(CONCATENATE("SITUACION",'Registrar expedidas_ingresos'!AH97),'CODIGO-LITERAL'!$C:$D,2,FALSE)),"",VLOOKUP(CONCATENATE("SITUACION",'Registrar expedidas_ingresos'!AH97),'CODIGO-LITERAL'!$C:$D,2,FALSE))</f>
        <v/>
      </c>
      <c r="AI97" s="60" t="str">
        <f>IF('Registrar expedidas_ingresos'!AI97="","",'Registrar expedidas_ingresos'!AI97)</f>
        <v/>
      </c>
      <c r="AJ97" s="60" t="str">
        <f>IF('Registrar expedidas_ingresos'!AJ97="","",'Registrar expedidas_ingresos'!AJ97)</f>
        <v/>
      </c>
    </row>
    <row r="98" spans="1:36" x14ac:dyDescent="0.25">
      <c r="A98" s="59" t="str">
        <f>IF('Registrar expedidas_ingresos'!J98="",IF('Registrar expedidas_ingresos'!I98="","",YEAR('Registrar expedidas_ingresos'!I98)),YEAR('Registrar expedidas_ingresos'!J98))</f>
        <v/>
      </c>
      <c r="B98" s="60" t="str">
        <f>IF('Registrar expedidas_ingresos'!B98="","",'Registrar expedidas_ingresos'!B98)</f>
        <v/>
      </c>
      <c r="C98" s="60" t="str">
        <f>IF('Registrar expedidas_ingresos'!C98="","",VLOOKUP(CONCATENATE("ACTIVIDAD",'Registrar expedidas_ingresos'!C98),'CODIGO-LITERAL'!C:D,2,FALSE))</f>
        <v/>
      </c>
      <c r="D98" s="60" t="str">
        <f>IF(OR(C98="C",C98="D"),"",IF(ISERROR(VLOOKUP(CONCATENATE(C98,'Registrar expedidas_ingresos'!D98),'CODIGO-LITERAL'!$C:$D,2,FALSE)),"",VLOOKUP(CONCATENATE(C98,'Registrar expedidas_ingresos'!D98),'CODIGO-LITERAL'!$C:$D,2,FALSE)))</f>
        <v/>
      </c>
      <c r="E98" s="60" t="str">
        <f>IF('Registrar expedidas_ingresos'!E98="","",'Registrar expedidas_ingresos'!E98)</f>
        <v/>
      </c>
      <c r="F98" s="61" t="str">
        <f>IF(ISERROR(VLOOKUP(CONCATENATE("TIPO FACTURA",'Registrar expedidas_ingresos'!F98),'CODIGO-LITERAL'!$C:$D,2,FALSE)),"",VLOOKUP(CONCATENATE("TIPO FACTURA",'Registrar expedidas_ingresos'!F98),'CODIGO-LITERAL'!$C:$D,2,FALSE))</f>
        <v/>
      </c>
      <c r="G98" s="62"/>
      <c r="H98" s="63"/>
      <c r="I98" s="64" t="str">
        <f>IF('Registrar expedidas_ingresos'!I98="","",'Registrar expedidas_ingresos'!I98)</f>
        <v/>
      </c>
      <c r="J98" s="64" t="str">
        <f>IF('Registrar expedidas_ingresos'!J98="","",'Registrar expedidas_ingresos'!J98)</f>
        <v/>
      </c>
      <c r="K98" s="60" t="str">
        <f>IF('Registrar expedidas_ingresos'!K98="","",'Registrar expedidas_ingresos'!K98)</f>
        <v/>
      </c>
      <c r="L98" s="60" t="str">
        <f>IF('Registrar expedidas_ingresos'!L98="","",'Registrar expedidas_ingresos'!L98)</f>
        <v/>
      </c>
      <c r="M98" s="60" t="str">
        <f>IF('Registrar expedidas_ingresos'!M98="","",'Registrar expedidas_ingresos'!M98)</f>
        <v/>
      </c>
      <c r="N98" s="61" t="str">
        <f>IF(OR(F98="F2",LEFT('Registrar expedidas_ingresos'!N98,2)="01"),"",IF(ISERROR(VLOOKUP(CONCATENATE("TIPO NIF",'Registrar expedidas_ingresos'!N98),'CODIGO-LITERAL'!$C:$D,2,FALSE)),"",VLOOKUP(CONCATENATE("TIPO NIF",'Registrar expedidas_ingresos'!N98),'CODIGO-LITERAL'!$C:$D,2,FALSE)))</f>
        <v/>
      </c>
      <c r="O98" s="60" t="str">
        <f>IF(OR('Registrar expedidas_ingresos'!O98="",N98="02",F98="F2"),"",'Registrar expedidas_ingresos'!O98)</f>
        <v/>
      </c>
      <c r="P98" s="60" t="str">
        <f>IF('Registrar expedidas_ingresos'!P98="","",'Registrar expedidas_ingresos'!P98)</f>
        <v/>
      </c>
      <c r="Q98" s="60" t="str">
        <f>IF(F98="F2","VENTAS A CONSUMIDOR FINAL",IF('Registrar expedidas_ingresos'!Q98="","",'Registrar expedidas_ingresos'!Q98))</f>
        <v/>
      </c>
      <c r="R98" s="61" t="str">
        <f>IF(F98="DV","02",IF(ISERROR(VLOOKUP(CONCATENATE("CLAVE OPERACION",'Registrar expedidas_ingresos'!R98),'CODIGO-LITERAL'!$C:$D,2,FALSE)),"",VLOOKUP(CONCATENATE("CLAVE OPERACION",'Registrar expedidas_ingresos'!R98),'CODIGO-LITERAL'!$C:$D,2,FALSE)))</f>
        <v/>
      </c>
      <c r="S98" s="61" t="str">
        <f>IF(R98="03","S1",
 IF(R98="08","N2",
  IF(ISERROR(VLOOKUP(CONCATENATE("CALIFICACION OPERACION",'Registrar expedidas_ingresos'!S98),'CODIGO-LITERAL'!$C:$D,2,FALSE)),"",VLOOKUP(CONCATENATE("CALIFICACION OPERACION",'Registrar expedidas_ingresos'!S98),'CODIGO-LITERAL'!$C:$D,2,FALSE))))</f>
        <v/>
      </c>
      <c r="T98" s="61" t="str">
        <f>IF(R98="03","",IF(R98="08","",IF(ISERROR(VLOOKUP(CONCATENATE("OPERACION EXENTA",'Registrar expedidas_ingresos'!T98),'CODIGO-LITERAL'!$C:$D,2,FALSE)),"",VLOOKUP(CONCATENATE("OPERACION EXENTA",'Registrar expedidas_ingresos'!T98),'CODIGO-LITERAL'!$C:$D,2,FALSE))))</f>
        <v/>
      </c>
      <c r="U98" s="60" t="str">
        <f t="shared" si="2"/>
        <v/>
      </c>
      <c r="V98" s="60" t="str">
        <f>IF('Registrar expedidas_ingresos'!V98="","",ROUND('Registrar expedidas_ingresos'!V98,2))</f>
        <v/>
      </c>
      <c r="W98" s="60" t="str">
        <f>IF(S98="S2",0,IF('Registrar expedidas_ingresos'!W98="","",'Registrar expedidas_ingresos'!W98))</f>
        <v/>
      </c>
      <c r="X98" s="60" t="str">
        <f>IF(S98="S2",0,IF('Registrar expedidas_ingresos'!X98="","",ROUND('Registrar expedidas_ingresos'!X98,2)))</f>
        <v/>
      </c>
      <c r="Y98" s="60" t="str">
        <f>IF('Registrar expedidas_ingresos'!Y98="","",'Registrar expedidas_ingresos'!Y98)</f>
        <v/>
      </c>
      <c r="Z98" s="60" t="str">
        <f>IF('Registrar expedidas_ingresos'!Z98="","",ROUND('Registrar expedidas_ingresos'!Z98,2))</f>
        <v/>
      </c>
      <c r="AA98" s="64" t="str">
        <f>IF(R98&lt;&gt;"07","",IF('Registrar expedidas_ingresos'!AA98="","",'Registrar expedidas_ingresos'!AA98))</f>
        <v/>
      </c>
      <c r="AB98" s="60" t="str">
        <f>IF(R98&lt;&gt;"07","",IF('Registrar expedidas_ingresos'!AB98="","",'Registrar expedidas_ingresos'!AB98))</f>
        <v/>
      </c>
      <c r="AC98" s="61" t="str">
        <f>IF(R98&lt;&gt;"07","",IF(ISERROR(VLOOKUP(CONCATENATE("MEDIO UTILIZADO",'Registrar expedidas_ingresos'!AC98),'CODIGO-LITERAL'!$C:$D,2,FALSE)),"",VLOOKUP(CONCATENATE("MEDIO UTILIZADO",'Registrar expedidas_ingresos'!AC98),'CODIGO-LITERAL'!$C:$D,2,FALSE)))</f>
        <v/>
      </c>
      <c r="AD98" s="60" t="str">
        <f>IF(R98&lt;&gt;"07","",IF('Registrar expedidas_ingresos'!AD98="","",'Registrar expedidas_ingresos'!AD98))</f>
        <v/>
      </c>
      <c r="AE98" s="65"/>
      <c r="AF98" s="65"/>
      <c r="AG98" s="60" t="str">
        <f>IF('Registrar expedidas_ingresos'!AG98="","",'Registrar expedidas_ingresos'!AG98)</f>
        <v/>
      </c>
      <c r="AH98" s="61" t="str">
        <f>IF(ISERROR(VLOOKUP(CONCATENATE("SITUACION",'Registrar expedidas_ingresos'!AH98),'CODIGO-LITERAL'!$C:$D,2,FALSE)),"",VLOOKUP(CONCATENATE("SITUACION",'Registrar expedidas_ingresos'!AH98),'CODIGO-LITERAL'!$C:$D,2,FALSE))</f>
        <v/>
      </c>
      <c r="AI98" s="60" t="str">
        <f>IF('Registrar expedidas_ingresos'!AI98="","",'Registrar expedidas_ingresos'!AI98)</f>
        <v/>
      </c>
      <c r="AJ98" s="60" t="str">
        <f>IF('Registrar expedidas_ingresos'!AJ98="","",'Registrar expedidas_ingresos'!AJ98)</f>
        <v/>
      </c>
    </row>
    <row r="99" spans="1:36" x14ac:dyDescent="0.25">
      <c r="A99" s="59" t="str">
        <f>IF('Registrar expedidas_ingresos'!J99="",IF('Registrar expedidas_ingresos'!I99="","",YEAR('Registrar expedidas_ingresos'!I99)),YEAR('Registrar expedidas_ingresos'!J99))</f>
        <v/>
      </c>
      <c r="B99" s="60" t="str">
        <f>IF('Registrar expedidas_ingresos'!B99="","",'Registrar expedidas_ingresos'!B99)</f>
        <v/>
      </c>
      <c r="C99" s="60" t="str">
        <f>IF('Registrar expedidas_ingresos'!C99="","",VLOOKUP(CONCATENATE("ACTIVIDAD",'Registrar expedidas_ingresos'!C99),'CODIGO-LITERAL'!C:D,2,FALSE))</f>
        <v/>
      </c>
      <c r="D99" s="60" t="str">
        <f>IF(OR(C99="C",C99="D"),"",IF(ISERROR(VLOOKUP(CONCATENATE(C99,'Registrar expedidas_ingresos'!D99),'CODIGO-LITERAL'!$C:$D,2,FALSE)),"",VLOOKUP(CONCATENATE(C99,'Registrar expedidas_ingresos'!D99),'CODIGO-LITERAL'!$C:$D,2,FALSE)))</f>
        <v/>
      </c>
      <c r="E99" s="60" t="str">
        <f>IF('Registrar expedidas_ingresos'!E99="","",'Registrar expedidas_ingresos'!E99)</f>
        <v/>
      </c>
      <c r="F99" s="61" t="str">
        <f>IF(ISERROR(VLOOKUP(CONCATENATE("TIPO FACTURA",'Registrar expedidas_ingresos'!F99),'CODIGO-LITERAL'!$C:$D,2,FALSE)),"",VLOOKUP(CONCATENATE("TIPO FACTURA",'Registrar expedidas_ingresos'!F99),'CODIGO-LITERAL'!$C:$D,2,FALSE))</f>
        <v/>
      </c>
      <c r="G99" s="62"/>
      <c r="H99" s="63"/>
      <c r="I99" s="64" t="str">
        <f>IF('Registrar expedidas_ingresos'!I99="","",'Registrar expedidas_ingresos'!I99)</f>
        <v/>
      </c>
      <c r="J99" s="64" t="str">
        <f>IF('Registrar expedidas_ingresos'!J99="","",'Registrar expedidas_ingresos'!J99)</f>
        <v/>
      </c>
      <c r="K99" s="60" t="str">
        <f>IF('Registrar expedidas_ingresos'!K99="","",'Registrar expedidas_ingresos'!K99)</f>
        <v/>
      </c>
      <c r="L99" s="60" t="str">
        <f>IF('Registrar expedidas_ingresos'!L99="","",'Registrar expedidas_ingresos'!L99)</f>
        <v/>
      </c>
      <c r="M99" s="60" t="str">
        <f>IF('Registrar expedidas_ingresos'!M99="","",'Registrar expedidas_ingresos'!M99)</f>
        <v/>
      </c>
      <c r="N99" s="61" t="str">
        <f>IF(OR(F99="F2",LEFT('Registrar expedidas_ingresos'!N99,2)="01"),"",IF(ISERROR(VLOOKUP(CONCATENATE("TIPO NIF",'Registrar expedidas_ingresos'!N99),'CODIGO-LITERAL'!$C:$D,2,FALSE)),"",VLOOKUP(CONCATENATE("TIPO NIF",'Registrar expedidas_ingresos'!N99),'CODIGO-LITERAL'!$C:$D,2,FALSE)))</f>
        <v/>
      </c>
      <c r="O99" s="60" t="str">
        <f>IF(OR('Registrar expedidas_ingresos'!O99="",N99="02",F99="F2"),"",'Registrar expedidas_ingresos'!O99)</f>
        <v/>
      </c>
      <c r="P99" s="60" t="str">
        <f>IF('Registrar expedidas_ingresos'!P99="","",'Registrar expedidas_ingresos'!P99)</f>
        <v/>
      </c>
      <c r="Q99" s="60" t="str">
        <f>IF(F99="F2","VENTAS A CONSUMIDOR FINAL",IF('Registrar expedidas_ingresos'!Q99="","",'Registrar expedidas_ingresos'!Q99))</f>
        <v/>
      </c>
      <c r="R99" s="61" t="str">
        <f>IF(F99="DV","02",IF(ISERROR(VLOOKUP(CONCATENATE("CLAVE OPERACION",'Registrar expedidas_ingresos'!R99),'CODIGO-LITERAL'!$C:$D,2,FALSE)),"",VLOOKUP(CONCATENATE("CLAVE OPERACION",'Registrar expedidas_ingresos'!R99),'CODIGO-LITERAL'!$C:$D,2,FALSE)))</f>
        <v/>
      </c>
      <c r="S99" s="61" t="str">
        <f>IF(R99="03","S1",
 IF(R99="08","N2",
  IF(ISERROR(VLOOKUP(CONCATENATE("CALIFICACION OPERACION",'Registrar expedidas_ingresos'!S99),'CODIGO-LITERAL'!$C:$D,2,FALSE)),"",VLOOKUP(CONCATENATE("CALIFICACION OPERACION",'Registrar expedidas_ingresos'!S99),'CODIGO-LITERAL'!$C:$D,2,FALSE))))</f>
        <v/>
      </c>
      <c r="T99" s="61" t="str">
        <f>IF(R99="03","",IF(R99="08","",IF(ISERROR(VLOOKUP(CONCATENATE("OPERACION EXENTA",'Registrar expedidas_ingresos'!T99),'CODIGO-LITERAL'!$C:$D,2,FALSE)),"",VLOOKUP(CONCATENATE("OPERACION EXENTA",'Registrar expedidas_ingresos'!T99),'CODIGO-LITERAL'!$C:$D,2,FALSE))))</f>
        <v/>
      </c>
      <c r="U99" s="60" t="str">
        <f t="shared" si="2"/>
        <v/>
      </c>
      <c r="V99" s="60" t="str">
        <f>IF('Registrar expedidas_ingresos'!V99="","",ROUND('Registrar expedidas_ingresos'!V99,2))</f>
        <v/>
      </c>
      <c r="W99" s="60" t="str">
        <f>IF(S99="S2",0,IF('Registrar expedidas_ingresos'!W99="","",'Registrar expedidas_ingresos'!W99))</f>
        <v/>
      </c>
      <c r="X99" s="60" t="str">
        <f>IF(S99="S2",0,IF('Registrar expedidas_ingresos'!X99="","",ROUND('Registrar expedidas_ingresos'!X99,2)))</f>
        <v/>
      </c>
      <c r="Y99" s="60" t="str">
        <f>IF('Registrar expedidas_ingresos'!Y99="","",'Registrar expedidas_ingresos'!Y99)</f>
        <v/>
      </c>
      <c r="Z99" s="60" t="str">
        <f>IF('Registrar expedidas_ingresos'!Z99="","",ROUND('Registrar expedidas_ingresos'!Z99,2))</f>
        <v/>
      </c>
      <c r="AA99" s="64" t="str">
        <f>IF(R99&lt;&gt;"07","",IF('Registrar expedidas_ingresos'!AA99="","",'Registrar expedidas_ingresos'!AA99))</f>
        <v/>
      </c>
      <c r="AB99" s="60" t="str">
        <f>IF(R99&lt;&gt;"07","",IF('Registrar expedidas_ingresos'!AB99="","",'Registrar expedidas_ingresos'!AB99))</f>
        <v/>
      </c>
      <c r="AC99" s="61" t="str">
        <f>IF(R99&lt;&gt;"07","",IF(ISERROR(VLOOKUP(CONCATENATE("MEDIO UTILIZADO",'Registrar expedidas_ingresos'!AC99),'CODIGO-LITERAL'!$C:$D,2,FALSE)),"",VLOOKUP(CONCATENATE("MEDIO UTILIZADO",'Registrar expedidas_ingresos'!AC99),'CODIGO-LITERAL'!$C:$D,2,FALSE)))</f>
        <v/>
      </c>
      <c r="AD99" s="60" t="str">
        <f>IF(R99&lt;&gt;"07","",IF('Registrar expedidas_ingresos'!AD99="","",'Registrar expedidas_ingresos'!AD99))</f>
        <v/>
      </c>
      <c r="AE99" s="65"/>
      <c r="AF99" s="65"/>
      <c r="AG99" s="60" t="str">
        <f>IF('Registrar expedidas_ingresos'!AG99="","",'Registrar expedidas_ingresos'!AG99)</f>
        <v/>
      </c>
      <c r="AH99" s="61" t="str">
        <f>IF(ISERROR(VLOOKUP(CONCATENATE("SITUACION",'Registrar expedidas_ingresos'!AH99),'CODIGO-LITERAL'!$C:$D,2,FALSE)),"",VLOOKUP(CONCATENATE("SITUACION",'Registrar expedidas_ingresos'!AH99),'CODIGO-LITERAL'!$C:$D,2,FALSE))</f>
        <v/>
      </c>
      <c r="AI99" s="60" t="str">
        <f>IF('Registrar expedidas_ingresos'!AI99="","",'Registrar expedidas_ingresos'!AI99)</f>
        <v/>
      </c>
      <c r="AJ99" s="60" t="str">
        <f>IF('Registrar expedidas_ingresos'!AJ99="","",'Registrar expedidas_ingresos'!AJ99)</f>
        <v/>
      </c>
    </row>
    <row r="100" spans="1:36" x14ac:dyDescent="0.25">
      <c r="A100" s="59" t="str">
        <f>IF('Registrar expedidas_ingresos'!J100="",IF('Registrar expedidas_ingresos'!I100="","",YEAR('Registrar expedidas_ingresos'!I100)),YEAR('Registrar expedidas_ingresos'!J100))</f>
        <v/>
      </c>
      <c r="B100" s="60" t="str">
        <f>IF('Registrar expedidas_ingresos'!B100="","",'Registrar expedidas_ingresos'!B100)</f>
        <v/>
      </c>
      <c r="C100" s="60" t="str">
        <f>IF('Registrar expedidas_ingresos'!C100="","",VLOOKUP(CONCATENATE("ACTIVIDAD",'Registrar expedidas_ingresos'!C100),'CODIGO-LITERAL'!C:D,2,FALSE))</f>
        <v/>
      </c>
      <c r="D100" s="60" t="str">
        <f>IF(OR(C100="C",C100="D"),"",IF(ISERROR(VLOOKUP(CONCATENATE(C100,'Registrar expedidas_ingresos'!D100),'CODIGO-LITERAL'!$C:$D,2,FALSE)),"",VLOOKUP(CONCATENATE(C100,'Registrar expedidas_ingresos'!D100),'CODIGO-LITERAL'!$C:$D,2,FALSE)))</f>
        <v/>
      </c>
      <c r="E100" s="60" t="str">
        <f>IF('Registrar expedidas_ingresos'!E100="","",'Registrar expedidas_ingresos'!E100)</f>
        <v/>
      </c>
      <c r="F100" s="61" t="str">
        <f>IF(ISERROR(VLOOKUP(CONCATENATE("TIPO FACTURA",'Registrar expedidas_ingresos'!F100),'CODIGO-LITERAL'!$C:$D,2,FALSE)),"",VLOOKUP(CONCATENATE("TIPO FACTURA",'Registrar expedidas_ingresos'!F100),'CODIGO-LITERAL'!$C:$D,2,FALSE))</f>
        <v/>
      </c>
      <c r="G100" s="62"/>
      <c r="H100" s="63"/>
      <c r="I100" s="64" t="str">
        <f>IF('Registrar expedidas_ingresos'!I100="","",'Registrar expedidas_ingresos'!I100)</f>
        <v/>
      </c>
      <c r="J100" s="64" t="str">
        <f>IF('Registrar expedidas_ingresos'!J100="","",'Registrar expedidas_ingresos'!J100)</f>
        <v/>
      </c>
      <c r="K100" s="60" t="str">
        <f>IF('Registrar expedidas_ingresos'!K100="","",'Registrar expedidas_ingresos'!K100)</f>
        <v/>
      </c>
      <c r="L100" s="60" t="str">
        <f>IF('Registrar expedidas_ingresos'!L100="","",'Registrar expedidas_ingresos'!L100)</f>
        <v/>
      </c>
      <c r="M100" s="60" t="str">
        <f>IF('Registrar expedidas_ingresos'!M100="","",'Registrar expedidas_ingresos'!M100)</f>
        <v/>
      </c>
      <c r="N100" s="61" t="str">
        <f>IF(OR(F100="F2",LEFT('Registrar expedidas_ingresos'!N100,2)="01"),"",IF(ISERROR(VLOOKUP(CONCATENATE("TIPO NIF",'Registrar expedidas_ingresos'!N100),'CODIGO-LITERAL'!$C:$D,2,FALSE)),"",VLOOKUP(CONCATENATE("TIPO NIF",'Registrar expedidas_ingresos'!N100),'CODIGO-LITERAL'!$C:$D,2,FALSE)))</f>
        <v/>
      </c>
      <c r="O100" s="60" t="str">
        <f>IF(OR('Registrar expedidas_ingresos'!O100="",N100="02",F100="F2"),"",'Registrar expedidas_ingresos'!O100)</f>
        <v/>
      </c>
      <c r="P100" s="60" t="str">
        <f>IF('Registrar expedidas_ingresos'!P100="","",'Registrar expedidas_ingresos'!P100)</f>
        <v/>
      </c>
      <c r="Q100" s="60" t="str">
        <f>IF(F100="F2","VENTAS A CONSUMIDOR FINAL",IF('Registrar expedidas_ingresos'!Q100="","",'Registrar expedidas_ingresos'!Q100))</f>
        <v/>
      </c>
      <c r="R100" s="61" t="str">
        <f>IF(F100="DV","02",IF(ISERROR(VLOOKUP(CONCATENATE("CLAVE OPERACION",'Registrar expedidas_ingresos'!R100),'CODIGO-LITERAL'!$C:$D,2,FALSE)),"",VLOOKUP(CONCATENATE("CLAVE OPERACION",'Registrar expedidas_ingresos'!R100),'CODIGO-LITERAL'!$C:$D,2,FALSE)))</f>
        <v/>
      </c>
      <c r="S100" s="61" t="str">
        <f>IF(R100="03","S1",
 IF(R100="08","N2",
  IF(ISERROR(VLOOKUP(CONCATENATE("CALIFICACION OPERACION",'Registrar expedidas_ingresos'!S100),'CODIGO-LITERAL'!$C:$D,2,FALSE)),"",VLOOKUP(CONCATENATE("CALIFICACION OPERACION",'Registrar expedidas_ingresos'!S100),'CODIGO-LITERAL'!$C:$D,2,FALSE))))</f>
        <v/>
      </c>
      <c r="T100" s="61" t="str">
        <f>IF(R100="03","",IF(R100="08","",IF(ISERROR(VLOOKUP(CONCATENATE("OPERACION EXENTA",'Registrar expedidas_ingresos'!T100),'CODIGO-LITERAL'!$C:$D,2,FALSE)),"",VLOOKUP(CONCATENATE("OPERACION EXENTA",'Registrar expedidas_ingresos'!T100),'CODIGO-LITERAL'!$C:$D,2,FALSE))))</f>
        <v/>
      </c>
      <c r="U100" s="60" t="str">
        <f t="shared" si="2"/>
        <v/>
      </c>
      <c r="V100" s="60" t="str">
        <f>IF('Registrar expedidas_ingresos'!V100="","",ROUND('Registrar expedidas_ingresos'!V100,2))</f>
        <v/>
      </c>
      <c r="W100" s="60" t="str">
        <f>IF(S100="S2",0,IF('Registrar expedidas_ingresos'!W100="","",'Registrar expedidas_ingresos'!W100))</f>
        <v/>
      </c>
      <c r="X100" s="60" t="str">
        <f>IF(S100="S2",0,IF('Registrar expedidas_ingresos'!X100="","",ROUND('Registrar expedidas_ingresos'!X100,2)))</f>
        <v/>
      </c>
      <c r="Y100" s="60" t="str">
        <f>IF('Registrar expedidas_ingresos'!Y100="","",'Registrar expedidas_ingresos'!Y100)</f>
        <v/>
      </c>
      <c r="Z100" s="60" t="str">
        <f>IF('Registrar expedidas_ingresos'!Z100="","",ROUND('Registrar expedidas_ingresos'!Z100,2))</f>
        <v/>
      </c>
      <c r="AA100" s="64" t="str">
        <f>IF(R100&lt;&gt;"07","",IF('Registrar expedidas_ingresos'!AA100="","",'Registrar expedidas_ingresos'!AA100))</f>
        <v/>
      </c>
      <c r="AB100" s="60" t="str">
        <f>IF(R100&lt;&gt;"07","",IF('Registrar expedidas_ingresos'!AB100="","",'Registrar expedidas_ingresos'!AB100))</f>
        <v/>
      </c>
      <c r="AC100" s="61" t="str">
        <f>IF(R100&lt;&gt;"07","",IF(ISERROR(VLOOKUP(CONCATENATE("MEDIO UTILIZADO",'Registrar expedidas_ingresos'!AC100),'CODIGO-LITERAL'!$C:$D,2,FALSE)),"",VLOOKUP(CONCATENATE("MEDIO UTILIZADO",'Registrar expedidas_ingresos'!AC100),'CODIGO-LITERAL'!$C:$D,2,FALSE)))</f>
        <v/>
      </c>
      <c r="AD100" s="60" t="str">
        <f>IF(R100&lt;&gt;"07","",IF('Registrar expedidas_ingresos'!AD100="","",'Registrar expedidas_ingresos'!AD100))</f>
        <v/>
      </c>
      <c r="AE100" s="65"/>
      <c r="AF100" s="65"/>
      <c r="AG100" s="60" t="str">
        <f>IF('Registrar expedidas_ingresos'!AG100="","",'Registrar expedidas_ingresos'!AG100)</f>
        <v/>
      </c>
      <c r="AH100" s="61" t="str">
        <f>IF(ISERROR(VLOOKUP(CONCATENATE("SITUACION",'Registrar expedidas_ingresos'!AH100),'CODIGO-LITERAL'!$C:$D,2,FALSE)),"",VLOOKUP(CONCATENATE("SITUACION",'Registrar expedidas_ingresos'!AH100),'CODIGO-LITERAL'!$C:$D,2,FALSE))</f>
        <v/>
      </c>
      <c r="AI100" s="60" t="str">
        <f>IF('Registrar expedidas_ingresos'!AI100="","",'Registrar expedidas_ingresos'!AI100)</f>
        <v/>
      </c>
      <c r="AJ100" s="60" t="str">
        <f>IF('Registrar expedidas_ingresos'!AJ100="","",'Registrar expedidas_ingresos'!AJ100)</f>
        <v/>
      </c>
    </row>
    <row r="101" spans="1:36" x14ac:dyDescent="0.25">
      <c r="A101" s="59" t="str">
        <f>IF('Registrar expedidas_ingresos'!J101="",IF('Registrar expedidas_ingresos'!I101="","",YEAR('Registrar expedidas_ingresos'!I101)),YEAR('Registrar expedidas_ingresos'!J101))</f>
        <v/>
      </c>
      <c r="B101" s="60" t="str">
        <f>IF('Registrar expedidas_ingresos'!B101="","",'Registrar expedidas_ingresos'!B101)</f>
        <v/>
      </c>
      <c r="C101" s="60" t="str">
        <f>IF('Registrar expedidas_ingresos'!C101="","",VLOOKUP(CONCATENATE("ACTIVIDAD",'Registrar expedidas_ingresos'!C101),'CODIGO-LITERAL'!C:D,2,FALSE))</f>
        <v/>
      </c>
      <c r="D101" s="60" t="str">
        <f>IF(OR(C101="C",C101="D"),"",IF(ISERROR(VLOOKUP(CONCATENATE(C101,'Registrar expedidas_ingresos'!D101),'CODIGO-LITERAL'!$C:$D,2,FALSE)),"",VLOOKUP(CONCATENATE(C101,'Registrar expedidas_ingresos'!D101),'CODIGO-LITERAL'!$C:$D,2,FALSE)))</f>
        <v/>
      </c>
      <c r="E101" s="60" t="str">
        <f>IF('Registrar expedidas_ingresos'!E101="","",'Registrar expedidas_ingresos'!E101)</f>
        <v/>
      </c>
      <c r="F101" s="61" t="str">
        <f>IF(ISERROR(VLOOKUP(CONCATENATE("TIPO FACTURA",'Registrar expedidas_ingresos'!F101),'CODIGO-LITERAL'!$C:$D,2,FALSE)),"",VLOOKUP(CONCATENATE("TIPO FACTURA",'Registrar expedidas_ingresos'!F101),'CODIGO-LITERAL'!$C:$D,2,FALSE))</f>
        <v/>
      </c>
      <c r="G101" s="62"/>
      <c r="H101" s="63"/>
      <c r="I101" s="64" t="str">
        <f>IF('Registrar expedidas_ingresos'!I101="","",'Registrar expedidas_ingresos'!I101)</f>
        <v/>
      </c>
      <c r="J101" s="64" t="str">
        <f>IF('Registrar expedidas_ingresos'!J101="","",'Registrar expedidas_ingresos'!J101)</f>
        <v/>
      </c>
      <c r="K101" s="60" t="str">
        <f>IF('Registrar expedidas_ingresos'!K101="","",'Registrar expedidas_ingresos'!K101)</f>
        <v/>
      </c>
      <c r="L101" s="60" t="str">
        <f>IF('Registrar expedidas_ingresos'!L101="","",'Registrar expedidas_ingresos'!L101)</f>
        <v/>
      </c>
      <c r="M101" s="60" t="str">
        <f>IF('Registrar expedidas_ingresos'!M101="","",'Registrar expedidas_ingresos'!M101)</f>
        <v/>
      </c>
      <c r="N101" s="61" t="str">
        <f>IF(OR(F101="F2",LEFT('Registrar expedidas_ingresos'!N101,2)="01"),"",IF(ISERROR(VLOOKUP(CONCATENATE("TIPO NIF",'Registrar expedidas_ingresos'!N101),'CODIGO-LITERAL'!$C:$D,2,FALSE)),"",VLOOKUP(CONCATENATE("TIPO NIF",'Registrar expedidas_ingresos'!N101),'CODIGO-LITERAL'!$C:$D,2,FALSE)))</f>
        <v/>
      </c>
      <c r="O101" s="60" t="str">
        <f>IF(OR('Registrar expedidas_ingresos'!O101="",N101="02",F101="F2"),"",'Registrar expedidas_ingresos'!O101)</f>
        <v/>
      </c>
      <c r="P101" s="60" t="str">
        <f>IF('Registrar expedidas_ingresos'!P101="","",'Registrar expedidas_ingresos'!P101)</f>
        <v/>
      </c>
      <c r="Q101" s="60" t="str">
        <f>IF(F101="F2","VENTAS A CONSUMIDOR FINAL",IF('Registrar expedidas_ingresos'!Q101="","",'Registrar expedidas_ingresos'!Q101))</f>
        <v/>
      </c>
      <c r="R101" s="61" t="str">
        <f>IF(F101="DV","02",IF(ISERROR(VLOOKUP(CONCATENATE("CLAVE OPERACION",'Registrar expedidas_ingresos'!R101),'CODIGO-LITERAL'!$C:$D,2,FALSE)),"",VLOOKUP(CONCATENATE("CLAVE OPERACION",'Registrar expedidas_ingresos'!R101),'CODIGO-LITERAL'!$C:$D,2,FALSE)))</f>
        <v/>
      </c>
      <c r="S101" s="61" t="str">
        <f>IF(R101="03","S1",
 IF(R101="08","N2",
  IF(ISERROR(VLOOKUP(CONCATENATE("CALIFICACION OPERACION",'Registrar expedidas_ingresos'!S101),'CODIGO-LITERAL'!$C:$D,2,FALSE)),"",VLOOKUP(CONCATENATE("CALIFICACION OPERACION",'Registrar expedidas_ingresos'!S101),'CODIGO-LITERAL'!$C:$D,2,FALSE))))</f>
        <v/>
      </c>
      <c r="T101" s="61" t="str">
        <f>IF(R101="03","",IF(R101="08","",IF(ISERROR(VLOOKUP(CONCATENATE("OPERACION EXENTA",'Registrar expedidas_ingresos'!T101),'CODIGO-LITERAL'!$C:$D,2,FALSE)),"",VLOOKUP(CONCATENATE("OPERACION EXENTA",'Registrar expedidas_ingresos'!T101),'CODIGO-LITERAL'!$C:$D,2,FALSE))))</f>
        <v/>
      </c>
      <c r="U101" s="60" t="str">
        <f t="shared" si="2"/>
        <v/>
      </c>
      <c r="V101" s="60" t="str">
        <f>IF('Registrar expedidas_ingresos'!V101="","",ROUND('Registrar expedidas_ingresos'!V101,2))</f>
        <v/>
      </c>
      <c r="W101" s="60" t="str">
        <f>IF(S101="S2",0,IF('Registrar expedidas_ingresos'!W101="","",'Registrar expedidas_ingresos'!W101))</f>
        <v/>
      </c>
      <c r="X101" s="60" t="str">
        <f>IF(S101="S2",0,IF('Registrar expedidas_ingresos'!X101="","",ROUND('Registrar expedidas_ingresos'!X101,2)))</f>
        <v/>
      </c>
      <c r="Y101" s="60" t="str">
        <f>IF('Registrar expedidas_ingresos'!Y101="","",'Registrar expedidas_ingresos'!Y101)</f>
        <v/>
      </c>
      <c r="Z101" s="60" t="str">
        <f>IF('Registrar expedidas_ingresos'!Z101="","",ROUND('Registrar expedidas_ingresos'!Z101,2))</f>
        <v/>
      </c>
      <c r="AA101" s="64" t="str">
        <f>IF(R101&lt;&gt;"07","",IF('Registrar expedidas_ingresos'!AA101="","",'Registrar expedidas_ingresos'!AA101))</f>
        <v/>
      </c>
      <c r="AB101" s="60" t="str">
        <f>IF(R101&lt;&gt;"07","",IF('Registrar expedidas_ingresos'!AB101="","",'Registrar expedidas_ingresos'!AB101))</f>
        <v/>
      </c>
      <c r="AC101" s="61" t="str">
        <f>IF(R101&lt;&gt;"07","",IF(ISERROR(VLOOKUP(CONCATENATE("MEDIO UTILIZADO",'Registrar expedidas_ingresos'!AC101),'CODIGO-LITERAL'!$C:$D,2,FALSE)),"",VLOOKUP(CONCATENATE("MEDIO UTILIZADO",'Registrar expedidas_ingresos'!AC101),'CODIGO-LITERAL'!$C:$D,2,FALSE)))</f>
        <v/>
      </c>
      <c r="AD101" s="60" t="str">
        <f>IF(R101&lt;&gt;"07","",IF('Registrar expedidas_ingresos'!AD101="","",'Registrar expedidas_ingresos'!AD101))</f>
        <v/>
      </c>
      <c r="AE101" s="65"/>
      <c r="AF101" s="65"/>
      <c r="AG101" s="60" t="str">
        <f>IF('Registrar expedidas_ingresos'!AG101="","",'Registrar expedidas_ingresos'!AG101)</f>
        <v/>
      </c>
      <c r="AH101" s="61" t="str">
        <f>IF(ISERROR(VLOOKUP(CONCATENATE("SITUACION",'Registrar expedidas_ingresos'!AH101),'CODIGO-LITERAL'!$C:$D,2,FALSE)),"",VLOOKUP(CONCATENATE("SITUACION",'Registrar expedidas_ingresos'!AH101),'CODIGO-LITERAL'!$C:$D,2,FALSE))</f>
        <v/>
      </c>
      <c r="AI101" s="60" t="str">
        <f>IF('Registrar expedidas_ingresos'!AI101="","",'Registrar expedidas_ingresos'!AI101)</f>
        <v/>
      </c>
      <c r="AJ101" s="60" t="str">
        <f>IF('Registrar expedidas_ingresos'!AJ101="","",'Registrar expedidas_ingresos'!AJ101)</f>
        <v/>
      </c>
    </row>
    <row r="102" spans="1:36" x14ac:dyDescent="0.25">
      <c r="A102" s="59" t="str">
        <f>IF('Registrar expedidas_ingresos'!J102="",IF('Registrar expedidas_ingresos'!I102="","",YEAR('Registrar expedidas_ingresos'!I102)),YEAR('Registrar expedidas_ingresos'!J102))</f>
        <v/>
      </c>
      <c r="B102" s="60" t="str">
        <f>IF('Registrar expedidas_ingresos'!B102="","",'Registrar expedidas_ingresos'!B102)</f>
        <v/>
      </c>
      <c r="C102" s="60" t="str">
        <f>IF('Registrar expedidas_ingresos'!C102="","",VLOOKUP(CONCATENATE("ACTIVIDAD",'Registrar expedidas_ingresos'!C102),'CODIGO-LITERAL'!C:D,2,FALSE))</f>
        <v/>
      </c>
      <c r="D102" s="60" t="str">
        <f>IF(OR(C102="C",C102="D"),"",IF(ISERROR(VLOOKUP(CONCATENATE(C102,'Registrar expedidas_ingresos'!D102),'CODIGO-LITERAL'!$C:$D,2,FALSE)),"",VLOOKUP(CONCATENATE(C102,'Registrar expedidas_ingresos'!D102),'CODIGO-LITERAL'!$C:$D,2,FALSE)))</f>
        <v/>
      </c>
      <c r="E102" s="60" t="str">
        <f>IF('Registrar expedidas_ingresos'!E102="","",'Registrar expedidas_ingresos'!E102)</f>
        <v/>
      </c>
      <c r="F102" s="61" t="str">
        <f>IF(ISERROR(VLOOKUP(CONCATENATE("TIPO FACTURA",'Registrar expedidas_ingresos'!F102),'CODIGO-LITERAL'!$C:$D,2,FALSE)),"",VLOOKUP(CONCATENATE("TIPO FACTURA",'Registrar expedidas_ingresos'!F102),'CODIGO-LITERAL'!$C:$D,2,FALSE))</f>
        <v/>
      </c>
      <c r="G102" s="62"/>
      <c r="H102" s="63"/>
      <c r="I102" s="64" t="str">
        <f>IF('Registrar expedidas_ingresos'!I102="","",'Registrar expedidas_ingresos'!I102)</f>
        <v/>
      </c>
      <c r="J102" s="64" t="str">
        <f>IF('Registrar expedidas_ingresos'!J102="","",'Registrar expedidas_ingresos'!J102)</f>
        <v/>
      </c>
      <c r="K102" s="60" t="str">
        <f>IF('Registrar expedidas_ingresos'!K102="","",'Registrar expedidas_ingresos'!K102)</f>
        <v/>
      </c>
      <c r="L102" s="60" t="str">
        <f>IF('Registrar expedidas_ingresos'!L102="","",'Registrar expedidas_ingresos'!L102)</f>
        <v/>
      </c>
      <c r="M102" s="60" t="str">
        <f>IF('Registrar expedidas_ingresos'!M102="","",'Registrar expedidas_ingresos'!M102)</f>
        <v/>
      </c>
      <c r="N102" s="61" t="str">
        <f>IF(OR(F102="F2",LEFT('Registrar expedidas_ingresos'!N102,2)="01"),"",IF(ISERROR(VLOOKUP(CONCATENATE("TIPO NIF",'Registrar expedidas_ingresos'!N102),'CODIGO-LITERAL'!$C:$D,2,FALSE)),"",VLOOKUP(CONCATENATE("TIPO NIF",'Registrar expedidas_ingresos'!N102),'CODIGO-LITERAL'!$C:$D,2,FALSE)))</f>
        <v/>
      </c>
      <c r="O102" s="60" t="str">
        <f>IF(OR('Registrar expedidas_ingresos'!O102="",N102="02",F102="F2"),"",'Registrar expedidas_ingresos'!O102)</f>
        <v/>
      </c>
      <c r="P102" s="60" t="str">
        <f>IF('Registrar expedidas_ingresos'!P102="","",'Registrar expedidas_ingresos'!P102)</f>
        <v/>
      </c>
      <c r="Q102" s="60" t="str">
        <f>IF(F102="F2","VENTAS A CONSUMIDOR FINAL",IF('Registrar expedidas_ingresos'!Q102="","",'Registrar expedidas_ingresos'!Q102))</f>
        <v/>
      </c>
      <c r="R102" s="61" t="str">
        <f>IF(F102="DV","02",IF(ISERROR(VLOOKUP(CONCATENATE("CLAVE OPERACION",'Registrar expedidas_ingresos'!R102),'CODIGO-LITERAL'!$C:$D,2,FALSE)),"",VLOOKUP(CONCATENATE("CLAVE OPERACION",'Registrar expedidas_ingresos'!R102),'CODIGO-LITERAL'!$C:$D,2,FALSE)))</f>
        <v/>
      </c>
      <c r="S102" s="61" t="str">
        <f>IF(R102="03","S1",
 IF(R102="08","N2",
  IF(ISERROR(VLOOKUP(CONCATENATE("CALIFICACION OPERACION",'Registrar expedidas_ingresos'!S102),'CODIGO-LITERAL'!$C:$D,2,FALSE)),"",VLOOKUP(CONCATENATE("CALIFICACION OPERACION",'Registrar expedidas_ingresos'!S102),'CODIGO-LITERAL'!$C:$D,2,FALSE))))</f>
        <v/>
      </c>
      <c r="T102" s="61" t="str">
        <f>IF(R102="03","",IF(R102="08","",IF(ISERROR(VLOOKUP(CONCATENATE("OPERACION EXENTA",'Registrar expedidas_ingresos'!T102),'CODIGO-LITERAL'!$C:$D,2,FALSE)),"",VLOOKUP(CONCATENATE("OPERACION EXENTA",'Registrar expedidas_ingresos'!T102),'CODIGO-LITERAL'!$C:$D,2,FALSE))))</f>
        <v/>
      </c>
      <c r="U102" s="60" t="str">
        <f t="shared" ref="U102:U103" si="3">IF(AND(S102="",T102=""),"",IF(S102="S1",ROUND(SUM(V102,X102,Z102),2),ROUND(V102,2)))</f>
        <v/>
      </c>
      <c r="V102" s="60" t="str">
        <f>IF('Registrar expedidas_ingresos'!V102="","",ROUND('Registrar expedidas_ingresos'!V102,2))</f>
        <v/>
      </c>
      <c r="W102" s="60" t="str">
        <f>IF(S102="S2",0,IF('Registrar expedidas_ingresos'!W102="","",'Registrar expedidas_ingresos'!W102))</f>
        <v/>
      </c>
      <c r="X102" s="60" t="str">
        <f>IF(S102="S2",0,IF('Registrar expedidas_ingresos'!X102="","",ROUND('Registrar expedidas_ingresos'!X102,2)))</f>
        <v/>
      </c>
      <c r="Y102" s="60" t="str">
        <f>IF('Registrar expedidas_ingresos'!Y102="","",'Registrar expedidas_ingresos'!Y102)</f>
        <v/>
      </c>
      <c r="Z102" s="60" t="str">
        <f>IF('Registrar expedidas_ingresos'!Z102="","",ROUND('Registrar expedidas_ingresos'!Z102,2))</f>
        <v/>
      </c>
      <c r="AA102" s="64" t="str">
        <f>IF(R102&lt;&gt;"07","",IF('Registrar expedidas_ingresos'!AA102="","",'Registrar expedidas_ingresos'!AA102))</f>
        <v/>
      </c>
      <c r="AB102" s="60" t="str">
        <f>IF(R102&lt;&gt;"07","",IF('Registrar expedidas_ingresos'!AB102="","",'Registrar expedidas_ingresos'!AB102))</f>
        <v/>
      </c>
      <c r="AC102" s="61" t="str">
        <f>IF(R102&lt;&gt;"07","",IF(ISERROR(VLOOKUP(CONCATENATE("MEDIO UTILIZADO",'Registrar expedidas_ingresos'!AC102),'CODIGO-LITERAL'!$C:$D,2,FALSE)),"",VLOOKUP(CONCATENATE("MEDIO UTILIZADO",'Registrar expedidas_ingresos'!AC102),'CODIGO-LITERAL'!$C:$D,2,FALSE)))</f>
        <v/>
      </c>
      <c r="AD102" s="60" t="str">
        <f>IF(R102&lt;&gt;"07","",IF('Registrar expedidas_ingresos'!AD102="","",'Registrar expedidas_ingresos'!AD102))</f>
        <v/>
      </c>
      <c r="AE102" s="65"/>
      <c r="AF102" s="65"/>
      <c r="AG102" s="60" t="str">
        <f>IF('Registrar expedidas_ingresos'!AG102="","",'Registrar expedidas_ingresos'!AG102)</f>
        <v/>
      </c>
      <c r="AH102" s="61" t="str">
        <f>IF(ISERROR(VLOOKUP(CONCATENATE("SITUACION",'Registrar expedidas_ingresos'!AH102),'CODIGO-LITERAL'!$C:$D,2,FALSE)),"",VLOOKUP(CONCATENATE("SITUACION",'Registrar expedidas_ingresos'!AH102),'CODIGO-LITERAL'!$C:$D,2,FALSE))</f>
        <v/>
      </c>
      <c r="AI102" s="60" t="str">
        <f>IF('Registrar expedidas_ingresos'!AI102="","",'Registrar expedidas_ingresos'!AI102)</f>
        <v/>
      </c>
      <c r="AJ102" s="60" t="str">
        <f>IF('Registrar expedidas_ingresos'!AJ102="","",'Registrar expedidas_ingresos'!AJ102)</f>
        <v/>
      </c>
    </row>
    <row r="103" spans="1:36" x14ac:dyDescent="0.25">
      <c r="A103" s="59" t="str">
        <f>IF('Registrar expedidas_ingresos'!J103="",IF('Registrar expedidas_ingresos'!I103="","",YEAR('Registrar expedidas_ingresos'!I103)),YEAR('Registrar expedidas_ingresos'!J103))</f>
        <v/>
      </c>
      <c r="B103" s="60" t="str">
        <f>IF('Registrar expedidas_ingresos'!B103="","",'Registrar expedidas_ingresos'!B103)</f>
        <v/>
      </c>
      <c r="C103" s="60" t="str">
        <f>IF('Registrar expedidas_ingresos'!C103="","",VLOOKUP(CONCATENATE("ACTIVIDAD",'Registrar expedidas_ingresos'!C103),'CODIGO-LITERAL'!C:D,2,FALSE))</f>
        <v/>
      </c>
      <c r="D103" s="60" t="str">
        <f>IF(OR(C103="C",C103="D"),"",IF(ISERROR(VLOOKUP(CONCATENATE(C103,'Registrar expedidas_ingresos'!D103),'CODIGO-LITERAL'!$C:$D,2,FALSE)),"",VLOOKUP(CONCATENATE(C103,'Registrar expedidas_ingresos'!D103),'CODIGO-LITERAL'!$C:$D,2,FALSE)))</f>
        <v/>
      </c>
      <c r="E103" s="60" t="str">
        <f>IF('Registrar expedidas_ingresos'!E103="","",'Registrar expedidas_ingresos'!E103)</f>
        <v/>
      </c>
      <c r="F103" s="61" t="str">
        <f>IF(ISERROR(VLOOKUP(CONCATENATE("TIPO FACTURA",'Registrar expedidas_ingresos'!F103),'CODIGO-LITERAL'!$C:$D,2,FALSE)),"",VLOOKUP(CONCATENATE("TIPO FACTURA",'Registrar expedidas_ingresos'!F103),'CODIGO-LITERAL'!$C:$D,2,FALSE))</f>
        <v/>
      </c>
      <c r="G103" s="62"/>
      <c r="H103" s="63"/>
      <c r="I103" s="64" t="str">
        <f>IF('Registrar expedidas_ingresos'!I103="","",'Registrar expedidas_ingresos'!I103)</f>
        <v/>
      </c>
      <c r="J103" s="64" t="str">
        <f>IF('Registrar expedidas_ingresos'!J103="","",'Registrar expedidas_ingresos'!J103)</f>
        <v/>
      </c>
      <c r="K103" s="60" t="str">
        <f>IF('Registrar expedidas_ingresos'!K103="","",'Registrar expedidas_ingresos'!K103)</f>
        <v/>
      </c>
      <c r="L103" s="60" t="str">
        <f>IF('Registrar expedidas_ingresos'!L103="","",'Registrar expedidas_ingresos'!L103)</f>
        <v/>
      </c>
      <c r="M103" s="60" t="str">
        <f>IF('Registrar expedidas_ingresos'!M103="","",'Registrar expedidas_ingresos'!M103)</f>
        <v/>
      </c>
      <c r="N103" s="61" t="str">
        <f>IF(OR(F103="F2",LEFT('Registrar expedidas_ingresos'!N103,2)="01"),"",IF(ISERROR(VLOOKUP(CONCATENATE("TIPO NIF",'Registrar expedidas_ingresos'!N103),'CODIGO-LITERAL'!$C:$D,2,FALSE)),"",VLOOKUP(CONCATENATE("TIPO NIF",'Registrar expedidas_ingresos'!N103),'CODIGO-LITERAL'!$C:$D,2,FALSE)))</f>
        <v/>
      </c>
      <c r="O103" s="60" t="str">
        <f>IF(OR('Registrar expedidas_ingresos'!O103="",N103="02",F103="F2"),"",'Registrar expedidas_ingresos'!O103)</f>
        <v/>
      </c>
      <c r="P103" s="60" t="str">
        <f>IF('Registrar expedidas_ingresos'!P103="","",'Registrar expedidas_ingresos'!P103)</f>
        <v/>
      </c>
      <c r="Q103" s="60" t="str">
        <f>IF(F103="F2","VENTAS A CONSUMIDOR FINAL",IF('Registrar expedidas_ingresos'!Q103="","",'Registrar expedidas_ingresos'!Q103))</f>
        <v/>
      </c>
      <c r="R103" s="61" t="str">
        <f>IF(F103="DV","02",IF(ISERROR(VLOOKUP(CONCATENATE("CLAVE OPERACION",'Registrar expedidas_ingresos'!R103),'CODIGO-LITERAL'!$C:$D,2,FALSE)),"",VLOOKUP(CONCATENATE("CLAVE OPERACION",'Registrar expedidas_ingresos'!R103),'CODIGO-LITERAL'!$C:$D,2,FALSE)))</f>
        <v/>
      </c>
      <c r="S103" s="61" t="str">
        <f>IF(R103="03","S1",
 IF(R103="08","N2",
  IF(ISERROR(VLOOKUP(CONCATENATE("CALIFICACION OPERACION",'Registrar expedidas_ingresos'!S103),'CODIGO-LITERAL'!$C:$D,2,FALSE)),"",VLOOKUP(CONCATENATE("CALIFICACION OPERACION",'Registrar expedidas_ingresos'!S103),'CODIGO-LITERAL'!$C:$D,2,FALSE))))</f>
        <v/>
      </c>
      <c r="T103" s="61" t="str">
        <f>IF(R103="03","",IF(R103="08","",IF(ISERROR(VLOOKUP(CONCATENATE("OPERACION EXENTA",'Registrar expedidas_ingresos'!T103),'CODIGO-LITERAL'!$C:$D,2,FALSE)),"",VLOOKUP(CONCATENATE("OPERACION EXENTA",'Registrar expedidas_ingresos'!T103),'CODIGO-LITERAL'!$C:$D,2,FALSE))))</f>
        <v/>
      </c>
      <c r="U103" s="60" t="str">
        <f t="shared" si="3"/>
        <v/>
      </c>
      <c r="V103" s="60" t="str">
        <f>IF('Registrar expedidas_ingresos'!V103="","",ROUND('Registrar expedidas_ingresos'!V103,2))</f>
        <v/>
      </c>
      <c r="W103" s="60" t="str">
        <f>IF(S103="S2",0,IF('Registrar expedidas_ingresos'!W103="","",'Registrar expedidas_ingresos'!W103))</f>
        <v/>
      </c>
      <c r="X103" s="60" t="str">
        <f>IF(S103="S2",0,IF('Registrar expedidas_ingresos'!X103="","",ROUND('Registrar expedidas_ingresos'!X103,2)))</f>
        <v/>
      </c>
      <c r="Y103" s="60" t="str">
        <f>IF('Registrar expedidas_ingresos'!Y103="","",'Registrar expedidas_ingresos'!Y103)</f>
        <v/>
      </c>
      <c r="Z103" s="60" t="str">
        <f>IF('Registrar expedidas_ingresos'!Z103="","",ROUND('Registrar expedidas_ingresos'!Z103,2))</f>
        <v/>
      </c>
      <c r="AA103" s="64" t="str">
        <f>IF(R103&lt;&gt;"07","",IF('Registrar expedidas_ingresos'!AA103="","",'Registrar expedidas_ingresos'!AA103))</f>
        <v/>
      </c>
      <c r="AB103" s="60" t="str">
        <f>IF(R103&lt;&gt;"07","",IF('Registrar expedidas_ingresos'!AB103="","",'Registrar expedidas_ingresos'!AB103))</f>
        <v/>
      </c>
      <c r="AC103" s="61" t="str">
        <f>IF(R103&lt;&gt;"07","",IF(ISERROR(VLOOKUP(CONCATENATE("MEDIO UTILIZADO",'Registrar expedidas_ingresos'!AC103),'CODIGO-LITERAL'!$C:$D,2,FALSE)),"",VLOOKUP(CONCATENATE("MEDIO UTILIZADO",'Registrar expedidas_ingresos'!AC103),'CODIGO-LITERAL'!$C:$D,2,FALSE)))</f>
        <v/>
      </c>
      <c r="AD103" s="60" t="str">
        <f>IF(R103&lt;&gt;"07","",IF('Registrar expedidas_ingresos'!AD103="","",'Registrar expedidas_ingresos'!AD103))</f>
        <v/>
      </c>
      <c r="AE103" s="65"/>
      <c r="AF103" s="65"/>
      <c r="AG103" s="60" t="str">
        <f>IF('Registrar expedidas_ingresos'!AG103="","",'Registrar expedidas_ingresos'!AG103)</f>
        <v/>
      </c>
      <c r="AH103" s="61" t="str">
        <f>IF(ISERROR(VLOOKUP(CONCATENATE("SITUACION",'Registrar expedidas_ingresos'!AH103),'CODIGO-LITERAL'!$C:$D,2,FALSE)),"",VLOOKUP(CONCATENATE("SITUACION",'Registrar expedidas_ingresos'!AH103),'CODIGO-LITERAL'!$C:$D,2,FALSE))</f>
        <v/>
      </c>
      <c r="AI103" s="60" t="str">
        <f>IF('Registrar expedidas_ingresos'!AI103="","",'Registrar expedidas_ingresos'!AI103)</f>
        <v/>
      </c>
      <c r="AJ103" s="60" t="str">
        <f>IF('Registrar expedidas_ingresos'!AJ103="","",'Registrar expedidas_ingresos'!AJ103)</f>
        <v/>
      </c>
    </row>
  </sheetData>
  <sheetProtection algorithmName="SHA-512" hashValue="ALGTgIp7dF7d1ZwtrXYRu9lnaCocc0Q+WZ7nnIlyvD8qUHyf+/gwvwHqHqAnbZRbsK9q2Lsp893S3EDEcAj66Q==" saltValue="2xFuQ1YwESS71ytD//6Xww==" spinCount="100000" sheet="1" objects="1" scenarios="1"/>
  <mergeCells count="25">
    <mergeCell ref="AF1:AF2"/>
    <mergeCell ref="Q1:Q2"/>
    <mergeCell ref="V1:V2"/>
    <mergeCell ref="W1:W2"/>
    <mergeCell ref="X1:X2"/>
    <mergeCell ref="Z1:Z2"/>
    <mergeCell ref="Y1:Y2"/>
    <mergeCell ref="R1:R2"/>
    <mergeCell ref="U1:U2"/>
    <mergeCell ref="AH1:AI1"/>
    <mergeCell ref="AJ1:AJ2"/>
    <mergeCell ref="A1:B1"/>
    <mergeCell ref="AE1:AE2"/>
    <mergeCell ref="I1:I2"/>
    <mergeCell ref="AA1:AD1"/>
    <mergeCell ref="N1:P1"/>
    <mergeCell ref="K1:M1"/>
    <mergeCell ref="F1:F2"/>
    <mergeCell ref="G1:G2"/>
    <mergeCell ref="H1:H2"/>
    <mergeCell ref="C1:E1"/>
    <mergeCell ref="S1:S2"/>
    <mergeCell ref="T1:T2"/>
    <mergeCell ref="AG1:AG2"/>
    <mergeCell ref="J1:J2"/>
  </mergeCells>
  <dataValidations count="2">
    <dataValidation errorStyle="warning" allowBlank="1" errorTitle="Año incorrecto" error="Año incorrecto" promptTitle="Año válido" prompt="Introduzca un año válido (de 2020 hasta año actual)" sqref="A4:A103" xr:uid="{00000000-0002-0000-0400-000000000000}"/>
    <dataValidation allowBlank="1" showErrorMessage="1" prompt="_x000a__x000a_" sqref="C4:C103" xr:uid="{00000000-0002-0000-0400-000001000000}"/>
  </dataValidations>
  <pageMargins left="0.70866141732283472" right="0.70866141732283472" top="0.74803149606299213" bottom="0.74803149606299213" header="0.31496062992125984" footer="0.31496062992125984"/>
  <pageSetup paperSize="8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AP103"/>
  <sheetViews>
    <sheetView showGridLines="0" zoomScaleNormal="100" workbookViewId="0">
      <selection activeCell="A4" sqref="A4"/>
    </sheetView>
  </sheetViews>
  <sheetFormatPr baseColWidth="10" defaultRowHeight="15" x14ac:dyDescent="0.25"/>
  <cols>
    <col min="1" max="1" width="12.7109375" bestFit="1" customWidth="1"/>
    <col min="2" max="2" width="15.5703125" bestFit="1" customWidth="1"/>
    <col min="3" max="3" width="14.5703125" bestFit="1" customWidth="1"/>
    <col min="4" max="4" width="14.5703125" customWidth="1"/>
    <col min="5" max="5" width="22.7109375" style="1" bestFit="1" customWidth="1"/>
    <col min="6" max="6" width="15.5703125" customWidth="1"/>
    <col min="7" max="8" width="15.5703125" style="34" customWidth="1"/>
    <col min="9" max="10" width="18.28515625" customWidth="1"/>
    <col min="11" max="11" width="18.140625" customWidth="1"/>
    <col min="12" max="13" width="21.28515625" customWidth="1"/>
    <col min="14" max="14" width="16.28515625" customWidth="1"/>
    <col min="15" max="15" width="18.42578125" customWidth="1"/>
    <col min="16" max="16" width="14.28515625" customWidth="1"/>
    <col min="17" max="17" width="14.42578125" bestFit="1" customWidth="1"/>
    <col min="18" max="19" width="15.42578125" bestFit="1" customWidth="1"/>
    <col min="20" max="20" width="15.5703125" bestFit="1" customWidth="1"/>
    <col min="21" max="21" width="14.7109375" bestFit="1" customWidth="1"/>
    <col min="22" max="22" width="15.7109375" customWidth="1"/>
    <col min="23" max="23" width="22.28515625" customWidth="1"/>
    <col min="24" max="25" width="15.5703125" customWidth="1"/>
    <col min="26" max="27" width="13.140625" bestFit="1" customWidth="1"/>
    <col min="28" max="28" width="11.42578125" bestFit="1" customWidth="1"/>
    <col min="29" max="30" width="13.140625" bestFit="1" customWidth="1"/>
    <col min="31" max="31" width="14.42578125" customWidth="1"/>
    <col min="32" max="32" width="16.140625" customWidth="1"/>
    <col min="33" max="33" width="17.7109375" bestFit="1" customWidth="1"/>
    <col min="34" max="34" width="13.140625" bestFit="1" customWidth="1"/>
    <col min="35" max="35" width="15.28515625" bestFit="1" customWidth="1"/>
    <col min="36" max="36" width="28.28515625" bestFit="1" customWidth="1"/>
    <col min="37" max="37" width="17.5703125" style="34" customWidth="1"/>
    <col min="38" max="38" width="19.7109375" style="34" bestFit="1" customWidth="1"/>
    <col min="39" max="39" width="19.85546875" customWidth="1"/>
    <col min="40" max="40" width="14.42578125" bestFit="1" customWidth="1"/>
    <col min="41" max="41" width="18.85546875" bestFit="1" customWidth="1"/>
    <col min="42" max="42" width="16.7109375" bestFit="1" customWidth="1"/>
  </cols>
  <sheetData>
    <row r="1" spans="1:42" s="4" customFormat="1" ht="12" x14ac:dyDescent="0.25">
      <c r="A1" s="112" t="s">
        <v>56</v>
      </c>
      <c r="B1" s="114"/>
      <c r="C1" s="112" t="s">
        <v>57</v>
      </c>
      <c r="D1" s="112"/>
      <c r="E1" s="120"/>
      <c r="F1" s="112" t="s">
        <v>58</v>
      </c>
      <c r="G1" s="115" t="s">
        <v>83</v>
      </c>
      <c r="H1" s="115" t="s">
        <v>84</v>
      </c>
      <c r="I1" s="112" t="s">
        <v>19</v>
      </c>
      <c r="J1" s="112" t="s">
        <v>61</v>
      </c>
      <c r="K1" s="112" t="s">
        <v>22</v>
      </c>
      <c r="L1" s="114"/>
      <c r="M1" s="112" t="s">
        <v>85</v>
      </c>
      <c r="N1" s="112" t="s">
        <v>77</v>
      </c>
      <c r="O1" s="112" t="s">
        <v>78</v>
      </c>
      <c r="P1" s="112" t="s">
        <v>79</v>
      </c>
      <c r="Q1" s="119"/>
      <c r="R1" s="119"/>
      <c r="S1" s="112" t="s">
        <v>23</v>
      </c>
      <c r="T1" s="112" t="s">
        <v>86</v>
      </c>
      <c r="U1" s="112" t="s">
        <v>87</v>
      </c>
      <c r="V1" s="112" t="s">
        <v>88</v>
      </c>
      <c r="W1" s="112" t="s">
        <v>89</v>
      </c>
      <c r="X1" s="112" t="s">
        <v>90</v>
      </c>
      <c r="Y1" s="114"/>
      <c r="Z1" s="112" t="s">
        <v>2</v>
      </c>
      <c r="AA1" s="112" t="s">
        <v>0</v>
      </c>
      <c r="AB1" s="112" t="s">
        <v>1</v>
      </c>
      <c r="AC1" s="112" t="s">
        <v>7</v>
      </c>
      <c r="AD1" s="112" t="s">
        <v>27</v>
      </c>
      <c r="AE1" s="112" t="s">
        <v>5</v>
      </c>
      <c r="AF1" s="112" t="s">
        <v>6</v>
      </c>
      <c r="AG1" s="118" t="s">
        <v>170</v>
      </c>
      <c r="AH1" s="119"/>
      <c r="AI1" s="119"/>
      <c r="AJ1" s="119"/>
      <c r="AK1" s="115" t="s">
        <v>67</v>
      </c>
      <c r="AL1" s="115" t="s">
        <v>68</v>
      </c>
      <c r="AM1" s="112" t="s">
        <v>69</v>
      </c>
      <c r="AN1" s="112" t="s">
        <v>93</v>
      </c>
      <c r="AO1" s="112"/>
      <c r="AP1" s="113" t="s">
        <v>218</v>
      </c>
    </row>
    <row r="2" spans="1:42" s="4" customFormat="1" ht="12" x14ac:dyDescent="0.25">
      <c r="A2" s="36" t="s">
        <v>31</v>
      </c>
      <c r="B2" s="36" t="s">
        <v>32</v>
      </c>
      <c r="C2" s="36" t="s">
        <v>55</v>
      </c>
      <c r="D2" s="36" t="s">
        <v>18</v>
      </c>
      <c r="E2" s="36" t="s">
        <v>52</v>
      </c>
      <c r="F2" s="112"/>
      <c r="G2" s="115"/>
      <c r="H2" s="116"/>
      <c r="I2" s="112"/>
      <c r="J2" s="112"/>
      <c r="K2" s="36" t="s">
        <v>28</v>
      </c>
      <c r="L2" s="36" t="s">
        <v>30</v>
      </c>
      <c r="M2" s="112"/>
      <c r="N2" s="118"/>
      <c r="O2" s="118"/>
      <c r="P2" s="36" t="s">
        <v>18</v>
      </c>
      <c r="Q2" s="36" t="s">
        <v>8</v>
      </c>
      <c r="R2" s="36" t="s">
        <v>11</v>
      </c>
      <c r="S2" s="118"/>
      <c r="T2" s="112"/>
      <c r="U2" s="112"/>
      <c r="V2" s="112"/>
      <c r="W2" s="112"/>
      <c r="X2" s="36" t="s">
        <v>31</v>
      </c>
      <c r="Y2" s="36" t="s">
        <v>32</v>
      </c>
      <c r="Z2" s="118"/>
      <c r="AA2" s="118"/>
      <c r="AB2" s="118"/>
      <c r="AC2" s="118"/>
      <c r="AD2" s="118"/>
      <c r="AE2" s="119"/>
      <c r="AF2" s="117"/>
      <c r="AG2" s="36" t="s">
        <v>13</v>
      </c>
      <c r="AH2" s="36" t="s">
        <v>14</v>
      </c>
      <c r="AI2" s="36" t="s">
        <v>16</v>
      </c>
      <c r="AJ2" s="36" t="s">
        <v>26</v>
      </c>
      <c r="AK2" s="116"/>
      <c r="AL2" s="116"/>
      <c r="AM2" s="112"/>
      <c r="AN2" s="35" t="s">
        <v>91</v>
      </c>
      <c r="AO2" s="36" t="s">
        <v>92</v>
      </c>
      <c r="AP2" s="113"/>
    </row>
    <row r="3" spans="1:42" s="54" customFormat="1" ht="12" x14ac:dyDescent="0.25">
      <c r="A3" s="56" t="s">
        <v>33</v>
      </c>
      <c r="B3" s="56" t="s">
        <v>9</v>
      </c>
      <c r="C3" s="56" t="s">
        <v>51</v>
      </c>
      <c r="D3" s="56" t="s">
        <v>9</v>
      </c>
      <c r="E3" s="56" t="s">
        <v>50</v>
      </c>
      <c r="F3" s="56" t="s">
        <v>9</v>
      </c>
      <c r="G3" s="58" t="s">
        <v>34</v>
      </c>
      <c r="H3" s="58" t="s">
        <v>15</v>
      </c>
      <c r="I3" s="56" t="s">
        <v>29</v>
      </c>
      <c r="J3" s="56" t="s">
        <v>29</v>
      </c>
      <c r="K3" s="56" t="s">
        <v>10</v>
      </c>
      <c r="L3" s="56" t="s">
        <v>12</v>
      </c>
      <c r="M3" s="56" t="s">
        <v>29</v>
      </c>
      <c r="N3" s="56" t="s">
        <v>12</v>
      </c>
      <c r="O3" s="56" t="s">
        <v>12</v>
      </c>
      <c r="P3" s="56" t="s">
        <v>9</v>
      </c>
      <c r="Q3" s="56" t="s">
        <v>9</v>
      </c>
      <c r="R3" s="56" t="s">
        <v>12</v>
      </c>
      <c r="S3" s="56" t="s">
        <v>10</v>
      </c>
      <c r="T3" s="56" t="s">
        <v>9</v>
      </c>
      <c r="U3" s="56" t="s">
        <v>51</v>
      </c>
      <c r="V3" s="56" t="s">
        <v>51</v>
      </c>
      <c r="W3" s="56" t="s">
        <v>51</v>
      </c>
      <c r="X3" s="56" t="s">
        <v>33</v>
      </c>
      <c r="Y3" s="56" t="s">
        <v>9</v>
      </c>
      <c r="Z3" s="56" t="s">
        <v>15</v>
      </c>
      <c r="AA3" s="56" t="s">
        <v>15</v>
      </c>
      <c r="AB3" s="56" t="s">
        <v>25</v>
      </c>
      <c r="AC3" s="56" t="s">
        <v>15</v>
      </c>
      <c r="AD3" s="56" t="s">
        <v>15</v>
      </c>
      <c r="AE3" s="56" t="s">
        <v>25</v>
      </c>
      <c r="AF3" s="56" t="s">
        <v>15</v>
      </c>
      <c r="AG3" s="56" t="s">
        <v>29</v>
      </c>
      <c r="AH3" s="56" t="s">
        <v>15</v>
      </c>
      <c r="AI3" s="56" t="s">
        <v>9</v>
      </c>
      <c r="AJ3" s="56" t="s">
        <v>17</v>
      </c>
      <c r="AK3" s="58" t="s">
        <v>25</v>
      </c>
      <c r="AL3" s="58" t="s">
        <v>15</v>
      </c>
      <c r="AM3" s="56" t="s">
        <v>54</v>
      </c>
      <c r="AN3" s="56" t="s">
        <v>51</v>
      </c>
      <c r="AO3" s="56" t="s">
        <v>12</v>
      </c>
      <c r="AP3" s="56" t="s">
        <v>10</v>
      </c>
    </row>
    <row r="4" spans="1:42" s="2" customFormat="1" x14ac:dyDescent="0.25">
      <c r="A4" s="66" t="str">
        <f>IF('Registrar recibidas_gastos'!A4="","",'Registrar recibidas_gastos'!A4)</f>
        <v/>
      </c>
      <c r="B4" s="61" t="str">
        <f>IF('Registrar recibidas_gastos'!B4="","",'Registrar recibidas_gastos'!B4)</f>
        <v/>
      </c>
      <c r="C4" s="61" t="str">
        <f>IF('Registrar recibidas_gastos'!C4="","",VLOOKUP(CONCATENATE("ACTIVIDAD",'Registrar recibidas_gastos'!C4),'CODIGO-LITERAL'!$C:$D,2,FALSE))</f>
        <v/>
      </c>
      <c r="D4" s="60" t="str">
        <f>IF(OR(C4="C",C4="D"),"",IF(ISERROR(VLOOKUP(CONCATENATE(C4,'Registrar recibidas_gastos'!D4),'CODIGO-LITERAL'!$C:$D,2,FALSE)),"",VLOOKUP(CONCATENATE(C4,'Registrar recibidas_gastos'!D4),'CODIGO-LITERAL'!$C:$D,2,FALSE)))</f>
        <v/>
      </c>
      <c r="E4" s="61" t="str">
        <f>IF('Registrar recibidas_gastos'!E4="","",'Registrar recibidas_gastos'!E4)</f>
        <v/>
      </c>
      <c r="F4" s="61" t="str">
        <f>IF('Registrar recibidas_gastos'!F4="","",VLOOKUP(CONCATENATE("TIPO FACTURA GASTO",'Registrar recibidas_gastos'!F4),'CODIGO-LITERAL'!$C:$D,2,FALSE))</f>
        <v/>
      </c>
      <c r="G4" s="62"/>
      <c r="H4" s="62"/>
      <c r="I4" s="67" t="str">
        <f>IF('Registrar recibidas_gastos'!I4="","",'Registrar recibidas_gastos'!I4)</f>
        <v/>
      </c>
      <c r="J4" s="67" t="str">
        <f>IF('Registrar recibidas_gastos'!J4="","",'Registrar recibidas_gastos'!J4)</f>
        <v/>
      </c>
      <c r="K4" s="61" t="str">
        <f>IF('Registrar recibidas_gastos'!K4="","",'Registrar recibidas_gastos'!K4)</f>
        <v/>
      </c>
      <c r="L4" s="61" t="str">
        <f>IF('Registrar recibidas_gastos'!L4="","",'Registrar recibidas_gastos'!L4)</f>
        <v/>
      </c>
      <c r="M4" s="67" t="str">
        <f>IF('Registrar recibidas_gastos'!M4="","",'Registrar recibidas_gastos'!M4)</f>
        <v/>
      </c>
      <c r="N4" s="61" t="str">
        <f>IF('Registrar recibidas_gastos'!N4="","",'Registrar recibidas_gastos'!N4)</f>
        <v/>
      </c>
      <c r="O4" s="61" t="str">
        <f>IF('Registrar recibidas_gastos'!O4="","",'Registrar recibidas_gastos'!O4)</f>
        <v/>
      </c>
      <c r="P4" s="61" t="str">
        <f>IF(OR(LEFT('Registrar recibidas_gastos'!P4,2)="01",'Registrar recibidas_gastos'!P4=""),"",VLOOKUP(CONCATENATE("TIPO NIF",'Registrar recibidas_gastos'!P4),'CODIGO-LITERAL'!$C:$D,2,FALSE))</f>
        <v/>
      </c>
      <c r="Q4" s="61" t="str">
        <f>IF('Registrar recibidas_gastos'!Q4="","",'Registrar recibidas_gastos'!Q4)</f>
        <v/>
      </c>
      <c r="R4" s="61" t="str">
        <f>IF('Registrar recibidas_gastos'!R4="","",'Registrar recibidas_gastos'!R4)</f>
        <v/>
      </c>
      <c r="S4" s="61" t="str">
        <f>IF('Registrar recibidas_gastos'!S4="","",'Registrar recibidas_gastos'!S4)</f>
        <v/>
      </c>
      <c r="T4" s="61" t="str">
        <f>IF('Registrar recibidas_gastos'!T4="","",VLOOKUP(CONCATENATE("CLAVE OPERACION GASTO",'Registrar recibidas_gastos'!T4),'CODIGO-LITERAL'!$C:$D,2,FALSE))</f>
        <v/>
      </c>
      <c r="U4" s="61" t="str">
        <f>IF(T4="","",IF(OR(T4="02",T4="08"),"N",IF('Registrar recibidas_gastos'!U4="","N",'Registrar recibidas_gastos'!U4)))</f>
        <v/>
      </c>
      <c r="V4" s="61" t="str">
        <f>IF(T4="","",IF(OR(T4="07",T4="08",T4="09",F4="F5",F4="LC"),"N",IF('Registrar recibidas_gastos'!V4="","N",'Registrar recibidas_gastos'!V4)))</f>
        <v/>
      </c>
      <c r="W4" s="61" t="str">
        <f>IF(AND(X4="",Y4=""),"",IF(AND(RECIBIDAS_GASTOS!$X4&lt;&gt;"",RECIBIDAS_GASTOS!$Y4&lt;&gt;""),"S",IF('Registrar recibidas_gastos'!W4="","N",'Registrar recibidas_gastos'!W4)))</f>
        <v/>
      </c>
      <c r="X4" s="67" t="str">
        <f>IF('Registrar recibidas_gastos'!X4="","",'Registrar recibidas_gastos'!X4)</f>
        <v/>
      </c>
      <c r="Y4" s="61" t="str">
        <f>IF('Registrar recibidas_gastos'!Y4="","",'Registrar recibidas_gastos'!Y4)</f>
        <v/>
      </c>
      <c r="Z4" s="68" t="str">
        <f>IF('Registrar recibidas_gastos'!Z4="","",IF(AND(F4="",T4=""),"",IF(OR(T4="03",T4="05",T4="09"),AA4,SUM(AA4,AC4,AF4))))</f>
        <v/>
      </c>
      <c r="AA4" s="68" t="str">
        <f>IF('Registrar recibidas_gastos'!AA4="","",ROUND('Registrar recibidas_gastos'!AA4,2))</f>
        <v/>
      </c>
      <c r="AB4" s="61" t="str">
        <f>IF('Registrar recibidas_gastos'!AB4="","",'Registrar recibidas_gastos'!AB4)</f>
        <v/>
      </c>
      <c r="AC4" s="68" t="str">
        <f>IF(OR(T4="03",T4="05"),0,IF('Registrar recibidas_gastos'!AC4="","",ROUND(AA4*AB4/100,2)))</f>
        <v/>
      </c>
      <c r="AD4" s="68" t="str">
        <f>IF('Registrar recibidas_gastos'!AD4="","",ROUND('Registrar recibidas_gastos'!AD4,2))</f>
        <v/>
      </c>
      <c r="AE4" s="61" t="str">
        <f>IF('Registrar recibidas_gastos'!AE4="","",'Registrar recibidas_gastos'!AE4)</f>
        <v/>
      </c>
      <c r="AF4" s="68" t="str">
        <f>IF('Registrar recibidas_gastos'!AF4="","",ROUND(AA4*AE4/100,2))</f>
        <v/>
      </c>
      <c r="AG4" s="67" t="str">
        <f>IF('Registrar recibidas_gastos'!AG4="","",'Registrar recibidas_gastos'!AG4)</f>
        <v/>
      </c>
      <c r="AH4" s="68" t="str">
        <f>IF('Registrar recibidas_gastos'!AH4="","",'Registrar recibidas_gastos'!AH4)</f>
        <v/>
      </c>
      <c r="AI4" s="61" t="str">
        <f>IF('Registrar recibidas_gastos'!AI4="","",VLOOKUP(CONCATENATE("MEDIO UTILIZADO",'Registrar recibidas_gastos'!AI4),'CODIGO-LITERAL'!$C:$D,2,FALSE))</f>
        <v/>
      </c>
      <c r="AJ4" s="61" t="str">
        <f>IF('Registrar recibidas_gastos'!AJ4="","",'Registrar recibidas_gastos'!AJ4)</f>
        <v/>
      </c>
      <c r="AK4" s="62"/>
      <c r="AL4" s="69"/>
      <c r="AM4" s="61" t="str">
        <f>IF('Registrar recibidas_gastos'!AM4="","",'Registrar recibidas_gastos'!AM4)</f>
        <v/>
      </c>
      <c r="AN4" s="61" t="str">
        <f>IF('Registrar recibidas_gastos'!AN4="","",VLOOKUP(CONCATENATE("SITUACION",'Registrar recibidas_gastos'!AN4),'CODIGO-LITERAL'!$C:$D,2,FALSE))</f>
        <v/>
      </c>
      <c r="AO4" s="61" t="str">
        <f>IF('Registrar recibidas_gastos'!AO4="","",'Registrar recibidas_gastos'!AO4)</f>
        <v/>
      </c>
      <c r="AP4" s="61" t="str">
        <f>IF('Registrar recibidas_gastos'!AP4="","",'Registrar recibidas_gastos'!AP4)</f>
        <v/>
      </c>
    </row>
    <row r="5" spans="1:42" s="2" customFormat="1" x14ac:dyDescent="0.25">
      <c r="A5" s="66" t="str">
        <f>IF('Registrar recibidas_gastos'!A5="","",'Registrar recibidas_gastos'!A5)</f>
        <v/>
      </c>
      <c r="B5" s="61" t="str">
        <f>IF('Registrar recibidas_gastos'!B5="","",'Registrar recibidas_gastos'!B5)</f>
        <v/>
      </c>
      <c r="C5" s="61" t="str">
        <f>IF('Registrar recibidas_gastos'!C5="","",VLOOKUP(CONCATENATE("ACTIVIDAD",'Registrar recibidas_gastos'!C5),'CODIGO-LITERAL'!$C:$D,2,FALSE))</f>
        <v/>
      </c>
      <c r="D5" s="60" t="str">
        <f>IF(OR(C5="C",C5="D"),"",IF(ISERROR(VLOOKUP(CONCATENATE(C5,'Registrar recibidas_gastos'!D5),'CODIGO-LITERAL'!$C:$D,2,FALSE)),"",VLOOKUP(CONCATENATE(C5,'Registrar recibidas_gastos'!D5),'CODIGO-LITERAL'!$C:$D,2,FALSE)))</f>
        <v/>
      </c>
      <c r="E5" s="61" t="str">
        <f>IF('Registrar recibidas_gastos'!E5="","",'Registrar recibidas_gastos'!E5)</f>
        <v/>
      </c>
      <c r="F5" s="61" t="str">
        <f>IF('Registrar recibidas_gastos'!F5="","",VLOOKUP(CONCATENATE("TIPO FACTURA GASTO",'Registrar recibidas_gastos'!F5),'CODIGO-LITERAL'!$C:$D,2,FALSE))</f>
        <v/>
      </c>
      <c r="G5" s="62"/>
      <c r="H5" s="62"/>
      <c r="I5" s="67" t="str">
        <f>IF('Registrar recibidas_gastos'!I5="","",'Registrar recibidas_gastos'!I5)</f>
        <v/>
      </c>
      <c r="J5" s="67" t="str">
        <f>IF('Registrar recibidas_gastos'!J5="","",'Registrar recibidas_gastos'!J5)</f>
        <v/>
      </c>
      <c r="K5" s="61" t="str">
        <f>IF('Registrar recibidas_gastos'!K5="","",'Registrar recibidas_gastos'!K5)</f>
        <v/>
      </c>
      <c r="L5" s="61" t="str">
        <f>IF('Registrar recibidas_gastos'!L5="","",'Registrar recibidas_gastos'!L5)</f>
        <v/>
      </c>
      <c r="M5" s="67" t="str">
        <f>IF('Registrar recibidas_gastos'!M5="","",'Registrar recibidas_gastos'!M5)</f>
        <v/>
      </c>
      <c r="N5" s="61" t="str">
        <f>IF('Registrar recibidas_gastos'!N5="","",'Registrar recibidas_gastos'!N5)</f>
        <v/>
      </c>
      <c r="O5" s="61" t="str">
        <f>IF('Registrar recibidas_gastos'!O5="","",'Registrar recibidas_gastos'!O5)</f>
        <v/>
      </c>
      <c r="P5" s="61" t="str">
        <f>IF(OR(LEFT('Registrar recibidas_gastos'!P5,2)="01",'Registrar recibidas_gastos'!P5=""),"",VLOOKUP(CONCATENATE("TIPO NIF",'Registrar recibidas_gastos'!P5),'CODIGO-LITERAL'!$C:$D,2,FALSE))</f>
        <v/>
      </c>
      <c r="Q5" s="61" t="str">
        <f>IF('Registrar recibidas_gastos'!Q5="","",'Registrar recibidas_gastos'!Q5)</f>
        <v/>
      </c>
      <c r="R5" s="61" t="str">
        <f>IF('Registrar recibidas_gastos'!R5="","",'Registrar recibidas_gastos'!R5)</f>
        <v/>
      </c>
      <c r="S5" s="61" t="str">
        <f>IF('Registrar recibidas_gastos'!S5="","",'Registrar recibidas_gastos'!S5)</f>
        <v/>
      </c>
      <c r="T5" s="61" t="str">
        <f>IF('Registrar recibidas_gastos'!T5="","",VLOOKUP(CONCATENATE("CLAVE OPERACION GASTO",'Registrar recibidas_gastos'!T5),'CODIGO-LITERAL'!$C:$D,2,FALSE))</f>
        <v/>
      </c>
      <c r="U5" s="61" t="str">
        <f>IF(T5="","",IF(OR(T5="02",T5="08"),"N",IF('Registrar recibidas_gastos'!U5="","N",'Registrar recibidas_gastos'!U5)))</f>
        <v/>
      </c>
      <c r="V5" s="61" t="str">
        <f>IF(T5="","",IF(OR(T5="07",T5="08",T5="09",F5="F5",F5="LC"),"N",IF('Registrar recibidas_gastos'!V5="","N",'Registrar recibidas_gastos'!V5)))</f>
        <v/>
      </c>
      <c r="W5" s="61" t="str">
        <f>IF(AND(X5="",Y5=""),"",IF(AND(RECIBIDAS_GASTOS!$X5&lt;&gt;"",RECIBIDAS_GASTOS!$Y5&lt;&gt;""),"S",IF('Registrar recibidas_gastos'!W5="","N",'Registrar recibidas_gastos'!W5)))</f>
        <v/>
      </c>
      <c r="X5" s="67" t="str">
        <f>IF('Registrar recibidas_gastos'!X5="","",'Registrar recibidas_gastos'!X5)</f>
        <v/>
      </c>
      <c r="Y5" s="61" t="str">
        <f>IF('Registrar recibidas_gastos'!Y5="","",'Registrar recibidas_gastos'!Y5)</f>
        <v/>
      </c>
      <c r="Z5" s="68" t="str">
        <f>IF('Registrar recibidas_gastos'!Z5="","",IF(AND(F5="",T5=""),"",IF(OR(T5="03",T5="05",T5="09"),AA5,SUM(AA5,AC5,AF5))))</f>
        <v/>
      </c>
      <c r="AA5" s="68" t="str">
        <f>IF('Registrar recibidas_gastos'!AA5="","",ROUND('Registrar recibidas_gastos'!AA5,2))</f>
        <v/>
      </c>
      <c r="AB5" s="61" t="str">
        <f>IF('Registrar recibidas_gastos'!AB5="","",'Registrar recibidas_gastos'!AB5)</f>
        <v/>
      </c>
      <c r="AC5" s="68" t="str">
        <f>IF(OR(T5="03",T5="05"),0,IF('Registrar recibidas_gastos'!AC5="","",ROUND(AA5*AB5/100,2)))</f>
        <v/>
      </c>
      <c r="AD5" s="68" t="str">
        <f>IF('Registrar recibidas_gastos'!AD5="","",ROUND('Registrar recibidas_gastos'!AD5,2))</f>
        <v/>
      </c>
      <c r="AE5" s="61" t="str">
        <f>IF('Registrar recibidas_gastos'!AE5="","",'Registrar recibidas_gastos'!AE5)</f>
        <v/>
      </c>
      <c r="AF5" s="68" t="str">
        <f>IF('Registrar recibidas_gastos'!AF5="","",ROUND(AA5*AE5/100,2))</f>
        <v/>
      </c>
      <c r="AG5" s="67" t="str">
        <f>IF('Registrar recibidas_gastos'!AG5="","",'Registrar recibidas_gastos'!AG5)</f>
        <v/>
      </c>
      <c r="AH5" s="68" t="str">
        <f>IF('Registrar recibidas_gastos'!AH5="","",'Registrar recibidas_gastos'!AH5)</f>
        <v/>
      </c>
      <c r="AI5" s="61" t="str">
        <f>IF('Registrar recibidas_gastos'!AI5="","",VLOOKUP(CONCATENATE("MEDIO UTILIZADO",'Registrar recibidas_gastos'!AI5),'CODIGO-LITERAL'!$C:$D,2,FALSE))</f>
        <v/>
      </c>
      <c r="AJ5" s="61" t="str">
        <f>IF('Registrar recibidas_gastos'!AJ5="","",'Registrar recibidas_gastos'!AJ5)</f>
        <v/>
      </c>
      <c r="AK5" s="62"/>
      <c r="AL5" s="69"/>
      <c r="AM5" s="61" t="str">
        <f>IF('Registrar recibidas_gastos'!AM5="","",'Registrar recibidas_gastos'!AM5)</f>
        <v/>
      </c>
      <c r="AN5" s="61" t="str">
        <f>IF('Registrar recibidas_gastos'!AN5="","",VLOOKUP(CONCATENATE("SITUACION",'Registrar recibidas_gastos'!AN5),'CODIGO-LITERAL'!$C:$D,2,FALSE))</f>
        <v/>
      </c>
      <c r="AO5" s="61" t="str">
        <f>IF('Registrar recibidas_gastos'!AO5="","",'Registrar recibidas_gastos'!AO5)</f>
        <v/>
      </c>
      <c r="AP5" s="61" t="str">
        <f>IF('Registrar recibidas_gastos'!AP5="","",'Registrar recibidas_gastos'!AP5)</f>
        <v/>
      </c>
    </row>
    <row r="6" spans="1:42" s="2" customFormat="1" x14ac:dyDescent="0.25">
      <c r="A6" s="66" t="str">
        <f>IF('Registrar recibidas_gastos'!A6="","",'Registrar recibidas_gastos'!A6)</f>
        <v/>
      </c>
      <c r="B6" s="61" t="str">
        <f>IF('Registrar recibidas_gastos'!B6="","",'Registrar recibidas_gastos'!B6)</f>
        <v/>
      </c>
      <c r="C6" s="61" t="str">
        <f>IF('Registrar recibidas_gastos'!C6="","",VLOOKUP(CONCATENATE("ACTIVIDAD",'Registrar recibidas_gastos'!C6),'CODIGO-LITERAL'!$C:$D,2,FALSE))</f>
        <v/>
      </c>
      <c r="D6" s="60" t="str">
        <f>IF(OR(C6="C",C6="D"),"",IF(ISERROR(VLOOKUP(CONCATENATE(C6,'Registrar recibidas_gastos'!D6),'CODIGO-LITERAL'!$C:$D,2,FALSE)),"",VLOOKUP(CONCATENATE(C6,'Registrar recibidas_gastos'!D6),'CODIGO-LITERAL'!$C:$D,2,FALSE)))</f>
        <v/>
      </c>
      <c r="E6" s="61" t="str">
        <f>IF('Registrar recibidas_gastos'!E6="","",'Registrar recibidas_gastos'!E6)</f>
        <v/>
      </c>
      <c r="F6" s="61" t="str">
        <f>IF('Registrar recibidas_gastos'!F6="","",VLOOKUP(CONCATENATE("TIPO FACTURA GASTO",'Registrar recibidas_gastos'!F6),'CODIGO-LITERAL'!$C:$D,2,FALSE))</f>
        <v/>
      </c>
      <c r="G6" s="62"/>
      <c r="H6" s="62"/>
      <c r="I6" s="67" t="str">
        <f>IF('Registrar recibidas_gastos'!I6="","",'Registrar recibidas_gastos'!I6)</f>
        <v/>
      </c>
      <c r="J6" s="67" t="str">
        <f>IF('Registrar recibidas_gastos'!J6="","",'Registrar recibidas_gastos'!J6)</f>
        <v/>
      </c>
      <c r="K6" s="61" t="str">
        <f>IF('Registrar recibidas_gastos'!K6="","",'Registrar recibidas_gastos'!K6)</f>
        <v/>
      </c>
      <c r="L6" s="61" t="str">
        <f>IF('Registrar recibidas_gastos'!L6="","",'Registrar recibidas_gastos'!L6)</f>
        <v/>
      </c>
      <c r="M6" s="67" t="str">
        <f>IF('Registrar recibidas_gastos'!M6="","",'Registrar recibidas_gastos'!M6)</f>
        <v/>
      </c>
      <c r="N6" s="61" t="str">
        <f>IF('Registrar recibidas_gastos'!N6="","",'Registrar recibidas_gastos'!N6)</f>
        <v/>
      </c>
      <c r="O6" s="61" t="str">
        <f>IF('Registrar recibidas_gastos'!O6="","",'Registrar recibidas_gastos'!O6)</f>
        <v/>
      </c>
      <c r="P6" s="61" t="str">
        <f>IF(OR(LEFT('Registrar recibidas_gastos'!P6,2)="01",'Registrar recibidas_gastos'!P6=""),"",VLOOKUP(CONCATENATE("TIPO NIF",'Registrar recibidas_gastos'!P6),'CODIGO-LITERAL'!$C:$D,2,FALSE))</f>
        <v/>
      </c>
      <c r="Q6" s="61" t="str">
        <f>IF('Registrar recibidas_gastos'!Q6="","",'Registrar recibidas_gastos'!Q6)</f>
        <v/>
      </c>
      <c r="R6" s="61" t="str">
        <f>IF('Registrar recibidas_gastos'!R6="","",'Registrar recibidas_gastos'!R6)</f>
        <v/>
      </c>
      <c r="S6" s="61" t="str">
        <f>IF('Registrar recibidas_gastos'!S6="","",'Registrar recibidas_gastos'!S6)</f>
        <v/>
      </c>
      <c r="T6" s="61" t="str">
        <f>IF('Registrar recibidas_gastos'!T6="","",VLOOKUP(CONCATENATE("CLAVE OPERACION GASTO",'Registrar recibidas_gastos'!T6),'CODIGO-LITERAL'!$C:$D,2,FALSE))</f>
        <v/>
      </c>
      <c r="U6" s="61" t="str">
        <f>IF(T6="","",IF(OR(T6="02",T6="08"),"N",IF('Registrar recibidas_gastos'!U6="","N",'Registrar recibidas_gastos'!U6)))</f>
        <v/>
      </c>
      <c r="V6" s="61" t="str">
        <f>IF(T6="","",IF(OR(T6="07",T6="08",T6="09",F6="F5",F6="LC"),"N",IF('Registrar recibidas_gastos'!V6="","N",'Registrar recibidas_gastos'!V6)))</f>
        <v/>
      </c>
      <c r="W6" s="61" t="str">
        <f>IF(AND(X6="",Y6=""),"",IF(AND(RECIBIDAS_GASTOS!$X6&lt;&gt;"",RECIBIDAS_GASTOS!$Y6&lt;&gt;""),"S",IF('Registrar recibidas_gastos'!W6="","N",'Registrar recibidas_gastos'!W6)))</f>
        <v/>
      </c>
      <c r="X6" s="67" t="str">
        <f>IF('Registrar recibidas_gastos'!X6="","",'Registrar recibidas_gastos'!X6)</f>
        <v/>
      </c>
      <c r="Y6" s="61" t="str">
        <f>IF('Registrar recibidas_gastos'!Y6="","",'Registrar recibidas_gastos'!Y6)</f>
        <v/>
      </c>
      <c r="Z6" s="68" t="str">
        <f>IF('Registrar recibidas_gastos'!Z6="","",IF(AND(F6="",T6=""),"",IF(OR(T6="03",T6="05",T6="09"),AA6,SUM(AA6,AC6,AF6))))</f>
        <v/>
      </c>
      <c r="AA6" s="68" t="str">
        <f>IF('Registrar recibidas_gastos'!AA6="","",ROUND('Registrar recibidas_gastos'!AA6,2))</f>
        <v/>
      </c>
      <c r="AB6" s="61" t="str">
        <f>IF('Registrar recibidas_gastos'!AB6="","",'Registrar recibidas_gastos'!AB6)</f>
        <v/>
      </c>
      <c r="AC6" s="68" t="str">
        <f>IF(OR(T6="03",T6="05"),0,IF('Registrar recibidas_gastos'!AC6="","",ROUND(AA6*AB6/100,2)))</f>
        <v/>
      </c>
      <c r="AD6" s="68" t="str">
        <f>IF('Registrar recibidas_gastos'!AD6="","",ROUND('Registrar recibidas_gastos'!AD6,2))</f>
        <v/>
      </c>
      <c r="AE6" s="61" t="str">
        <f>IF('Registrar recibidas_gastos'!AE6="","",'Registrar recibidas_gastos'!AE6)</f>
        <v/>
      </c>
      <c r="AF6" s="68" t="str">
        <f>IF('Registrar recibidas_gastos'!AF6="","",ROUND(AA6*AE6/100,2))</f>
        <v/>
      </c>
      <c r="AG6" s="67" t="str">
        <f>IF('Registrar recibidas_gastos'!AG6="","",'Registrar recibidas_gastos'!AG6)</f>
        <v/>
      </c>
      <c r="AH6" s="68" t="str">
        <f>IF('Registrar recibidas_gastos'!AH6="","",'Registrar recibidas_gastos'!AH6)</f>
        <v/>
      </c>
      <c r="AI6" s="61" t="str">
        <f>IF('Registrar recibidas_gastos'!AI6="","",VLOOKUP(CONCATENATE("MEDIO UTILIZADO",'Registrar recibidas_gastos'!AI6),'CODIGO-LITERAL'!$C:$D,2,FALSE))</f>
        <v/>
      </c>
      <c r="AJ6" s="61" t="str">
        <f>IF('Registrar recibidas_gastos'!AJ6="","",'Registrar recibidas_gastos'!AJ6)</f>
        <v/>
      </c>
      <c r="AK6" s="62"/>
      <c r="AL6" s="69"/>
      <c r="AM6" s="61" t="str">
        <f>IF('Registrar recibidas_gastos'!AM6="","",'Registrar recibidas_gastos'!AM6)</f>
        <v/>
      </c>
      <c r="AN6" s="61" t="str">
        <f>IF('Registrar recibidas_gastos'!AN6="","",VLOOKUP(CONCATENATE("SITUACION",'Registrar recibidas_gastos'!AN6),'CODIGO-LITERAL'!$C:$D,2,FALSE))</f>
        <v/>
      </c>
      <c r="AO6" s="61" t="str">
        <f>IF('Registrar recibidas_gastos'!AO6="","",'Registrar recibidas_gastos'!AO6)</f>
        <v/>
      </c>
      <c r="AP6" s="61" t="str">
        <f>IF('Registrar recibidas_gastos'!AP6="","",'Registrar recibidas_gastos'!AP6)</f>
        <v/>
      </c>
    </row>
    <row r="7" spans="1:42" s="2" customFormat="1" x14ac:dyDescent="0.25">
      <c r="A7" s="66" t="str">
        <f>IF('Registrar recibidas_gastos'!A7="","",'Registrar recibidas_gastos'!A7)</f>
        <v/>
      </c>
      <c r="B7" s="61" t="str">
        <f>IF('Registrar recibidas_gastos'!B7="","",'Registrar recibidas_gastos'!B7)</f>
        <v/>
      </c>
      <c r="C7" s="61" t="str">
        <f>IF('Registrar recibidas_gastos'!C7="","",VLOOKUP(CONCATENATE("ACTIVIDAD",'Registrar recibidas_gastos'!C7),'CODIGO-LITERAL'!$C:$D,2,FALSE))</f>
        <v/>
      </c>
      <c r="D7" s="60" t="str">
        <f>IF(OR(C7="C",C7="D"),"",IF(ISERROR(VLOOKUP(CONCATENATE(C7,'Registrar recibidas_gastos'!D7),'CODIGO-LITERAL'!$C:$D,2,FALSE)),"",VLOOKUP(CONCATENATE(C7,'Registrar recibidas_gastos'!D7),'CODIGO-LITERAL'!$C:$D,2,FALSE)))</f>
        <v/>
      </c>
      <c r="E7" s="61" t="str">
        <f>IF('Registrar recibidas_gastos'!E7="","",'Registrar recibidas_gastos'!E7)</f>
        <v/>
      </c>
      <c r="F7" s="61" t="str">
        <f>IF('Registrar recibidas_gastos'!F7="","",VLOOKUP(CONCATENATE("TIPO FACTURA GASTO",'Registrar recibidas_gastos'!F7),'CODIGO-LITERAL'!$C:$D,2,FALSE))</f>
        <v/>
      </c>
      <c r="G7" s="62"/>
      <c r="H7" s="62"/>
      <c r="I7" s="67" t="str">
        <f>IF('Registrar recibidas_gastos'!I7="","",'Registrar recibidas_gastos'!I7)</f>
        <v/>
      </c>
      <c r="J7" s="67" t="str">
        <f>IF('Registrar recibidas_gastos'!J7="","",'Registrar recibidas_gastos'!J7)</f>
        <v/>
      </c>
      <c r="K7" s="61" t="str">
        <f>IF('Registrar recibidas_gastos'!K7="","",'Registrar recibidas_gastos'!K7)</f>
        <v/>
      </c>
      <c r="L7" s="61" t="str">
        <f>IF('Registrar recibidas_gastos'!L7="","",'Registrar recibidas_gastos'!L7)</f>
        <v/>
      </c>
      <c r="M7" s="67" t="str">
        <f>IF('Registrar recibidas_gastos'!M7="","",'Registrar recibidas_gastos'!M7)</f>
        <v/>
      </c>
      <c r="N7" s="61" t="str">
        <f>IF('Registrar recibidas_gastos'!N7="","",'Registrar recibidas_gastos'!N7)</f>
        <v/>
      </c>
      <c r="O7" s="61" t="str">
        <f>IF('Registrar recibidas_gastos'!O7="","",'Registrar recibidas_gastos'!O7)</f>
        <v/>
      </c>
      <c r="P7" s="61" t="str">
        <f>IF(OR(LEFT('Registrar recibidas_gastos'!P7,2)="01",'Registrar recibidas_gastos'!P7=""),"",VLOOKUP(CONCATENATE("TIPO NIF",'Registrar recibidas_gastos'!P7),'CODIGO-LITERAL'!$C:$D,2,FALSE))</f>
        <v/>
      </c>
      <c r="Q7" s="61" t="str">
        <f>IF('Registrar recibidas_gastos'!Q7="","",'Registrar recibidas_gastos'!Q7)</f>
        <v/>
      </c>
      <c r="R7" s="61" t="str">
        <f>IF('Registrar recibidas_gastos'!R7="","",'Registrar recibidas_gastos'!R7)</f>
        <v/>
      </c>
      <c r="S7" s="61" t="str">
        <f>IF('Registrar recibidas_gastos'!S7="","",'Registrar recibidas_gastos'!S7)</f>
        <v/>
      </c>
      <c r="T7" s="61" t="str">
        <f>IF('Registrar recibidas_gastos'!T7="","",VLOOKUP(CONCATENATE("CLAVE OPERACION GASTO",'Registrar recibidas_gastos'!T7),'CODIGO-LITERAL'!$C:$D,2,FALSE))</f>
        <v/>
      </c>
      <c r="U7" s="61" t="str">
        <f>IF(T7="","",IF(OR(T7="02",T7="08"),"N",IF('Registrar recibidas_gastos'!U7="","N",'Registrar recibidas_gastos'!U7)))</f>
        <v/>
      </c>
      <c r="V7" s="61" t="str">
        <f>IF(T7="","",IF(OR(T7="07",T7="08",T7="09",F7="F5",F7="LC"),"N",IF('Registrar recibidas_gastos'!V7="","N",'Registrar recibidas_gastos'!V7)))</f>
        <v/>
      </c>
      <c r="W7" s="61" t="str">
        <f>IF(AND(X7="",Y7=""),"",IF(AND(RECIBIDAS_GASTOS!$X7&lt;&gt;"",RECIBIDAS_GASTOS!$Y7&lt;&gt;""),"S",IF('Registrar recibidas_gastos'!W7="","N",'Registrar recibidas_gastos'!W7)))</f>
        <v/>
      </c>
      <c r="X7" s="67" t="str">
        <f>IF('Registrar recibidas_gastos'!X7="","",'Registrar recibidas_gastos'!X7)</f>
        <v/>
      </c>
      <c r="Y7" s="61" t="str">
        <f>IF('Registrar recibidas_gastos'!Y7="","",'Registrar recibidas_gastos'!Y7)</f>
        <v/>
      </c>
      <c r="Z7" s="68" t="str">
        <f>IF('Registrar recibidas_gastos'!Z7="","",IF(AND(F7="",T7=""),"",IF(OR(T7="03",T7="05",T7="09"),AA7,SUM(AA7,AC7,AF7))))</f>
        <v/>
      </c>
      <c r="AA7" s="68" t="str">
        <f>IF('Registrar recibidas_gastos'!AA7="","",ROUND('Registrar recibidas_gastos'!AA7,2))</f>
        <v/>
      </c>
      <c r="AB7" s="61" t="str">
        <f>IF('Registrar recibidas_gastos'!AB7="","",'Registrar recibidas_gastos'!AB7)</f>
        <v/>
      </c>
      <c r="AC7" s="68" t="str">
        <f>IF(OR(T7="03",T7="05"),0,IF('Registrar recibidas_gastos'!AC7="","",ROUND(AA7*AB7/100,2)))</f>
        <v/>
      </c>
      <c r="AD7" s="68" t="str">
        <f>IF('Registrar recibidas_gastos'!AD7="","",ROUND('Registrar recibidas_gastos'!AD7,2))</f>
        <v/>
      </c>
      <c r="AE7" s="61" t="str">
        <f>IF('Registrar recibidas_gastos'!AE7="","",'Registrar recibidas_gastos'!AE7)</f>
        <v/>
      </c>
      <c r="AF7" s="68" t="str">
        <f>IF('Registrar recibidas_gastos'!AF7="","",ROUND(AA7*AE7/100,2))</f>
        <v/>
      </c>
      <c r="AG7" s="67" t="str">
        <f>IF('Registrar recibidas_gastos'!AG7="","",'Registrar recibidas_gastos'!AG7)</f>
        <v/>
      </c>
      <c r="AH7" s="68" t="str">
        <f>IF('Registrar recibidas_gastos'!AH7="","",'Registrar recibidas_gastos'!AH7)</f>
        <v/>
      </c>
      <c r="AI7" s="61" t="str">
        <f>IF('Registrar recibidas_gastos'!AI7="","",VLOOKUP(CONCATENATE("MEDIO UTILIZADO",'Registrar recibidas_gastos'!AI7),'CODIGO-LITERAL'!$C:$D,2,FALSE))</f>
        <v/>
      </c>
      <c r="AJ7" s="61" t="str">
        <f>IF('Registrar recibidas_gastos'!AJ7="","",'Registrar recibidas_gastos'!AJ7)</f>
        <v/>
      </c>
      <c r="AK7" s="62"/>
      <c r="AL7" s="69"/>
      <c r="AM7" s="61" t="str">
        <f>IF('Registrar recibidas_gastos'!AM7="","",'Registrar recibidas_gastos'!AM7)</f>
        <v/>
      </c>
      <c r="AN7" s="61" t="str">
        <f>IF('Registrar recibidas_gastos'!AN7="","",VLOOKUP(CONCATENATE("SITUACION",'Registrar recibidas_gastos'!AN7),'CODIGO-LITERAL'!$C:$D,2,FALSE))</f>
        <v/>
      </c>
      <c r="AO7" s="61" t="str">
        <f>IF('Registrar recibidas_gastos'!AO7="","",'Registrar recibidas_gastos'!AO7)</f>
        <v/>
      </c>
      <c r="AP7" s="61" t="str">
        <f>IF('Registrar recibidas_gastos'!AP7="","",'Registrar recibidas_gastos'!AP7)</f>
        <v/>
      </c>
    </row>
    <row r="8" spans="1:42" s="2" customFormat="1" x14ac:dyDescent="0.25">
      <c r="A8" s="66" t="str">
        <f>IF('Registrar recibidas_gastos'!A8="","",'Registrar recibidas_gastos'!A8)</f>
        <v/>
      </c>
      <c r="B8" s="61" t="str">
        <f>IF('Registrar recibidas_gastos'!B8="","",'Registrar recibidas_gastos'!B8)</f>
        <v/>
      </c>
      <c r="C8" s="61" t="str">
        <f>IF('Registrar recibidas_gastos'!C8="","",VLOOKUP(CONCATENATE("ACTIVIDAD",'Registrar recibidas_gastos'!C8),'CODIGO-LITERAL'!$C:$D,2,FALSE))</f>
        <v/>
      </c>
      <c r="D8" s="60" t="str">
        <f>IF(OR(C8="C",C8="D"),"",IF(ISERROR(VLOOKUP(CONCATENATE(C8,'Registrar recibidas_gastos'!D8),'CODIGO-LITERAL'!$C:$D,2,FALSE)),"",VLOOKUP(CONCATENATE(C8,'Registrar recibidas_gastos'!D8),'CODIGO-LITERAL'!$C:$D,2,FALSE)))</f>
        <v/>
      </c>
      <c r="E8" s="61" t="str">
        <f>IF('Registrar recibidas_gastos'!E8="","",'Registrar recibidas_gastos'!E8)</f>
        <v/>
      </c>
      <c r="F8" s="61" t="str">
        <f>IF('Registrar recibidas_gastos'!F8="","",VLOOKUP(CONCATENATE("TIPO FACTURA GASTO",'Registrar recibidas_gastos'!F8),'CODIGO-LITERAL'!$C:$D,2,FALSE))</f>
        <v/>
      </c>
      <c r="G8" s="62"/>
      <c r="H8" s="62"/>
      <c r="I8" s="67" t="str">
        <f>IF('Registrar recibidas_gastos'!I8="","",'Registrar recibidas_gastos'!I8)</f>
        <v/>
      </c>
      <c r="J8" s="67" t="str">
        <f>IF('Registrar recibidas_gastos'!J8="","",'Registrar recibidas_gastos'!J8)</f>
        <v/>
      </c>
      <c r="K8" s="61" t="str">
        <f>IF('Registrar recibidas_gastos'!K8="","",'Registrar recibidas_gastos'!K8)</f>
        <v/>
      </c>
      <c r="L8" s="61" t="str">
        <f>IF('Registrar recibidas_gastos'!L8="","",'Registrar recibidas_gastos'!L8)</f>
        <v/>
      </c>
      <c r="M8" s="67" t="str">
        <f>IF('Registrar recibidas_gastos'!M8="","",'Registrar recibidas_gastos'!M8)</f>
        <v/>
      </c>
      <c r="N8" s="61" t="str">
        <f>IF('Registrar recibidas_gastos'!N8="","",'Registrar recibidas_gastos'!N8)</f>
        <v/>
      </c>
      <c r="O8" s="61" t="str">
        <f>IF('Registrar recibidas_gastos'!O8="","",'Registrar recibidas_gastos'!O8)</f>
        <v/>
      </c>
      <c r="P8" s="61" t="str">
        <f>IF(OR(LEFT('Registrar recibidas_gastos'!P8,2)="01",'Registrar recibidas_gastos'!P8=""),"",VLOOKUP(CONCATENATE("TIPO NIF",'Registrar recibidas_gastos'!P8),'CODIGO-LITERAL'!$C:$D,2,FALSE))</f>
        <v/>
      </c>
      <c r="Q8" s="61" t="str">
        <f>IF('Registrar recibidas_gastos'!Q8="","",'Registrar recibidas_gastos'!Q8)</f>
        <v/>
      </c>
      <c r="R8" s="61" t="str">
        <f>IF('Registrar recibidas_gastos'!R8="","",'Registrar recibidas_gastos'!R8)</f>
        <v/>
      </c>
      <c r="S8" s="61" t="str">
        <f>IF('Registrar recibidas_gastos'!S8="","",'Registrar recibidas_gastos'!S8)</f>
        <v/>
      </c>
      <c r="T8" s="61" t="str">
        <f>IF('Registrar recibidas_gastos'!T8="","",VLOOKUP(CONCATENATE("CLAVE OPERACION GASTO",'Registrar recibidas_gastos'!T8),'CODIGO-LITERAL'!$C:$D,2,FALSE))</f>
        <v/>
      </c>
      <c r="U8" s="61" t="str">
        <f>IF(T8="","",IF(OR(T8="02",T8="08"),"N",IF('Registrar recibidas_gastos'!U8="","N",'Registrar recibidas_gastos'!U8)))</f>
        <v/>
      </c>
      <c r="V8" s="61" t="str">
        <f>IF(T8="","",IF(OR(T8="07",T8="08",T8="09",F8="F5",F8="LC"),"N",IF('Registrar recibidas_gastos'!V8="","N",'Registrar recibidas_gastos'!V8)))</f>
        <v/>
      </c>
      <c r="W8" s="61" t="str">
        <f>IF(AND(X8="",Y8=""),"",IF(AND(RECIBIDAS_GASTOS!$X8&lt;&gt;"",RECIBIDAS_GASTOS!$Y8&lt;&gt;""),"S",IF('Registrar recibidas_gastos'!W8="","N",'Registrar recibidas_gastos'!W8)))</f>
        <v/>
      </c>
      <c r="X8" s="67" t="str">
        <f>IF('Registrar recibidas_gastos'!X8="","",'Registrar recibidas_gastos'!X8)</f>
        <v/>
      </c>
      <c r="Y8" s="61" t="str">
        <f>IF('Registrar recibidas_gastos'!Y8="","",'Registrar recibidas_gastos'!Y8)</f>
        <v/>
      </c>
      <c r="Z8" s="68" t="str">
        <f>IF('Registrar recibidas_gastos'!Z8="","",IF(AND(F8="",T8=""),"",IF(OR(T8="03",T8="05",T8="09"),AA8,SUM(AA8,AC8,AF8))))</f>
        <v/>
      </c>
      <c r="AA8" s="68" t="str">
        <f>IF('Registrar recibidas_gastos'!AA8="","",ROUND('Registrar recibidas_gastos'!AA8,2))</f>
        <v/>
      </c>
      <c r="AB8" s="61" t="str">
        <f>IF('Registrar recibidas_gastos'!AB8="","",'Registrar recibidas_gastos'!AB8)</f>
        <v/>
      </c>
      <c r="AC8" s="68" t="str">
        <f>IF(OR(T8="03",T8="05"),0,IF('Registrar recibidas_gastos'!AC8="","",ROUND(AA8*AB8/100,2)))</f>
        <v/>
      </c>
      <c r="AD8" s="68" t="str">
        <f>IF('Registrar recibidas_gastos'!AD8="","",ROUND('Registrar recibidas_gastos'!AD8,2))</f>
        <v/>
      </c>
      <c r="AE8" s="61" t="str">
        <f>IF('Registrar recibidas_gastos'!AE8="","",'Registrar recibidas_gastos'!AE8)</f>
        <v/>
      </c>
      <c r="AF8" s="68" t="str">
        <f>IF('Registrar recibidas_gastos'!AF8="","",ROUND(AA8*AE8/100,2))</f>
        <v/>
      </c>
      <c r="AG8" s="67" t="str">
        <f>IF('Registrar recibidas_gastos'!AG8="","",'Registrar recibidas_gastos'!AG8)</f>
        <v/>
      </c>
      <c r="AH8" s="68" t="str">
        <f>IF('Registrar recibidas_gastos'!AH8="","",'Registrar recibidas_gastos'!AH8)</f>
        <v/>
      </c>
      <c r="AI8" s="61" t="str">
        <f>IF('Registrar recibidas_gastos'!AI8="","",VLOOKUP(CONCATENATE("MEDIO UTILIZADO",'Registrar recibidas_gastos'!AI8),'CODIGO-LITERAL'!$C:$D,2,FALSE))</f>
        <v/>
      </c>
      <c r="AJ8" s="61" t="str">
        <f>IF('Registrar recibidas_gastos'!AJ8="","",'Registrar recibidas_gastos'!AJ8)</f>
        <v/>
      </c>
      <c r="AK8" s="62"/>
      <c r="AL8" s="69"/>
      <c r="AM8" s="61" t="str">
        <f>IF('Registrar recibidas_gastos'!AM8="","",'Registrar recibidas_gastos'!AM8)</f>
        <v/>
      </c>
      <c r="AN8" s="61" t="str">
        <f>IF('Registrar recibidas_gastos'!AN8="","",VLOOKUP(CONCATENATE("SITUACION",'Registrar recibidas_gastos'!AN8),'CODIGO-LITERAL'!$C:$D,2,FALSE))</f>
        <v/>
      </c>
      <c r="AO8" s="61" t="str">
        <f>IF('Registrar recibidas_gastos'!AO8="","",'Registrar recibidas_gastos'!AO8)</f>
        <v/>
      </c>
      <c r="AP8" s="61" t="str">
        <f>IF('Registrar recibidas_gastos'!AP8="","",'Registrar recibidas_gastos'!AP8)</f>
        <v/>
      </c>
    </row>
    <row r="9" spans="1:42" s="2" customFormat="1" x14ac:dyDescent="0.25">
      <c r="A9" s="66" t="str">
        <f>IF('Registrar recibidas_gastos'!A9="","",'Registrar recibidas_gastos'!A9)</f>
        <v/>
      </c>
      <c r="B9" s="61" t="str">
        <f>IF('Registrar recibidas_gastos'!B9="","",'Registrar recibidas_gastos'!B9)</f>
        <v/>
      </c>
      <c r="C9" s="61" t="str">
        <f>IF('Registrar recibidas_gastos'!C9="","",VLOOKUP(CONCATENATE("ACTIVIDAD",'Registrar recibidas_gastos'!C9),'CODIGO-LITERAL'!$C:$D,2,FALSE))</f>
        <v/>
      </c>
      <c r="D9" s="60" t="str">
        <f>IF(OR(C9="C",C9="D"),"",IF(ISERROR(VLOOKUP(CONCATENATE(C9,'Registrar recibidas_gastos'!D9),'CODIGO-LITERAL'!$C:$D,2,FALSE)),"",VLOOKUP(CONCATENATE(C9,'Registrar recibidas_gastos'!D9),'CODIGO-LITERAL'!$C:$D,2,FALSE)))</f>
        <v/>
      </c>
      <c r="E9" s="61" t="str">
        <f>IF('Registrar recibidas_gastos'!E9="","",'Registrar recibidas_gastos'!E9)</f>
        <v/>
      </c>
      <c r="F9" s="61" t="str">
        <f>IF('Registrar recibidas_gastos'!F9="","",VLOOKUP(CONCATENATE("TIPO FACTURA GASTO",'Registrar recibidas_gastos'!F9),'CODIGO-LITERAL'!$C:$D,2,FALSE))</f>
        <v/>
      </c>
      <c r="G9" s="62"/>
      <c r="H9" s="62"/>
      <c r="I9" s="67" t="str">
        <f>IF('Registrar recibidas_gastos'!I9="","",'Registrar recibidas_gastos'!I9)</f>
        <v/>
      </c>
      <c r="J9" s="67" t="str">
        <f>IF('Registrar recibidas_gastos'!J9="","",'Registrar recibidas_gastos'!J9)</f>
        <v/>
      </c>
      <c r="K9" s="61" t="str">
        <f>IF('Registrar recibidas_gastos'!K9="","",'Registrar recibidas_gastos'!K9)</f>
        <v/>
      </c>
      <c r="L9" s="61" t="str">
        <f>IF('Registrar recibidas_gastos'!L9="","",'Registrar recibidas_gastos'!L9)</f>
        <v/>
      </c>
      <c r="M9" s="67" t="str">
        <f>IF('Registrar recibidas_gastos'!M9="","",'Registrar recibidas_gastos'!M9)</f>
        <v/>
      </c>
      <c r="N9" s="61" t="str">
        <f>IF('Registrar recibidas_gastos'!N9="","",'Registrar recibidas_gastos'!N9)</f>
        <v/>
      </c>
      <c r="O9" s="61" t="str">
        <f>IF('Registrar recibidas_gastos'!O9="","",'Registrar recibidas_gastos'!O9)</f>
        <v/>
      </c>
      <c r="P9" s="61" t="str">
        <f>IF(OR(LEFT('Registrar recibidas_gastos'!P9,2)="01",'Registrar recibidas_gastos'!P9=""),"",VLOOKUP(CONCATENATE("TIPO NIF",'Registrar recibidas_gastos'!P9),'CODIGO-LITERAL'!$C:$D,2,FALSE))</f>
        <v/>
      </c>
      <c r="Q9" s="61" t="str">
        <f>IF('Registrar recibidas_gastos'!Q9="","",'Registrar recibidas_gastos'!Q9)</f>
        <v/>
      </c>
      <c r="R9" s="61" t="str">
        <f>IF('Registrar recibidas_gastos'!R9="","",'Registrar recibidas_gastos'!R9)</f>
        <v/>
      </c>
      <c r="S9" s="61" t="str">
        <f>IF('Registrar recibidas_gastos'!S9="","",'Registrar recibidas_gastos'!S9)</f>
        <v/>
      </c>
      <c r="T9" s="61" t="str">
        <f>IF('Registrar recibidas_gastos'!T9="","",VLOOKUP(CONCATENATE("CLAVE OPERACION GASTO",'Registrar recibidas_gastos'!T9),'CODIGO-LITERAL'!$C:$D,2,FALSE))</f>
        <v/>
      </c>
      <c r="U9" s="61" t="str">
        <f>IF(T9="","",IF(OR(T9="02",T9="08"),"N",IF('Registrar recibidas_gastos'!U9="","N",'Registrar recibidas_gastos'!U9)))</f>
        <v/>
      </c>
      <c r="V9" s="61" t="str">
        <f>IF(T9="","",IF(OR(T9="07",T9="08",T9="09",F9="F5",F9="LC"),"N",IF('Registrar recibidas_gastos'!V9="","N",'Registrar recibidas_gastos'!V9)))</f>
        <v/>
      </c>
      <c r="W9" s="61" t="str">
        <f>IF(AND(X9="",Y9=""),"",IF(AND(RECIBIDAS_GASTOS!$X9&lt;&gt;"",RECIBIDAS_GASTOS!$Y9&lt;&gt;""),"S",IF('Registrar recibidas_gastos'!W9="","N",'Registrar recibidas_gastos'!W9)))</f>
        <v/>
      </c>
      <c r="X9" s="67" t="str">
        <f>IF('Registrar recibidas_gastos'!X9="","",'Registrar recibidas_gastos'!X9)</f>
        <v/>
      </c>
      <c r="Y9" s="61" t="str">
        <f>IF('Registrar recibidas_gastos'!Y9="","",'Registrar recibidas_gastos'!Y9)</f>
        <v/>
      </c>
      <c r="Z9" s="68" t="str">
        <f>IF('Registrar recibidas_gastos'!Z9="","",IF(AND(F9="",T9=""),"",IF(OR(T9="03",T9="05",T9="09"),AA9,SUM(AA9,AC9,AF9))))</f>
        <v/>
      </c>
      <c r="AA9" s="68" t="str">
        <f>IF('Registrar recibidas_gastos'!AA9="","",ROUND('Registrar recibidas_gastos'!AA9,2))</f>
        <v/>
      </c>
      <c r="AB9" s="61" t="str">
        <f>IF('Registrar recibidas_gastos'!AB9="","",'Registrar recibidas_gastos'!AB9)</f>
        <v/>
      </c>
      <c r="AC9" s="68" t="str">
        <f>IF(OR(T9="03",T9="05"),0,IF('Registrar recibidas_gastos'!AC9="","",ROUND(AA9*AB9/100,2)))</f>
        <v/>
      </c>
      <c r="AD9" s="68" t="str">
        <f>IF('Registrar recibidas_gastos'!AD9="","",ROUND('Registrar recibidas_gastos'!AD9,2))</f>
        <v/>
      </c>
      <c r="AE9" s="61" t="str">
        <f>IF('Registrar recibidas_gastos'!AE9="","",'Registrar recibidas_gastos'!AE9)</f>
        <v/>
      </c>
      <c r="AF9" s="68" t="str">
        <f>IF('Registrar recibidas_gastos'!AF9="","",ROUND(AA9*AE9/100,2))</f>
        <v/>
      </c>
      <c r="AG9" s="67" t="str">
        <f>IF('Registrar recibidas_gastos'!AG9="","",'Registrar recibidas_gastos'!AG9)</f>
        <v/>
      </c>
      <c r="AH9" s="68" t="str">
        <f>IF('Registrar recibidas_gastos'!AH9="","",'Registrar recibidas_gastos'!AH9)</f>
        <v/>
      </c>
      <c r="AI9" s="61" t="str">
        <f>IF('Registrar recibidas_gastos'!AI9="","",VLOOKUP(CONCATENATE("MEDIO UTILIZADO",'Registrar recibidas_gastos'!AI9),'CODIGO-LITERAL'!$C:$D,2,FALSE))</f>
        <v/>
      </c>
      <c r="AJ9" s="61" t="str">
        <f>IF('Registrar recibidas_gastos'!AJ9="","",'Registrar recibidas_gastos'!AJ9)</f>
        <v/>
      </c>
      <c r="AK9" s="62"/>
      <c r="AL9" s="69"/>
      <c r="AM9" s="61" t="str">
        <f>IF('Registrar recibidas_gastos'!AM9="","",'Registrar recibidas_gastos'!AM9)</f>
        <v/>
      </c>
      <c r="AN9" s="61" t="str">
        <f>IF('Registrar recibidas_gastos'!AN9="","",VLOOKUP(CONCATENATE("SITUACION",'Registrar recibidas_gastos'!AN9),'CODIGO-LITERAL'!$C:$D,2,FALSE))</f>
        <v/>
      </c>
      <c r="AO9" s="61" t="str">
        <f>IF('Registrar recibidas_gastos'!AO9="","",'Registrar recibidas_gastos'!AO9)</f>
        <v/>
      </c>
      <c r="AP9" s="61" t="str">
        <f>IF('Registrar recibidas_gastos'!AP9="","",'Registrar recibidas_gastos'!AP9)</f>
        <v/>
      </c>
    </row>
    <row r="10" spans="1:42" s="2" customFormat="1" x14ac:dyDescent="0.25">
      <c r="A10" s="66" t="str">
        <f>IF('Registrar recibidas_gastos'!A10="","",'Registrar recibidas_gastos'!A10)</f>
        <v/>
      </c>
      <c r="B10" s="61" t="str">
        <f>IF('Registrar recibidas_gastos'!B10="","",'Registrar recibidas_gastos'!B10)</f>
        <v/>
      </c>
      <c r="C10" s="61" t="str">
        <f>IF('Registrar recibidas_gastos'!C10="","",VLOOKUP(CONCATENATE("ACTIVIDAD",'Registrar recibidas_gastos'!C10),'CODIGO-LITERAL'!$C:$D,2,FALSE))</f>
        <v/>
      </c>
      <c r="D10" s="60" t="str">
        <f>IF(OR(C10="C",C10="D"),"",IF(ISERROR(VLOOKUP(CONCATENATE(C10,'Registrar recibidas_gastos'!D10),'CODIGO-LITERAL'!$C:$D,2,FALSE)),"",VLOOKUP(CONCATENATE(C10,'Registrar recibidas_gastos'!D10),'CODIGO-LITERAL'!$C:$D,2,FALSE)))</f>
        <v/>
      </c>
      <c r="E10" s="61" t="str">
        <f>IF('Registrar recibidas_gastos'!E10="","",'Registrar recibidas_gastos'!E10)</f>
        <v/>
      </c>
      <c r="F10" s="61" t="str">
        <f>IF('Registrar recibidas_gastos'!F10="","",VLOOKUP(CONCATENATE("TIPO FACTURA GASTO",'Registrar recibidas_gastos'!F10),'CODIGO-LITERAL'!$C:$D,2,FALSE))</f>
        <v/>
      </c>
      <c r="G10" s="62"/>
      <c r="H10" s="62"/>
      <c r="I10" s="67" t="str">
        <f>IF('Registrar recibidas_gastos'!I10="","",'Registrar recibidas_gastos'!I10)</f>
        <v/>
      </c>
      <c r="J10" s="67" t="str">
        <f>IF('Registrar recibidas_gastos'!J10="","",'Registrar recibidas_gastos'!J10)</f>
        <v/>
      </c>
      <c r="K10" s="61" t="str">
        <f>IF('Registrar recibidas_gastos'!K10="","",'Registrar recibidas_gastos'!K10)</f>
        <v/>
      </c>
      <c r="L10" s="61" t="str">
        <f>IF('Registrar recibidas_gastos'!L10="","",'Registrar recibidas_gastos'!L10)</f>
        <v/>
      </c>
      <c r="M10" s="67" t="str">
        <f>IF('Registrar recibidas_gastos'!M10="","",'Registrar recibidas_gastos'!M10)</f>
        <v/>
      </c>
      <c r="N10" s="61" t="str">
        <f>IF('Registrar recibidas_gastos'!N10="","",'Registrar recibidas_gastos'!N10)</f>
        <v/>
      </c>
      <c r="O10" s="61" t="str">
        <f>IF('Registrar recibidas_gastos'!O10="","",'Registrar recibidas_gastos'!O10)</f>
        <v/>
      </c>
      <c r="P10" s="61" t="str">
        <f>IF(OR(LEFT('Registrar recibidas_gastos'!P10,2)="01",'Registrar recibidas_gastos'!P10=""),"",VLOOKUP(CONCATENATE("TIPO NIF",'Registrar recibidas_gastos'!P10),'CODIGO-LITERAL'!$C:$D,2,FALSE))</f>
        <v/>
      </c>
      <c r="Q10" s="61" t="str">
        <f>IF('Registrar recibidas_gastos'!Q10="","",'Registrar recibidas_gastos'!Q10)</f>
        <v/>
      </c>
      <c r="R10" s="61" t="str">
        <f>IF('Registrar recibidas_gastos'!R10="","",'Registrar recibidas_gastos'!R10)</f>
        <v/>
      </c>
      <c r="S10" s="61" t="str">
        <f>IF('Registrar recibidas_gastos'!S10="","",'Registrar recibidas_gastos'!S10)</f>
        <v/>
      </c>
      <c r="T10" s="61" t="str">
        <f>IF('Registrar recibidas_gastos'!T10="","",VLOOKUP(CONCATENATE("CLAVE OPERACION GASTO",'Registrar recibidas_gastos'!T10),'CODIGO-LITERAL'!$C:$D,2,FALSE))</f>
        <v/>
      </c>
      <c r="U10" s="61" t="str">
        <f>IF(T10="","",IF(OR(T10="02",T10="08"),"N",IF('Registrar recibidas_gastos'!U10="","N",'Registrar recibidas_gastos'!U10)))</f>
        <v/>
      </c>
      <c r="V10" s="61" t="str">
        <f>IF(T10="","",IF(OR(T10="07",T10="08",T10="09",F10="F5",F10="LC"),"N",IF('Registrar recibidas_gastos'!V10="","N",'Registrar recibidas_gastos'!V10)))</f>
        <v/>
      </c>
      <c r="W10" s="61" t="str">
        <f>IF(AND(X10="",Y10=""),"",IF(AND(RECIBIDAS_GASTOS!$X10&lt;&gt;"",RECIBIDAS_GASTOS!$Y10&lt;&gt;""),"S",IF('Registrar recibidas_gastos'!W10="","N",'Registrar recibidas_gastos'!W10)))</f>
        <v/>
      </c>
      <c r="X10" s="67" t="str">
        <f>IF('Registrar recibidas_gastos'!X10="","",'Registrar recibidas_gastos'!X10)</f>
        <v/>
      </c>
      <c r="Y10" s="61" t="str">
        <f>IF('Registrar recibidas_gastos'!Y10="","",'Registrar recibidas_gastos'!Y10)</f>
        <v/>
      </c>
      <c r="Z10" s="68" t="str">
        <f>IF('Registrar recibidas_gastos'!Z10="","",IF(AND(F10="",T10=""),"",IF(OR(T10="03",T10="05",T10="09"),AA10,SUM(AA10,AC10,AF10))))</f>
        <v/>
      </c>
      <c r="AA10" s="68" t="str">
        <f>IF('Registrar recibidas_gastos'!AA10="","",ROUND('Registrar recibidas_gastos'!AA10,2))</f>
        <v/>
      </c>
      <c r="AB10" s="61" t="str">
        <f>IF('Registrar recibidas_gastos'!AB10="","",'Registrar recibidas_gastos'!AB10)</f>
        <v/>
      </c>
      <c r="AC10" s="68" t="str">
        <f>IF(OR(T10="03",T10="05"),0,IF('Registrar recibidas_gastos'!AC10="","",ROUND(AA10*AB10/100,2)))</f>
        <v/>
      </c>
      <c r="AD10" s="68" t="str">
        <f>IF('Registrar recibidas_gastos'!AD10="","",ROUND('Registrar recibidas_gastos'!AD10,2))</f>
        <v/>
      </c>
      <c r="AE10" s="61" t="str">
        <f>IF('Registrar recibidas_gastos'!AE10="","",'Registrar recibidas_gastos'!AE10)</f>
        <v/>
      </c>
      <c r="AF10" s="68" t="str">
        <f>IF('Registrar recibidas_gastos'!AF10="","",ROUND(AA10*AE10/100,2))</f>
        <v/>
      </c>
      <c r="AG10" s="67" t="str">
        <f>IF('Registrar recibidas_gastos'!AG10="","",'Registrar recibidas_gastos'!AG10)</f>
        <v/>
      </c>
      <c r="AH10" s="68" t="str">
        <f>IF('Registrar recibidas_gastos'!AH10="","",'Registrar recibidas_gastos'!AH10)</f>
        <v/>
      </c>
      <c r="AI10" s="61" t="str">
        <f>IF('Registrar recibidas_gastos'!AI10="","",VLOOKUP(CONCATENATE("MEDIO UTILIZADO",'Registrar recibidas_gastos'!AI10),'CODIGO-LITERAL'!$C:$D,2,FALSE))</f>
        <v/>
      </c>
      <c r="AJ10" s="61" t="str">
        <f>IF('Registrar recibidas_gastos'!AJ10="","",'Registrar recibidas_gastos'!AJ10)</f>
        <v/>
      </c>
      <c r="AK10" s="62"/>
      <c r="AL10" s="69"/>
      <c r="AM10" s="61" t="str">
        <f>IF('Registrar recibidas_gastos'!AM10="","",'Registrar recibidas_gastos'!AM10)</f>
        <v/>
      </c>
      <c r="AN10" s="61" t="str">
        <f>IF('Registrar recibidas_gastos'!AN10="","",VLOOKUP(CONCATENATE("SITUACION",'Registrar recibidas_gastos'!AN10),'CODIGO-LITERAL'!$C:$D,2,FALSE))</f>
        <v/>
      </c>
      <c r="AO10" s="61" t="str">
        <f>IF('Registrar recibidas_gastos'!AO10="","",'Registrar recibidas_gastos'!AO10)</f>
        <v/>
      </c>
      <c r="AP10" s="61" t="str">
        <f>IF('Registrar recibidas_gastos'!AP10="","",'Registrar recibidas_gastos'!AP10)</f>
        <v/>
      </c>
    </row>
    <row r="11" spans="1:42" s="2" customFormat="1" x14ac:dyDescent="0.25">
      <c r="A11" s="66" t="str">
        <f>IF('Registrar recibidas_gastos'!A11="","",'Registrar recibidas_gastos'!A11)</f>
        <v/>
      </c>
      <c r="B11" s="61" t="str">
        <f>IF('Registrar recibidas_gastos'!B11="","",'Registrar recibidas_gastos'!B11)</f>
        <v/>
      </c>
      <c r="C11" s="61" t="str">
        <f>IF('Registrar recibidas_gastos'!C11="","",VLOOKUP(CONCATENATE("ACTIVIDAD",'Registrar recibidas_gastos'!C11),'CODIGO-LITERAL'!$C:$D,2,FALSE))</f>
        <v/>
      </c>
      <c r="D11" s="60" t="str">
        <f>IF(OR(C11="C",C11="D"),"",IF(ISERROR(VLOOKUP(CONCATENATE(C11,'Registrar recibidas_gastos'!D11),'CODIGO-LITERAL'!$C:$D,2,FALSE)),"",VLOOKUP(CONCATENATE(C11,'Registrar recibidas_gastos'!D11),'CODIGO-LITERAL'!$C:$D,2,FALSE)))</f>
        <v/>
      </c>
      <c r="E11" s="61" t="str">
        <f>IF('Registrar recibidas_gastos'!E11="","",'Registrar recibidas_gastos'!E11)</f>
        <v/>
      </c>
      <c r="F11" s="61" t="str">
        <f>IF('Registrar recibidas_gastos'!F11="","",VLOOKUP(CONCATENATE("TIPO FACTURA GASTO",'Registrar recibidas_gastos'!F11),'CODIGO-LITERAL'!$C:$D,2,FALSE))</f>
        <v/>
      </c>
      <c r="G11" s="62"/>
      <c r="H11" s="62"/>
      <c r="I11" s="67" t="str">
        <f>IF('Registrar recibidas_gastos'!I11="","",'Registrar recibidas_gastos'!I11)</f>
        <v/>
      </c>
      <c r="J11" s="67" t="str">
        <f>IF('Registrar recibidas_gastos'!J11="","",'Registrar recibidas_gastos'!J11)</f>
        <v/>
      </c>
      <c r="K11" s="61" t="str">
        <f>IF('Registrar recibidas_gastos'!K11="","",'Registrar recibidas_gastos'!K11)</f>
        <v/>
      </c>
      <c r="L11" s="61" t="str">
        <f>IF('Registrar recibidas_gastos'!L11="","",'Registrar recibidas_gastos'!L11)</f>
        <v/>
      </c>
      <c r="M11" s="67" t="str">
        <f>IF('Registrar recibidas_gastos'!M11="","",'Registrar recibidas_gastos'!M11)</f>
        <v/>
      </c>
      <c r="N11" s="61" t="str">
        <f>IF('Registrar recibidas_gastos'!N11="","",'Registrar recibidas_gastos'!N11)</f>
        <v/>
      </c>
      <c r="O11" s="61" t="str">
        <f>IF('Registrar recibidas_gastos'!O11="","",'Registrar recibidas_gastos'!O11)</f>
        <v/>
      </c>
      <c r="P11" s="61" t="str">
        <f>IF(OR(LEFT('Registrar recibidas_gastos'!P11,2)="01",'Registrar recibidas_gastos'!P11=""),"",VLOOKUP(CONCATENATE("TIPO NIF",'Registrar recibidas_gastos'!P11),'CODIGO-LITERAL'!$C:$D,2,FALSE))</f>
        <v/>
      </c>
      <c r="Q11" s="61" t="str">
        <f>IF('Registrar recibidas_gastos'!Q11="","",'Registrar recibidas_gastos'!Q11)</f>
        <v/>
      </c>
      <c r="R11" s="61" t="str">
        <f>IF('Registrar recibidas_gastos'!R11="","",'Registrar recibidas_gastos'!R11)</f>
        <v/>
      </c>
      <c r="S11" s="61" t="str">
        <f>IF('Registrar recibidas_gastos'!S11="","",'Registrar recibidas_gastos'!S11)</f>
        <v/>
      </c>
      <c r="T11" s="61" t="str">
        <f>IF('Registrar recibidas_gastos'!T11="","",VLOOKUP(CONCATENATE("CLAVE OPERACION GASTO",'Registrar recibidas_gastos'!T11),'CODIGO-LITERAL'!$C:$D,2,FALSE))</f>
        <v/>
      </c>
      <c r="U11" s="61" t="str">
        <f>IF(T11="","",IF(OR(T11="02",T11="08"),"N",IF('Registrar recibidas_gastos'!U11="","N",'Registrar recibidas_gastos'!U11)))</f>
        <v/>
      </c>
      <c r="V11" s="61" t="str">
        <f>IF(T11="","",IF(OR(T11="07",T11="08",T11="09",F11="F5",F11="LC"),"N",IF('Registrar recibidas_gastos'!V11="","N",'Registrar recibidas_gastos'!V11)))</f>
        <v/>
      </c>
      <c r="W11" s="61" t="str">
        <f>IF(AND(X11="",Y11=""),"",IF(AND(RECIBIDAS_GASTOS!$X11&lt;&gt;"",RECIBIDAS_GASTOS!$Y11&lt;&gt;""),"S",IF('Registrar recibidas_gastos'!W11="","N",'Registrar recibidas_gastos'!W11)))</f>
        <v/>
      </c>
      <c r="X11" s="67" t="str">
        <f>IF('Registrar recibidas_gastos'!X11="","",'Registrar recibidas_gastos'!X11)</f>
        <v/>
      </c>
      <c r="Y11" s="61" t="str">
        <f>IF('Registrar recibidas_gastos'!Y11="","",'Registrar recibidas_gastos'!Y11)</f>
        <v/>
      </c>
      <c r="Z11" s="68" t="str">
        <f>IF('Registrar recibidas_gastos'!Z11="","",IF(AND(F11="",T11=""),"",IF(OR(T11="03",T11="05",T11="09"),AA11,SUM(AA11,AC11,AF11))))</f>
        <v/>
      </c>
      <c r="AA11" s="68" t="str">
        <f>IF('Registrar recibidas_gastos'!AA11="","",ROUND('Registrar recibidas_gastos'!AA11,2))</f>
        <v/>
      </c>
      <c r="AB11" s="61" t="str">
        <f>IF('Registrar recibidas_gastos'!AB11="","",'Registrar recibidas_gastos'!AB11)</f>
        <v/>
      </c>
      <c r="AC11" s="68" t="str">
        <f>IF(OR(T11="03",T11="05"),0,IF('Registrar recibidas_gastos'!AC11="","",ROUND(AA11*AB11/100,2)))</f>
        <v/>
      </c>
      <c r="AD11" s="68" t="str">
        <f>IF('Registrar recibidas_gastos'!AD11="","",ROUND('Registrar recibidas_gastos'!AD11,2))</f>
        <v/>
      </c>
      <c r="AE11" s="61" t="str">
        <f>IF('Registrar recibidas_gastos'!AE11="","",'Registrar recibidas_gastos'!AE11)</f>
        <v/>
      </c>
      <c r="AF11" s="68" t="str">
        <f>IF('Registrar recibidas_gastos'!AF11="","",ROUND(AA11*AE11/100,2))</f>
        <v/>
      </c>
      <c r="AG11" s="67" t="str">
        <f>IF('Registrar recibidas_gastos'!AG11="","",'Registrar recibidas_gastos'!AG11)</f>
        <v/>
      </c>
      <c r="AH11" s="68" t="str">
        <f>IF('Registrar recibidas_gastos'!AH11="","",'Registrar recibidas_gastos'!AH11)</f>
        <v/>
      </c>
      <c r="AI11" s="61" t="str">
        <f>IF('Registrar recibidas_gastos'!AI11="","",VLOOKUP(CONCATENATE("MEDIO UTILIZADO",'Registrar recibidas_gastos'!AI11),'CODIGO-LITERAL'!$C:$D,2,FALSE))</f>
        <v/>
      </c>
      <c r="AJ11" s="61" t="str">
        <f>IF('Registrar recibidas_gastos'!AJ11="","",'Registrar recibidas_gastos'!AJ11)</f>
        <v/>
      </c>
      <c r="AK11" s="62"/>
      <c r="AL11" s="69"/>
      <c r="AM11" s="61" t="str">
        <f>IF('Registrar recibidas_gastos'!AM11="","",'Registrar recibidas_gastos'!AM11)</f>
        <v/>
      </c>
      <c r="AN11" s="61" t="str">
        <f>IF('Registrar recibidas_gastos'!AN11="","",VLOOKUP(CONCATENATE("SITUACION",'Registrar recibidas_gastos'!AN11),'CODIGO-LITERAL'!$C:$D,2,FALSE))</f>
        <v/>
      </c>
      <c r="AO11" s="61" t="str">
        <f>IF('Registrar recibidas_gastos'!AO11="","",'Registrar recibidas_gastos'!AO11)</f>
        <v/>
      </c>
      <c r="AP11" s="61" t="str">
        <f>IF('Registrar recibidas_gastos'!AP11="","",'Registrar recibidas_gastos'!AP11)</f>
        <v/>
      </c>
    </row>
    <row r="12" spans="1:42" s="2" customFormat="1" x14ac:dyDescent="0.25">
      <c r="A12" s="66" t="str">
        <f>IF('Registrar recibidas_gastos'!A12="","",'Registrar recibidas_gastos'!A12)</f>
        <v/>
      </c>
      <c r="B12" s="61" t="str">
        <f>IF('Registrar recibidas_gastos'!B12="","",'Registrar recibidas_gastos'!B12)</f>
        <v/>
      </c>
      <c r="C12" s="61" t="str">
        <f>IF('Registrar recibidas_gastos'!C12="","",VLOOKUP(CONCATENATE("ACTIVIDAD",'Registrar recibidas_gastos'!C12),'CODIGO-LITERAL'!$C:$D,2,FALSE))</f>
        <v/>
      </c>
      <c r="D12" s="60" t="str">
        <f>IF(OR(C12="C",C12="D"),"",IF(ISERROR(VLOOKUP(CONCATENATE(C12,'Registrar recibidas_gastos'!D12),'CODIGO-LITERAL'!$C:$D,2,FALSE)),"",VLOOKUP(CONCATENATE(C12,'Registrar recibidas_gastos'!D12),'CODIGO-LITERAL'!$C:$D,2,FALSE)))</f>
        <v/>
      </c>
      <c r="E12" s="61" t="str">
        <f>IF('Registrar recibidas_gastos'!E12="","",'Registrar recibidas_gastos'!E12)</f>
        <v/>
      </c>
      <c r="F12" s="61" t="str">
        <f>IF('Registrar recibidas_gastos'!F12="","",VLOOKUP(CONCATENATE("TIPO FACTURA GASTO",'Registrar recibidas_gastos'!F12),'CODIGO-LITERAL'!$C:$D,2,FALSE))</f>
        <v/>
      </c>
      <c r="G12" s="62"/>
      <c r="H12" s="62"/>
      <c r="I12" s="67" t="str">
        <f>IF('Registrar recibidas_gastos'!I12="","",'Registrar recibidas_gastos'!I12)</f>
        <v/>
      </c>
      <c r="J12" s="67" t="str">
        <f>IF('Registrar recibidas_gastos'!J12="","",'Registrar recibidas_gastos'!J12)</f>
        <v/>
      </c>
      <c r="K12" s="61" t="str">
        <f>IF('Registrar recibidas_gastos'!K12="","",'Registrar recibidas_gastos'!K12)</f>
        <v/>
      </c>
      <c r="L12" s="61" t="str">
        <f>IF('Registrar recibidas_gastos'!L12="","",'Registrar recibidas_gastos'!L12)</f>
        <v/>
      </c>
      <c r="M12" s="67" t="str">
        <f>IF('Registrar recibidas_gastos'!M12="","",'Registrar recibidas_gastos'!M12)</f>
        <v/>
      </c>
      <c r="N12" s="61" t="str">
        <f>IF('Registrar recibidas_gastos'!N12="","",'Registrar recibidas_gastos'!N12)</f>
        <v/>
      </c>
      <c r="O12" s="61" t="str">
        <f>IF('Registrar recibidas_gastos'!O12="","",'Registrar recibidas_gastos'!O12)</f>
        <v/>
      </c>
      <c r="P12" s="61" t="str">
        <f>IF(OR(LEFT('Registrar recibidas_gastos'!P12,2)="01",'Registrar recibidas_gastos'!P12=""),"",VLOOKUP(CONCATENATE("TIPO NIF",'Registrar recibidas_gastos'!P12),'CODIGO-LITERAL'!$C:$D,2,FALSE))</f>
        <v/>
      </c>
      <c r="Q12" s="61" t="str">
        <f>IF('Registrar recibidas_gastos'!Q12="","",'Registrar recibidas_gastos'!Q12)</f>
        <v/>
      </c>
      <c r="R12" s="61" t="str">
        <f>IF('Registrar recibidas_gastos'!R12="","",'Registrar recibidas_gastos'!R12)</f>
        <v/>
      </c>
      <c r="S12" s="61" t="str">
        <f>IF('Registrar recibidas_gastos'!S12="","",'Registrar recibidas_gastos'!S12)</f>
        <v/>
      </c>
      <c r="T12" s="61" t="str">
        <f>IF('Registrar recibidas_gastos'!T12="","",VLOOKUP(CONCATENATE("CLAVE OPERACION GASTO",'Registrar recibidas_gastos'!T12),'CODIGO-LITERAL'!$C:$D,2,FALSE))</f>
        <v/>
      </c>
      <c r="U12" s="61" t="str">
        <f>IF(T12="","",IF(OR(T12="02",T12="08"),"N",IF('Registrar recibidas_gastos'!U12="","N",'Registrar recibidas_gastos'!U12)))</f>
        <v/>
      </c>
      <c r="V12" s="61" t="str">
        <f>IF(T12="","",IF(OR(T12="07",T12="08",T12="09",F12="F5",F12="LC"),"N",IF('Registrar recibidas_gastos'!V12="","N",'Registrar recibidas_gastos'!V12)))</f>
        <v/>
      </c>
      <c r="W12" s="61" t="str">
        <f>IF(AND(X12="",Y12=""),"",IF(AND(RECIBIDAS_GASTOS!$X12&lt;&gt;"",RECIBIDAS_GASTOS!$Y12&lt;&gt;""),"S",IF('Registrar recibidas_gastos'!W12="","N",'Registrar recibidas_gastos'!W12)))</f>
        <v/>
      </c>
      <c r="X12" s="67" t="str">
        <f>IF('Registrar recibidas_gastos'!X12="","",'Registrar recibidas_gastos'!X12)</f>
        <v/>
      </c>
      <c r="Y12" s="61" t="str">
        <f>IF('Registrar recibidas_gastos'!Y12="","",'Registrar recibidas_gastos'!Y12)</f>
        <v/>
      </c>
      <c r="Z12" s="68" t="str">
        <f>IF('Registrar recibidas_gastos'!Z12="","",IF(AND(F12="",T12=""),"",IF(OR(T12="03",T12="05",T12="09"),AA12,SUM(AA12,AC12,AF12))))</f>
        <v/>
      </c>
      <c r="AA12" s="68" t="str">
        <f>IF('Registrar recibidas_gastos'!AA12="","",ROUND('Registrar recibidas_gastos'!AA12,2))</f>
        <v/>
      </c>
      <c r="AB12" s="61" t="str">
        <f>IF('Registrar recibidas_gastos'!AB12="","",'Registrar recibidas_gastos'!AB12)</f>
        <v/>
      </c>
      <c r="AC12" s="68" t="str">
        <f>IF(OR(T12="03",T12="05"),0,IF('Registrar recibidas_gastos'!AC12="","",ROUND(AA12*AB12/100,2)))</f>
        <v/>
      </c>
      <c r="AD12" s="68" t="str">
        <f>IF('Registrar recibidas_gastos'!AD12="","",ROUND('Registrar recibidas_gastos'!AD12,2))</f>
        <v/>
      </c>
      <c r="AE12" s="61" t="str">
        <f>IF('Registrar recibidas_gastos'!AE12="","",'Registrar recibidas_gastos'!AE12)</f>
        <v/>
      </c>
      <c r="AF12" s="68" t="str">
        <f>IF('Registrar recibidas_gastos'!AF12="","",ROUND(AA12*AE12/100,2))</f>
        <v/>
      </c>
      <c r="AG12" s="67" t="str">
        <f>IF('Registrar recibidas_gastos'!AG12="","",'Registrar recibidas_gastos'!AG12)</f>
        <v/>
      </c>
      <c r="AH12" s="68" t="str">
        <f>IF('Registrar recibidas_gastos'!AH12="","",'Registrar recibidas_gastos'!AH12)</f>
        <v/>
      </c>
      <c r="AI12" s="61" t="str">
        <f>IF('Registrar recibidas_gastos'!AI12="","",VLOOKUP(CONCATENATE("MEDIO UTILIZADO",'Registrar recibidas_gastos'!AI12),'CODIGO-LITERAL'!$C:$D,2,FALSE))</f>
        <v/>
      </c>
      <c r="AJ12" s="61" t="str">
        <f>IF('Registrar recibidas_gastos'!AJ12="","",'Registrar recibidas_gastos'!AJ12)</f>
        <v/>
      </c>
      <c r="AK12" s="62"/>
      <c r="AL12" s="69"/>
      <c r="AM12" s="61" t="str">
        <f>IF('Registrar recibidas_gastos'!AM12="","",'Registrar recibidas_gastos'!AM12)</f>
        <v/>
      </c>
      <c r="AN12" s="61" t="str">
        <f>IF('Registrar recibidas_gastos'!AN12="","",VLOOKUP(CONCATENATE("SITUACION",'Registrar recibidas_gastos'!AN12),'CODIGO-LITERAL'!$C:$D,2,FALSE))</f>
        <v/>
      </c>
      <c r="AO12" s="61" t="str">
        <f>IF('Registrar recibidas_gastos'!AO12="","",'Registrar recibidas_gastos'!AO12)</f>
        <v/>
      </c>
      <c r="AP12" s="61" t="str">
        <f>IF('Registrar recibidas_gastos'!AP12="","",'Registrar recibidas_gastos'!AP12)</f>
        <v/>
      </c>
    </row>
    <row r="13" spans="1:42" s="2" customFormat="1" x14ac:dyDescent="0.25">
      <c r="A13" s="66" t="str">
        <f>IF('Registrar recibidas_gastos'!A13="","",'Registrar recibidas_gastos'!A13)</f>
        <v/>
      </c>
      <c r="B13" s="61" t="str">
        <f>IF('Registrar recibidas_gastos'!B13="","",'Registrar recibidas_gastos'!B13)</f>
        <v/>
      </c>
      <c r="C13" s="61" t="str">
        <f>IF('Registrar recibidas_gastos'!C13="","",VLOOKUP(CONCATENATE("ACTIVIDAD",'Registrar recibidas_gastos'!C13),'CODIGO-LITERAL'!$C:$D,2,FALSE))</f>
        <v/>
      </c>
      <c r="D13" s="60" t="str">
        <f>IF(OR(C13="C",C13="D"),"",IF(ISERROR(VLOOKUP(CONCATENATE(C13,'Registrar recibidas_gastos'!D13),'CODIGO-LITERAL'!$C:$D,2,FALSE)),"",VLOOKUP(CONCATENATE(C13,'Registrar recibidas_gastos'!D13),'CODIGO-LITERAL'!$C:$D,2,FALSE)))</f>
        <v/>
      </c>
      <c r="E13" s="61" t="str">
        <f>IF('Registrar recibidas_gastos'!E13="","",'Registrar recibidas_gastos'!E13)</f>
        <v/>
      </c>
      <c r="F13" s="61" t="str">
        <f>IF('Registrar recibidas_gastos'!F13="","",VLOOKUP(CONCATENATE("TIPO FACTURA GASTO",'Registrar recibidas_gastos'!F13),'CODIGO-LITERAL'!$C:$D,2,FALSE))</f>
        <v/>
      </c>
      <c r="G13" s="62"/>
      <c r="H13" s="62"/>
      <c r="I13" s="67" t="str">
        <f>IF('Registrar recibidas_gastos'!I13="","",'Registrar recibidas_gastos'!I13)</f>
        <v/>
      </c>
      <c r="J13" s="67" t="str">
        <f>IF('Registrar recibidas_gastos'!J13="","",'Registrar recibidas_gastos'!J13)</f>
        <v/>
      </c>
      <c r="K13" s="61" t="str">
        <f>IF('Registrar recibidas_gastos'!K13="","",'Registrar recibidas_gastos'!K13)</f>
        <v/>
      </c>
      <c r="L13" s="61" t="str">
        <f>IF('Registrar recibidas_gastos'!L13="","",'Registrar recibidas_gastos'!L13)</f>
        <v/>
      </c>
      <c r="M13" s="67" t="str">
        <f>IF('Registrar recibidas_gastos'!M13="","",'Registrar recibidas_gastos'!M13)</f>
        <v/>
      </c>
      <c r="N13" s="61" t="str">
        <f>IF('Registrar recibidas_gastos'!N13="","",'Registrar recibidas_gastos'!N13)</f>
        <v/>
      </c>
      <c r="O13" s="61" t="str">
        <f>IF('Registrar recibidas_gastos'!O13="","",'Registrar recibidas_gastos'!O13)</f>
        <v/>
      </c>
      <c r="P13" s="61" t="str">
        <f>IF(OR(LEFT('Registrar recibidas_gastos'!P13,2)="01",'Registrar recibidas_gastos'!P13=""),"",VLOOKUP(CONCATENATE("TIPO NIF",'Registrar recibidas_gastos'!P13),'CODIGO-LITERAL'!$C:$D,2,FALSE))</f>
        <v/>
      </c>
      <c r="Q13" s="61" t="str">
        <f>IF('Registrar recibidas_gastos'!Q13="","",'Registrar recibidas_gastos'!Q13)</f>
        <v/>
      </c>
      <c r="R13" s="61" t="str">
        <f>IF('Registrar recibidas_gastos'!R13="","",'Registrar recibidas_gastos'!R13)</f>
        <v/>
      </c>
      <c r="S13" s="61" t="str">
        <f>IF('Registrar recibidas_gastos'!S13="","",'Registrar recibidas_gastos'!S13)</f>
        <v/>
      </c>
      <c r="T13" s="61" t="str">
        <f>IF('Registrar recibidas_gastos'!T13="","",VLOOKUP(CONCATENATE("CLAVE OPERACION GASTO",'Registrar recibidas_gastos'!T13),'CODIGO-LITERAL'!$C:$D,2,FALSE))</f>
        <v/>
      </c>
      <c r="U13" s="61" t="str">
        <f>IF(T13="","",IF(OR(T13="02",T13="08"),"N",IF('Registrar recibidas_gastos'!U13="","N",'Registrar recibidas_gastos'!U13)))</f>
        <v/>
      </c>
      <c r="V13" s="61" t="str">
        <f>IF(T13="","",IF(OR(T13="07",T13="08",T13="09",F13="F5",F13="LC"),"N",IF('Registrar recibidas_gastos'!V13="","N",'Registrar recibidas_gastos'!V13)))</f>
        <v/>
      </c>
      <c r="W13" s="61" t="str">
        <f>IF(AND(X13="",Y13=""),"",IF(AND(RECIBIDAS_GASTOS!$X13&lt;&gt;"",RECIBIDAS_GASTOS!$Y13&lt;&gt;""),"S",IF('Registrar recibidas_gastos'!W13="","N",'Registrar recibidas_gastos'!W13)))</f>
        <v/>
      </c>
      <c r="X13" s="67" t="str">
        <f>IF('Registrar recibidas_gastos'!X13="","",'Registrar recibidas_gastos'!X13)</f>
        <v/>
      </c>
      <c r="Y13" s="61" t="str">
        <f>IF('Registrar recibidas_gastos'!Y13="","",'Registrar recibidas_gastos'!Y13)</f>
        <v/>
      </c>
      <c r="Z13" s="68" t="str">
        <f>IF('Registrar recibidas_gastos'!Z13="","",IF(AND(F13="",T13=""),"",IF(OR(T13="03",T13="05",T13="09"),AA13,SUM(AA13,AC13,AF13))))</f>
        <v/>
      </c>
      <c r="AA13" s="68" t="str">
        <f>IF('Registrar recibidas_gastos'!AA13="","",ROUND('Registrar recibidas_gastos'!AA13,2))</f>
        <v/>
      </c>
      <c r="AB13" s="61" t="str">
        <f>IF('Registrar recibidas_gastos'!AB13="","",'Registrar recibidas_gastos'!AB13)</f>
        <v/>
      </c>
      <c r="AC13" s="68" t="str">
        <f>IF(OR(T13="03",T13="05"),0,IF('Registrar recibidas_gastos'!AC13="","",ROUND(AA13*AB13/100,2)))</f>
        <v/>
      </c>
      <c r="AD13" s="68" t="str">
        <f>IF('Registrar recibidas_gastos'!AD13="","",ROUND('Registrar recibidas_gastos'!AD13,2))</f>
        <v/>
      </c>
      <c r="AE13" s="61" t="str">
        <f>IF('Registrar recibidas_gastos'!AE13="","",'Registrar recibidas_gastos'!AE13)</f>
        <v/>
      </c>
      <c r="AF13" s="68" t="str">
        <f>IF('Registrar recibidas_gastos'!AF13="","",ROUND(AA13*AE13/100,2))</f>
        <v/>
      </c>
      <c r="AG13" s="67" t="str">
        <f>IF('Registrar recibidas_gastos'!AG13="","",'Registrar recibidas_gastos'!AG13)</f>
        <v/>
      </c>
      <c r="AH13" s="68" t="str">
        <f>IF('Registrar recibidas_gastos'!AH13="","",'Registrar recibidas_gastos'!AH13)</f>
        <v/>
      </c>
      <c r="AI13" s="61" t="str">
        <f>IF('Registrar recibidas_gastos'!AI13="","",VLOOKUP(CONCATENATE("MEDIO UTILIZADO",'Registrar recibidas_gastos'!AI13),'CODIGO-LITERAL'!$C:$D,2,FALSE))</f>
        <v/>
      </c>
      <c r="AJ13" s="61" t="str">
        <f>IF('Registrar recibidas_gastos'!AJ13="","",'Registrar recibidas_gastos'!AJ13)</f>
        <v/>
      </c>
      <c r="AK13" s="62"/>
      <c r="AL13" s="69"/>
      <c r="AM13" s="61" t="str">
        <f>IF('Registrar recibidas_gastos'!AM13="","",'Registrar recibidas_gastos'!AM13)</f>
        <v/>
      </c>
      <c r="AN13" s="61" t="str">
        <f>IF('Registrar recibidas_gastos'!AN13="","",VLOOKUP(CONCATENATE("SITUACION",'Registrar recibidas_gastos'!AN13),'CODIGO-LITERAL'!$C:$D,2,FALSE))</f>
        <v/>
      </c>
      <c r="AO13" s="61" t="str">
        <f>IF('Registrar recibidas_gastos'!AO13="","",'Registrar recibidas_gastos'!AO13)</f>
        <v/>
      </c>
      <c r="AP13" s="61" t="str">
        <f>IF('Registrar recibidas_gastos'!AP13="","",'Registrar recibidas_gastos'!AP13)</f>
        <v/>
      </c>
    </row>
    <row r="14" spans="1:42" s="2" customFormat="1" x14ac:dyDescent="0.25">
      <c r="A14" s="66" t="str">
        <f>IF('Registrar recibidas_gastos'!A14="","",'Registrar recibidas_gastos'!A14)</f>
        <v/>
      </c>
      <c r="B14" s="61" t="str">
        <f>IF('Registrar recibidas_gastos'!B14="","",'Registrar recibidas_gastos'!B14)</f>
        <v/>
      </c>
      <c r="C14" s="61" t="str">
        <f>IF('Registrar recibidas_gastos'!C14="","",VLOOKUP(CONCATENATE("ACTIVIDAD",'Registrar recibidas_gastos'!C14),'CODIGO-LITERAL'!$C:$D,2,FALSE))</f>
        <v/>
      </c>
      <c r="D14" s="60" t="str">
        <f>IF(OR(C14="C",C14="D"),"",IF(ISERROR(VLOOKUP(CONCATENATE(C14,'Registrar recibidas_gastos'!D14),'CODIGO-LITERAL'!$C:$D,2,FALSE)),"",VLOOKUP(CONCATENATE(C14,'Registrar recibidas_gastos'!D14),'CODIGO-LITERAL'!$C:$D,2,FALSE)))</f>
        <v/>
      </c>
      <c r="E14" s="61" t="str">
        <f>IF('Registrar recibidas_gastos'!E14="","",'Registrar recibidas_gastos'!E14)</f>
        <v/>
      </c>
      <c r="F14" s="61" t="str">
        <f>IF('Registrar recibidas_gastos'!F14="","",VLOOKUP(CONCATENATE("TIPO FACTURA GASTO",'Registrar recibidas_gastos'!F14),'CODIGO-LITERAL'!$C:$D,2,FALSE))</f>
        <v/>
      </c>
      <c r="G14" s="62"/>
      <c r="H14" s="62"/>
      <c r="I14" s="67" t="str">
        <f>IF('Registrar recibidas_gastos'!I14="","",'Registrar recibidas_gastos'!I14)</f>
        <v/>
      </c>
      <c r="J14" s="67" t="str">
        <f>IF('Registrar recibidas_gastos'!J14="","",'Registrar recibidas_gastos'!J14)</f>
        <v/>
      </c>
      <c r="K14" s="61" t="str">
        <f>IF('Registrar recibidas_gastos'!K14="","",'Registrar recibidas_gastos'!K14)</f>
        <v/>
      </c>
      <c r="L14" s="61" t="str">
        <f>IF('Registrar recibidas_gastos'!L14="","",'Registrar recibidas_gastos'!L14)</f>
        <v/>
      </c>
      <c r="M14" s="67" t="str">
        <f>IF('Registrar recibidas_gastos'!M14="","",'Registrar recibidas_gastos'!M14)</f>
        <v/>
      </c>
      <c r="N14" s="61" t="str">
        <f>IF('Registrar recibidas_gastos'!N14="","",'Registrar recibidas_gastos'!N14)</f>
        <v/>
      </c>
      <c r="O14" s="61" t="str">
        <f>IF('Registrar recibidas_gastos'!O14="","",'Registrar recibidas_gastos'!O14)</f>
        <v/>
      </c>
      <c r="P14" s="61" t="str">
        <f>IF(OR(LEFT('Registrar recibidas_gastos'!P14,2)="01",'Registrar recibidas_gastos'!P14=""),"",VLOOKUP(CONCATENATE("TIPO NIF",'Registrar recibidas_gastos'!P14),'CODIGO-LITERAL'!$C:$D,2,FALSE))</f>
        <v/>
      </c>
      <c r="Q14" s="61" t="str">
        <f>IF('Registrar recibidas_gastos'!Q14="","",'Registrar recibidas_gastos'!Q14)</f>
        <v/>
      </c>
      <c r="R14" s="61" t="str">
        <f>IF('Registrar recibidas_gastos'!R14="","",'Registrar recibidas_gastos'!R14)</f>
        <v/>
      </c>
      <c r="S14" s="61" t="str">
        <f>IF('Registrar recibidas_gastos'!S14="","",'Registrar recibidas_gastos'!S14)</f>
        <v/>
      </c>
      <c r="T14" s="61" t="str">
        <f>IF('Registrar recibidas_gastos'!T14="","",VLOOKUP(CONCATENATE("CLAVE OPERACION GASTO",'Registrar recibidas_gastos'!T14),'CODIGO-LITERAL'!$C:$D,2,FALSE))</f>
        <v/>
      </c>
      <c r="U14" s="61" t="str">
        <f>IF(T14="","",IF(OR(T14="02",T14="08"),"N",IF('Registrar recibidas_gastos'!U14="","N",'Registrar recibidas_gastos'!U14)))</f>
        <v/>
      </c>
      <c r="V14" s="61" t="str">
        <f>IF(T14="","",IF(OR(T14="07",T14="08",T14="09",F14="F5",F14="LC"),"N",IF('Registrar recibidas_gastos'!V14="","N",'Registrar recibidas_gastos'!V14)))</f>
        <v/>
      </c>
      <c r="W14" s="61" t="str">
        <f>IF(AND(X14="",Y14=""),"",IF(AND(RECIBIDAS_GASTOS!$X14&lt;&gt;"",RECIBIDAS_GASTOS!$Y14&lt;&gt;""),"S",IF('Registrar recibidas_gastos'!W14="","N",'Registrar recibidas_gastos'!W14)))</f>
        <v/>
      </c>
      <c r="X14" s="67" t="str">
        <f>IF('Registrar recibidas_gastos'!X14="","",'Registrar recibidas_gastos'!X14)</f>
        <v/>
      </c>
      <c r="Y14" s="61" t="str">
        <f>IF('Registrar recibidas_gastos'!Y14="","",'Registrar recibidas_gastos'!Y14)</f>
        <v/>
      </c>
      <c r="Z14" s="68" t="str">
        <f>IF('Registrar recibidas_gastos'!Z14="","",IF(AND(F14="",T14=""),"",IF(OR(T14="03",T14="05",T14="09"),AA14,SUM(AA14,AC14,AF14))))</f>
        <v/>
      </c>
      <c r="AA14" s="68" t="str">
        <f>IF('Registrar recibidas_gastos'!AA14="","",ROUND('Registrar recibidas_gastos'!AA14,2))</f>
        <v/>
      </c>
      <c r="AB14" s="61" t="str">
        <f>IF('Registrar recibidas_gastos'!AB14="","",'Registrar recibidas_gastos'!AB14)</f>
        <v/>
      </c>
      <c r="AC14" s="68" t="str">
        <f>IF(OR(T14="03",T14="05"),0,IF('Registrar recibidas_gastos'!AC14="","",ROUND(AA14*AB14/100,2)))</f>
        <v/>
      </c>
      <c r="AD14" s="68" t="str">
        <f>IF('Registrar recibidas_gastos'!AD14="","",ROUND('Registrar recibidas_gastos'!AD14,2))</f>
        <v/>
      </c>
      <c r="AE14" s="61" t="str">
        <f>IF('Registrar recibidas_gastos'!AE14="","",'Registrar recibidas_gastos'!AE14)</f>
        <v/>
      </c>
      <c r="AF14" s="68" t="str">
        <f>IF('Registrar recibidas_gastos'!AF14="","",ROUND(AA14*AE14/100,2))</f>
        <v/>
      </c>
      <c r="AG14" s="67" t="str">
        <f>IF('Registrar recibidas_gastos'!AG14="","",'Registrar recibidas_gastos'!AG14)</f>
        <v/>
      </c>
      <c r="AH14" s="68" t="str">
        <f>IF('Registrar recibidas_gastos'!AH14="","",'Registrar recibidas_gastos'!AH14)</f>
        <v/>
      </c>
      <c r="AI14" s="61" t="str">
        <f>IF('Registrar recibidas_gastos'!AI14="","",VLOOKUP(CONCATENATE("MEDIO UTILIZADO",'Registrar recibidas_gastos'!AI14),'CODIGO-LITERAL'!$C:$D,2,FALSE))</f>
        <v/>
      </c>
      <c r="AJ14" s="61" t="str">
        <f>IF('Registrar recibidas_gastos'!AJ14="","",'Registrar recibidas_gastos'!AJ14)</f>
        <v/>
      </c>
      <c r="AK14" s="62"/>
      <c r="AL14" s="69"/>
      <c r="AM14" s="61" t="str">
        <f>IF('Registrar recibidas_gastos'!AM14="","",'Registrar recibidas_gastos'!AM14)</f>
        <v/>
      </c>
      <c r="AN14" s="61" t="str">
        <f>IF('Registrar recibidas_gastos'!AN14="","",VLOOKUP(CONCATENATE("SITUACION",'Registrar recibidas_gastos'!AN14),'CODIGO-LITERAL'!$C:$D,2,FALSE))</f>
        <v/>
      </c>
      <c r="AO14" s="61" t="str">
        <f>IF('Registrar recibidas_gastos'!AO14="","",'Registrar recibidas_gastos'!AO14)</f>
        <v/>
      </c>
      <c r="AP14" s="61" t="str">
        <f>IF('Registrar recibidas_gastos'!AP14="","",'Registrar recibidas_gastos'!AP14)</f>
        <v/>
      </c>
    </row>
    <row r="15" spans="1:42" s="2" customFormat="1" x14ac:dyDescent="0.25">
      <c r="A15" s="66" t="str">
        <f>IF('Registrar recibidas_gastos'!A15="","",'Registrar recibidas_gastos'!A15)</f>
        <v/>
      </c>
      <c r="B15" s="61" t="str">
        <f>IF('Registrar recibidas_gastos'!B15="","",'Registrar recibidas_gastos'!B15)</f>
        <v/>
      </c>
      <c r="C15" s="61" t="str">
        <f>IF('Registrar recibidas_gastos'!C15="","",VLOOKUP(CONCATENATE("ACTIVIDAD",'Registrar recibidas_gastos'!C15),'CODIGO-LITERAL'!$C:$D,2,FALSE))</f>
        <v/>
      </c>
      <c r="D15" s="60" t="str">
        <f>IF(OR(C15="C",C15="D"),"",IF(ISERROR(VLOOKUP(CONCATENATE(C15,'Registrar recibidas_gastos'!D15),'CODIGO-LITERAL'!$C:$D,2,FALSE)),"",VLOOKUP(CONCATENATE(C15,'Registrar recibidas_gastos'!D15),'CODIGO-LITERAL'!$C:$D,2,FALSE)))</f>
        <v/>
      </c>
      <c r="E15" s="61" t="str">
        <f>IF('Registrar recibidas_gastos'!E15="","",'Registrar recibidas_gastos'!E15)</f>
        <v/>
      </c>
      <c r="F15" s="61" t="str">
        <f>IF('Registrar recibidas_gastos'!F15="","",VLOOKUP(CONCATENATE("TIPO FACTURA GASTO",'Registrar recibidas_gastos'!F15),'CODIGO-LITERAL'!$C:$D,2,FALSE))</f>
        <v/>
      </c>
      <c r="G15" s="62"/>
      <c r="H15" s="62"/>
      <c r="I15" s="67" t="str">
        <f>IF('Registrar recibidas_gastos'!I15="","",'Registrar recibidas_gastos'!I15)</f>
        <v/>
      </c>
      <c r="J15" s="67" t="str">
        <f>IF('Registrar recibidas_gastos'!J15="","",'Registrar recibidas_gastos'!J15)</f>
        <v/>
      </c>
      <c r="K15" s="61" t="str">
        <f>IF('Registrar recibidas_gastos'!K15="","",'Registrar recibidas_gastos'!K15)</f>
        <v/>
      </c>
      <c r="L15" s="61" t="str">
        <f>IF('Registrar recibidas_gastos'!L15="","",'Registrar recibidas_gastos'!L15)</f>
        <v/>
      </c>
      <c r="M15" s="67" t="str">
        <f>IF('Registrar recibidas_gastos'!M15="","",'Registrar recibidas_gastos'!M15)</f>
        <v/>
      </c>
      <c r="N15" s="61" t="str">
        <f>IF('Registrar recibidas_gastos'!N15="","",'Registrar recibidas_gastos'!N15)</f>
        <v/>
      </c>
      <c r="O15" s="61" t="str">
        <f>IF('Registrar recibidas_gastos'!O15="","",'Registrar recibidas_gastos'!O15)</f>
        <v/>
      </c>
      <c r="P15" s="61" t="str">
        <f>IF(OR(LEFT('Registrar recibidas_gastos'!P15,2)="01",'Registrar recibidas_gastos'!P15=""),"",VLOOKUP(CONCATENATE("TIPO NIF",'Registrar recibidas_gastos'!P15),'CODIGO-LITERAL'!$C:$D,2,FALSE))</f>
        <v/>
      </c>
      <c r="Q15" s="61" t="str">
        <f>IF('Registrar recibidas_gastos'!Q15="","",'Registrar recibidas_gastos'!Q15)</f>
        <v/>
      </c>
      <c r="R15" s="61" t="str">
        <f>IF('Registrar recibidas_gastos'!R15="","",'Registrar recibidas_gastos'!R15)</f>
        <v/>
      </c>
      <c r="S15" s="61" t="str">
        <f>IF('Registrar recibidas_gastos'!S15="","",'Registrar recibidas_gastos'!S15)</f>
        <v/>
      </c>
      <c r="T15" s="61" t="str">
        <f>IF('Registrar recibidas_gastos'!T15="","",VLOOKUP(CONCATENATE("CLAVE OPERACION GASTO",'Registrar recibidas_gastos'!T15),'CODIGO-LITERAL'!$C:$D,2,FALSE))</f>
        <v/>
      </c>
      <c r="U15" s="61" t="str">
        <f>IF(T15="","",IF(OR(T15="02",T15="08"),"N",IF('Registrar recibidas_gastos'!U15="","N",'Registrar recibidas_gastos'!U15)))</f>
        <v/>
      </c>
      <c r="V15" s="61" t="str">
        <f>IF(T15="","",IF(OR(T15="07",T15="08",T15="09",F15="F5",F15="LC"),"N",IF('Registrar recibidas_gastos'!V15="","N",'Registrar recibidas_gastos'!V15)))</f>
        <v/>
      </c>
      <c r="W15" s="61" t="str">
        <f>IF(AND(X15="",Y15=""),"",IF(AND(RECIBIDAS_GASTOS!$X15&lt;&gt;"",RECIBIDAS_GASTOS!$Y15&lt;&gt;""),"S",IF('Registrar recibidas_gastos'!W15="","N",'Registrar recibidas_gastos'!W15)))</f>
        <v/>
      </c>
      <c r="X15" s="67" t="str">
        <f>IF('Registrar recibidas_gastos'!X15="","",'Registrar recibidas_gastos'!X15)</f>
        <v/>
      </c>
      <c r="Y15" s="61" t="str">
        <f>IF('Registrar recibidas_gastos'!Y15="","",'Registrar recibidas_gastos'!Y15)</f>
        <v/>
      </c>
      <c r="Z15" s="68" t="str">
        <f>IF('Registrar recibidas_gastos'!Z15="","",IF(AND(F15="",T15=""),"",IF(OR(T15="03",T15="05",T15="09"),AA15,SUM(AA15,AC15,AF15))))</f>
        <v/>
      </c>
      <c r="AA15" s="68" t="str">
        <f>IF('Registrar recibidas_gastos'!AA15="","",ROUND('Registrar recibidas_gastos'!AA15,2))</f>
        <v/>
      </c>
      <c r="AB15" s="61" t="str">
        <f>IF('Registrar recibidas_gastos'!AB15="","",'Registrar recibidas_gastos'!AB15)</f>
        <v/>
      </c>
      <c r="AC15" s="68" t="str">
        <f>IF(OR(T15="03",T15="05"),0,IF('Registrar recibidas_gastos'!AC15="","",ROUND(AA15*AB15/100,2)))</f>
        <v/>
      </c>
      <c r="AD15" s="68" t="str">
        <f>IF('Registrar recibidas_gastos'!AD15="","",ROUND('Registrar recibidas_gastos'!AD15,2))</f>
        <v/>
      </c>
      <c r="AE15" s="61" t="str">
        <f>IF('Registrar recibidas_gastos'!AE15="","",'Registrar recibidas_gastos'!AE15)</f>
        <v/>
      </c>
      <c r="AF15" s="68" t="str">
        <f>IF('Registrar recibidas_gastos'!AF15="","",ROUND(AA15*AE15/100,2))</f>
        <v/>
      </c>
      <c r="AG15" s="67" t="str">
        <f>IF('Registrar recibidas_gastos'!AG15="","",'Registrar recibidas_gastos'!AG15)</f>
        <v/>
      </c>
      <c r="AH15" s="68" t="str">
        <f>IF('Registrar recibidas_gastos'!AH15="","",'Registrar recibidas_gastos'!AH15)</f>
        <v/>
      </c>
      <c r="AI15" s="61" t="str">
        <f>IF('Registrar recibidas_gastos'!AI15="","",VLOOKUP(CONCATENATE("MEDIO UTILIZADO",'Registrar recibidas_gastos'!AI15),'CODIGO-LITERAL'!$C:$D,2,FALSE))</f>
        <v/>
      </c>
      <c r="AJ15" s="61" t="str">
        <f>IF('Registrar recibidas_gastos'!AJ15="","",'Registrar recibidas_gastos'!AJ15)</f>
        <v/>
      </c>
      <c r="AK15" s="62"/>
      <c r="AL15" s="69"/>
      <c r="AM15" s="61" t="str">
        <f>IF('Registrar recibidas_gastos'!AM15="","",'Registrar recibidas_gastos'!AM15)</f>
        <v/>
      </c>
      <c r="AN15" s="61" t="str">
        <f>IF('Registrar recibidas_gastos'!AN15="","",VLOOKUP(CONCATENATE("SITUACION",'Registrar recibidas_gastos'!AN15),'CODIGO-LITERAL'!$C:$D,2,FALSE))</f>
        <v/>
      </c>
      <c r="AO15" s="61" t="str">
        <f>IF('Registrar recibidas_gastos'!AO15="","",'Registrar recibidas_gastos'!AO15)</f>
        <v/>
      </c>
      <c r="AP15" s="61" t="str">
        <f>IF('Registrar recibidas_gastos'!AP15="","",'Registrar recibidas_gastos'!AP15)</f>
        <v/>
      </c>
    </row>
    <row r="16" spans="1:42" s="2" customFormat="1" x14ac:dyDescent="0.25">
      <c r="A16" s="66" t="str">
        <f>IF('Registrar recibidas_gastos'!A16="","",'Registrar recibidas_gastos'!A16)</f>
        <v/>
      </c>
      <c r="B16" s="61" t="str">
        <f>IF('Registrar recibidas_gastos'!B16="","",'Registrar recibidas_gastos'!B16)</f>
        <v/>
      </c>
      <c r="C16" s="61" t="str">
        <f>IF('Registrar recibidas_gastos'!C16="","",VLOOKUP(CONCATENATE("ACTIVIDAD",'Registrar recibidas_gastos'!C16),'CODIGO-LITERAL'!$C:$D,2,FALSE))</f>
        <v/>
      </c>
      <c r="D16" s="60" t="str">
        <f>IF(OR(C16="C",C16="D"),"",IF(ISERROR(VLOOKUP(CONCATENATE(C16,'Registrar recibidas_gastos'!D16),'CODIGO-LITERAL'!$C:$D,2,FALSE)),"",VLOOKUP(CONCATENATE(C16,'Registrar recibidas_gastos'!D16),'CODIGO-LITERAL'!$C:$D,2,FALSE)))</f>
        <v/>
      </c>
      <c r="E16" s="61" t="str">
        <f>IF('Registrar recibidas_gastos'!E16="","",'Registrar recibidas_gastos'!E16)</f>
        <v/>
      </c>
      <c r="F16" s="61" t="str">
        <f>IF('Registrar recibidas_gastos'!F16="","",VLOOKUP(CONCATENATE("TIPO FACTURA GASTO",'Registrar recibidas_gastos'!F16),'CODIGO-LITERAL'!$C:$D,2,FALSE))</f>
        <v/>
      </c>
      <c r="G16" s="62"/>
      <c r="H16" s="62"/>
      <c r="I16" s="67" t="str">
        <f>IF('Registrar recibidas_gastos'!I16="","",'Registrar recibidas_gastos'!I16)</f>
        <v/>
      </c>
      <c r="J16" s="67" t="str">
        <f>IF('Registrar recibidas_gastos'!J16="","",'Registrar recibidas_gastos'!J16)</f>
        <v/>
      </c>
      <c r="K16" s="61" t="str">
        <f>IF('Registrar recibidas_gastos'!K16="","",'Registrar recibidas_gastos'!K16)</f>
        <v/>
      </c>
      <c r="L16" s="61" t="str">
        <f>IF('Registrar recibidas_gastos'!L16="","",'Registrar recibidas_gastos'!L16)</f>
        <v/>
      </c>
      <c r="M16" s="67" t="str">
        <f>IF('Registrar recibidas_gastos'!M16="","",'Registrar recibidas_gastos'!M16)</f>
        <v/>
      </c>
      <c r="N16" s="61" t="str">
        <f>IF('Registrar recibidas_gastos'!N16="","",'Registrar recibidas_gastos'!N16)</f>
        <v/>
      </c>
      <c r="O16" s="61" t="str">
        <f>IF('Registrar recibidas_gastos'!O16="","",'Registrar recibidas_gastos'!O16)</f>
        <v/>
      </c>
      <c r="P16" s="61" t="str">
        <f>IF(OR(LEFT('Registrar recibidas_gastos'!P16,2)="01",'Registrar recibidas_gastos'!P16=""),"",VLOOKUP(CONCATENATE("TIPO NIF",'Registrar recibidas_gastos'!P16),'CODIGO-LITERAL'!$C:$D,2,FALSE))</f>
        <v/>
      </c>
      <c r="Q16" s="61" t="str">
        <f>IF('Registrar recibidas_gastos'!Q16="","",'Registrar recibidas_gastos'!Q16)</f>
        <v/>
      </c>
      <c r="R16" s="61" t="str">
        <f>IF('Registrar recibidas_gastos'!R16="","",'Registrar recibidas_gastos'!R16)</f>
        <v/>
      </c>
      <c r="S16" s="61" t="str">
        <f>IF('Registrar recibidas_gastos'!S16="","",'Registrar recibidas_gastos'!S16)</f>
        <v/>
      </c>
      <c r="T16" s="61" t="str">
        <f>IF('Registrar recibidas_gastos'!T16="","",VLOOKUP(CONCATENATE("CLAVE OPERACION GASTO",'Registrar recibidas_gastos'!T16),'CODIGO-LITERAL'!$C:$D,2,FALSE))</f>
        <v/>
      </c>
      <c r="U16" s="61" t="str">
        <f>IF(T16="","",IF(OR(T16="02",T16="08"),"N",IF('Registrar recibidas_gastos'!U16="","N",'Registrar recibidas_gastos'!U16)))</f>
        <v/>
      </c>
      <c r="V16" s="61" t="str">
        <f>IF(T16="","",IF(OR(T16="07",T16="08",T16="09",F16="F5",F16="LC"),"N",IF('Registrar recibidas_gastos'!V16="","N",'Registrar recibidas_gastos'!V16)))</f>
        <v/>
      </c>
      <c r="W16" s="61" t="str">
        <f>IF(AND(X16="",Y16=""),"",IF(AND(RECIBIDAS_GASTOS!$X16&lt;&gt;"",RECIBIDAS_GASTOS!$Y16&lt;&gt;""),"S",IF('Registrar recibidas_gastos'!W16="","N",'Registrar recibidas_gastos'!W16)))</f>
        <v/>
      </c>
      <c r="X16" s="67" t="str">
        <f>IF('Registrar recibidas_gastos'!X16="","",'Registrar recibidas_gastos'!X16)</f>
        <v/>
      </c>
      <c r="Y16" s="61" t="str">
        <f>IF('Registrar recibidas_gastos'!Y16="","",'Registrar recibidas_gastos'!Y16)</f>
        <v/>
      </c>
      <c r="Z16" s="68" t="str">
        <f>IF('Registrar recibidas_gastos'!Z16="","",IF(AND(F16="",T16=""),"",IF(OR(T16="03",T16="05",T16="09"),AA16,SUM(AA16,AC16,AF16))))</f>
        <v/>
      </c>
      <c r="AA16" s="68" t="str">
        <f>IF('Registrar recibidas_gastos'!AA16="","",ROUND('Registrar recibidas_gastos'!AA16,2))</f>
        <v/>
      </c>
      <c r="AB16" s="61" t="str">
        <f>IF('Registrar recibidas_gastos'!AB16="","",'Registrar recibidas_gastos'!AB16)</f>
        <v/>
      </c>
      <c r="AC16" s="68" t="str">
        <f>IF(OR(T16="03",T16="05"),0,IF('Registrar recibidas_gastos'!AC16="","",ROUND(AA16*AB16/100,2)))</f>
        <v/>
      </c>
      <c r="AD16" s="68" t="str">
        <f>IF('Registrar recibidas_gastos'!AD16="","",ROUND('Registrar recibidas_gastos'!AD16,2))</f>
        <v/>
      </c>
      <c r="AE16" s="61" t="str">
        <f>IF('Registrar recibidas_gastos'!AE16="","",'Registrar recibidas_gastos'!AE16)</f>
        <v/>
      </c>
      <c r="AF16" s="68" t="str">
        <f>IF('Registrar recibidas_gastos'!AF16="","",ROUND(AA16*AE16/100,2))</f>
        <v/>
      </c>
      <c r="AG16" s="67" t="str">
        <f>IF('Registrar recibidas_gastos'!AG16="","",'Registrar recibidas_gastos'!AG16)</f>
        <v/>
      </c>
      <c r="AH16" s="68" t="str">
        <f>IF('Registrar recibidas_gastos'!AH16="","",'Registrar recibidas_gastos'!AH16)</f>
        <v/>
      </c>
      <c r="AI16" s="61" t="str">
        <f>IF('Registrar recibidas_gastos'!AI16="","",VLOOKUP(CONCATENATE("MEDIO UTILIZADO",'Registrar recibidas_gastos'!AI16),'CODIGO-LITERAL'!$C:$D,2,FALSE))</f>
        <v/>
      </c>
      <c r="AJ16" s="61" t="str">
        <f>IF('Registrar recibidas_gastos'!AJ16="","",'Registrar recibidas_gastos'!AJ16)</f>
        <v/>
      </c>
      <c r="AK16" s="62"/>
      <c r="AL16" s="69"/>
      <c r="AM16" s="61" t="str">
        <f>IF('Registrar recibidas_gastos'!AM16="","",'Registrar recibidas_gastos'!AM16)</f>
        <v/>
      </c>
      <c r="AN16" s="61" t="str">
        <f>IF('Registrar recibidas_gastos'!AN16="","",VLOOKUP(CONCATENATE("SITUACION",'Registrar recibidas_gastos'!AN16),'CODIGO-LITERAL'!$C:$D,2,FALSE))</f>
        <v/>
      </c>
      <c r="AO16" s="61" t="str">
        <f>IF('Registrar recibidas_gastos'!AO16="","",'Registrar recibidas_gastos'!AO16)</f>
        <v/>
      </c>
      <c r="AP16" s="61" t="str">
        <f>IF('Registrar recibidas_gastos'!AP16="","",'Registrar recibidas_gastos'!AP16)</f>
        <v/>
      </c>
    </row>
    <row r="17" spans="1:42" s="2" customFormat="1" x14ac:dyDescent="0.25">
      <c r="A17" s="66" t="str">
        <f>IF('Registrar recibidas_gastos'!A17="","",'Registrar recibidas_gastos'!A17)</f>
        <v/>
      </c>
      <c r="B17" s="61" t="str">
        <f>IF('Registrar recibidas_gastos'!B17="","",'Registrar recibidas_gastos'!B17)</f>
        <v/>
      </c>
      <c r="C17" s="61" t="str">
        <f>IF('Registrar recibidas_gastos'!C17="","",VLOOKUP(CONCATENATE("ACTIVIDAD",'Registrar recibidas_gastos'!C17),'CODIGO-LITERAL'!$C:$D,2,FALSE))</f>
        <v/>
      </c>
      <c r="D17" s="60" t="str">
        <f>IF(OR(C17="C",C17="D"),"",IF(ISERROR(VLOOKUP(CONCATENATE(C17,'Registrar recibidas_gastos'!D17),'CODIGO-LITERAL'!$C:$D,2,FALSE)),"",VLOOKUP(CONCATENATE(C17,'Registrar recibidas_gastos'!D17),'CODIGO-LITERAL'!$C:$D,2,FALSE)))</f>
        <v/>
      </c>
      <c r="E17" s="61" t="str">
        <f>IF('Registrar recibidas_gastos'!E17="","",'Registrar recibidas_gastos'!E17)</f>
        <v/>
      </c>
      <c r="F17" s="61" t="str">
        <f>IF('Registrar recibidas_gastos'!F17="","",VLOOKUP(CONCATENATE("TIPO FACTURA GASTO",'Registrar recibidas_gastos'!F17),'CODIGO-LITERAL'!$C:$D,2,FALSE))</f>
        <v/>
      </c>
      <c r="G17" s="62"/>
      <c r="H17" s="62"/>
      <c r="I17" s="67" t="str">
        <f>IF('Registrar recibidas_gastos'!I17="","",'Registrar recibidas_gastos'!I17)</f>
        <v/>
      </c>
      <c r="J17" s="67" t="str">
        <f>IF('Registrar recibidas_gastos'!J17="","",'Registrar recibidas_gastos'!J17)</f>
        <v/>
      </c>
      <c r="K17" s="61" t="str">
        <f>IF('Registrar recibidas_gastos'!K17="","",'Registrar recibidas_gastos'!K17)</f>
        <v/>
      </c>
      <c r="L17" s="61" t="str">
        <f>IF('Registrar recibidas_gastos'!L17="","",'Registrar recibidas_gastos'!L17)</f>
        <v/>
      </c>
      <c r="M17" s="67" t="str">
        <f>IF('Registrar recibidas_gastos'!M17="","",'Registrar recibidas_gastos'!M17)</f>
        <v/>
      </c>
      <c r="N17" s="61" t="str">
        <f>IF('Registrar recibidas_gastos'!N17="","",'Registrar recibidas_gastos'!N17)</f>
        <v/>
      </c>
      <c r="O17" s="61" t="str">
        <f>IF('Registrar recibidas_gastos'!O17="","",'Registrar recibidas_gastos'!O17)</f>
        <v/>
      </c>
      <c r="P17" s="61" t="str">
        <f>IF(OR(LEFT('Registrar recibidas_gastos'!P17,2)="01",'Registrar recibidas_gastos'!P17=""),"",VLOOKUP(CONCATENATE("TIPO NIF",'Registrar recibidas_gastos'!P17),'CODIGO-LITERAL'!$C:$D,2,FALSE))</f>
        <v/>
      </c>
      <c r="Q17" s="61" t="str">
        <f>IF('Registrar recibidas_gastos'!Q17="","",'Registrar recibidas_gastos'!Q17)</f>
        <v/>
      </c>
      <c r="R17" s="61" t="str">
        <f>IF('Registrar recibidas_gastos'!R17="","",'Registrar recibidas_gastos'!R17)</f>
        <v/>
      </c>
      <c r="S17" s="61" t="str">
        <f>IF('Registrar recibidas_gastos'!S17="","",'Registrar recibidas_gastos'!S17)</f>
        <v/>
      </c>
      <c r="T17" s="61" t="str">
        <f>IF('Registrar recibidas_gastos'!T17="","",VLOOKUP(CONCATENATE("CLAVE OPERACION GASTO",'Registrar recibidas_gastos'!T17),'CODIGO-LITERAL'!$C:$D,2,FALSE))</f>
        <v/>
      </c>
      <c r="U17" s="61" t="str">
        <f>IF(T17="","",IF(OR(T17="02",T17="08"),"N",IF('Registrar recibidas_gastos'!U17="","N",'Registrar recibidas_gastos'!U17)))</f>
        <v/>
      </c>
      <c r="V17" s="61" t="str">
        <f>IF(T17="","",IF(OR(T17="07",T17="08",T17="09",F17="F5",F17="LC"),"N",IF('Registrar recibidas_gastos'!V17="","N",'Registrar recibidas_gastos'!V17)))</f>
        <v/>
      </c>
      <c r="W17" s="61" t="str">
        <f>IF(AND(X17="",Y17=""),"",IF(AND(RECIBIDAS_GASTOS!$X17&lt;&gt;"",RECIBIDAS_GASTOS!$Y17&lt;&gt;""),"S",IF('Registrar recibidas_gastos'!W17="","N",'Registrar recibidas_gastos'!W17)))</f>
        <v/>
      </c>
      <c r="X17" s="67" t="str">
        <f>IF('Registrar recibidas_gastos'!X17="","",'Registrar recibidas_gastos'!X17)</f>
        <v/>
      </c>
      <c r="Y17" s="61" t="str">
        <f>IF('Registrar recibidas_gastos'!Y17="","",'Registrar recibidas_gastos'!Y17)</f>
        <v/>
      </c>
      <c r="Z17" s="68" t="str">
        <f>IF('Registrar recibidas_gastos'!Z17="","",IF(AND(F17="",T17=""),"",IF(OR(T17="03",T17="05",T17="09"),AA17,SUM(AA17,AC17,AF17))))</f>
        <v/>
      </c>
      <c r="AA17" s="68" t="str">
        <f>IF('Registrar recibidas_gastos'!AA17="","",ROUND('Registrar recibidas_gastos'!AA17,2))</f>
        <v/>
      </c>
      <c r="AB17" s="61" t="str">
        <f>IF('Registrar recibidas_gastos'!AB17="","",'Registrar recibidas_gastos'!AB17)</f>
        <v/>
      </c>
      <c r="AC17" s="68" t="str">
        <f>IF(OR(T17="03",T17="05"),0,IF('Registrar recibidas_gastos'!AC17="","",ROUND(AA17*AB17/100,2)))</f>
        <v/>
      </c>
      <c r="AD17" s="68" t="str">
        <f>IF('Registrar recibidas_gastos'!AD17="","",ROUND('Registrar recibidas_gastos'!AD17,2))</f>
        <v/>
      </c>
      <c r="AE17" s="61" t="str">
        <f>IF('Registrar recibidas_gastos'!AE17="","",'Registrar recibidas_gastos'!AE17)</f>
        <v/>
      </c>
      <c r="AF17" s="68" t="str">
        <f>IF('Registrar recibidas_gastos'!AF17="","",ROUND(AA17*AE17/100,2))</f>
        <v/>
      </c>
      <c r="AG17" s="67" t="str">
        <f>IF('Registrar recibidas_gastos'!AG17="","",'Registrar recibidas_gastos'!AG17)</f>
        <v/>
      </c>
      <c r="AH17" s="68" t="str">
        <f>IF('Registrar recibidas_gastos'!AH17="","",'Registrar recibidas_gastos'!AH17)</f>
        <v/>
      </c>
      <c r="AI17" s="61" t="str">
        <f>IF('Registrar recibidas_gastos'!AI17="","",VLOOKUP(CONCATENATE("MEDIO UTILIZADO",'Registrar recibidas_gastos'!AI17),'CODIGO-LITERAL'!$C:$D,2,FALSE))</f>
        <v/>
      </c>
      <c r="AJ17" s="61" t="str">
        <f>IF('Registrar recibidas_gastos'!AJ17="","",'Registrar recibidas_gastos'!AJ17)</f>
        <v/>
      </c>
      <c r="AK17" s="62"/>
      <c r="AL17" s="69"/>
      <c r="AM17" s="61" t="str">
        <f>IF('Registrar recibidas_gastos'!AM17="","",'Registrar recibidas_gastos'!AM17)</f>
        <v/>
      </c>
      <c r="AN17" s="61" t="str">
        <f>IF('Registrar recibidas_gastos'!AN17="","",VLOOKUP(CONCATENATE("SITUACION",'Registrar recibidas_gastos'!AN17),'CODIGO-LITERAL'!$C:$D,2,FALSE))</f>
        <v/>
      </c>
      <c r="AO17" s="61" t="str">
        <f>IF('Registrar recibidas_gastos'!AO17="","",'Registrar recibidas_gastos'!AO17)</f>
        <v/>
      </c>
      <c r="AP17" s="61" t="str">
        <f>IF('Registrar recibidas_gastos'!AP17="","",'Registrar recibidas_gastos'!AP17)</f>
        <v/>
      </c>
    </row>
    <row r="18" spans="1:42" s="2" customFormat="1" x14ac:dyDescent="0.25">
      <c r="A18" s="66" t="str">
        <f>IF('Registrar recibidas_gastos'!A18="","",'Registrar recibidas_gastos'!A18)</f>
        <v/>
      </c>
      <c r="B18" s="61" t="str">
        <f>IF('Registrar recibidas_gastos'!B18="","",'Registrar recibidas_gastos'!B18)</f>
        <v/>
      </c>
      <c r="C18" s="61" t="str">
        <f>IF('Registrar recibidas_gastos'!C18="","",VLOOKUP(CONCATENATE("ACTIVIDAD",'Registrar recibidas_gastos'!C18),'CODIGO-LITERAL'!$C:$D,2,FALSE))</f>
        <v/>
      </c>
      <c r="D18" s="60" t="str">
        <f>IF(OR(C18="C",C18="D"),"",IF(ISERROR(VLOOKUP(CONCATENATE(C18,'Registrar recibidas_gastos'!D18),'CODIGO-LITERAL'!$C:$D,2,FALSE)),"",VLOOKUP(CONCATENATE(C18,'Registrar recibidas_gastos'!D18),'CODIGO-LITERAL'!$C:$D,2,FALSE)))</f>
        <v/>
      </c>
      <c r="E18" s="61" t="str">
        <f>IF('Registrar recibidas_gastos'!E18="","",'Registrar recibidas_gastos'!E18)</f>
        <v/>
      </c>
      <c r="F18" s="61" t="str">
        <f>IF('Registrar recibidas_gastos'!F18="","",VLOOKUP(CONCATENATE("TIPO FACTURA GASTO",'Registrar recibidas_gastos'!F18),'CODIGO-LITERAL'!$C:$D,2,FALSE))</f>
        <v/>
      </c>
      <c r="G18" s="62"/>
      <c r="H18" s="62"/>
      <c r="I18" s="67" t="str">
        <f>IF('Registrar recibidas_gastos'!I18="","",'Registrar recibidas_gastos'!I18)</f>
        <v/>
      </c>
      <c r="J18" s="67" t="str">
        <f>IF('Registrar recibidas_gastos'!J18="","",'Registrar recibidas_gastos'!J18)</f>
        <v/>
      </c>
      <c r="K18" s="61" t="str">
        <f>IF('Registrar recibidas_gastos'!K18="","",'Registrar recibidas_gastos'!K18)</f>
        <v/>
      </c>
      <c r="L18" s="61" t="str">
        <f>IF('Registrar recibidas_gastos'!L18="","",'Registrar recibidas_gastos'!L18)</f>
        <v/>
      </c>
      <c r="M18" s="67" t="str">
        <f>IF('Registrar recibidas_gastos'!M18="","",'Registrar recibidas_gastos'!M18)</f>
        <v/>
      </c>
      <c r="N18" s="61" t="str">
        <f>IF('Registrar recibidas_gastos'!N18="","",'Registrar recibidas_gastos'!N18)</f>
        <v/>
      </c>
      <c r="O18" s="61" t="str">
        <f>IF('Registrar recibidas_gastos'!O18="","",'Registrar recibidas_gastos'!O18)</f>
        <v/>
      </c>
      <c r="P18" s="61" t="str">
        <f>IF(OR(LEFT('Registrar recibidas_gastos'!P18,2)="01",'Registrar recibidas_gastos'!P18=""),"",VLOOKUP(CONCATENATE("TIPO NIF",'Registrar recibidas_gastos'!P18),'CODIGO-LITERAL'!$C:$D,2,FALSE))</f>
        <v/>
      </c>
      <c r="Q18" s="61" t="str">
        <f>IF('Registrar recibidas_gastos'!Q18="","",'Registrar recibidas_gastos'!Q18)</f>
        <v/>
      </c>
      <c r="R18" s="61" t="str">
        <f>IF('Registrar recibidas_gastos'!R18="","",'Registrar recibidas_gastos'!R18)</f>
        <v/>
      </c>
      <c r="S18" s="61" t="str">
        <f>IF('Registrar recibidas_gastos'!S18="","",'Registrar recibidas_gastos'!S18)</f>
        <v/>
      </c>
      <c r="T18" s="61" t="str">
        <f>IF('Registrar recibidas_gastos'!T18="","",VLOOKUP(CONCATENATE("CLAVE OPERACION GASTO",'Registrar recibidas_gastos'!T18),'CODIGO-LITERAL'!$C:$D,2,FALSE))</f>
        <v/>
      </c>
      <c r="U18" s="61" t="str">
        <f>IF(T18="","",IF(OR(T18="02",T18="08"),"N",IF('Registrar recibidas_gastos'!U18="","N",'Registrar recibidas_gastos'!U18)))</f>
        <v/>
      </c>
      <c r="V18" s="61" t="str">
        <f>IF(T18="","",IF(OR(T18="07",T18="08",T18="09",F18="F5",F18="LC"),"N",IF('Registrar recibidas_gastos'!V18="","N",'Registrar recibidas_gastos'!V18)))</f>
        <v/>
      </c>
      <c r="W18" s="61" t="str">
        <f>IF(AND(X18="",Y18=""),"",IF(AND(RECIBIDAS_GASTOS!$X18&lt;&gt;"",RECIBIDAS_GASTOS!$Y18&lt;&gt;""),"S",IF('Registrar recibidas_gastos'!W18="","N",'Registrar recibidas_gastos'!W18)))</f>
        <v/>
      </c>
      <c r="X18" s="67" t="str">
        <f>IF('Registrar recibidas_gastos'!X18="","",'Registrar recibidas_gastos'!X18)</f>
        <v/>
      </c>
      <c r="Y18" s="61" t="str">
        <f>IF('Registrar recibidas_gastos'!Y18="","",'Registrar recibidas_gastos'!Y18)</f>
        <v/>
      </c>
      <c r="Z18" s="68" t="str">
        <f>IF('Registrar recibidas_gastos'!Z18="","",IF(AND(F18="",T18=""),"",IF(OR(T18="03",T18="05",T18="09"),AA18,SUM(AA18,AC18,AF18))))</f>
        <v/>
      </c>
      <c r="AA18" s="68" t="str">
        <f>IF('Registrar recibidas_gastos'!AA18="","",ROUND('Registrar recibidas_gastos'!AA18,2))</f>
        <v/>
      </c>
      <c r="AB18" s="61" t="str">
        <f>IF('Registrar recibidas_gastos'!AB18="","",'Registrar recibidas_gastos'!AB18)</f>
        <v/>
      </c>
      <c r="AC18" s="68" t="str">
        <f>IF(OR(T18="03",T18="05"),0,IF('Registrar recibidas_gastos'!AC18="","",ROUND(AA18*AB18/100,2)))</f>
        <v/>
      </c>
      <c r="AD18" s="68" t="str">
        <f>IF('Registrar recibidas_gastos'!AD18="","",ROUND('Registrar recibidas_gastos'!AD18,2))</f>
        <v/>
      </c>
      <c r="AE18" s="61" t="str">
        <f>IF('Registrar recibidas_gastos'!AE18="","",'Registrar recibidas_gastos'!AE18)</f>
        <v/>
      </c>
      <c r="AF18" s="68" t="str">
        <f>IF('Registrar recibidas_gastos'!AF18="","",ROUND(AA18*AE18/100,2))</f>
        <v/>
      </c>
      <c r="AG18" s="67" t="str">
        <f>IF('Registrar recibidas_gastos'!AG18="","",'Registrar recibidas_gastos'!AG18)</f>
        <v/>
      </c>
      <c r="AH18" s="68" t="str">
        <f>IF('Registrar recibidas_gastos'!AH18="","",'Registrar recibidas_gastos'!AH18)</f>
        <v/>
      </c>
      <c r="AI18" s="61" t="str">
        <f>IF('Registrar recibidas_gastos'!AI18="","",VLOOKUP(CONCATENATE("MEDIO UTILIZADO",'Registrar recibidas_gastos'!AI18),'CODIGO-LITERAL'!$C:$D,2,FALSE))</f>
        <v/>
      </c>
      <c r="AJ18" s="61" t="str">
        <f>IF('Registrar recibidas_gastos'!AJ18="","",'Registrar recibidas_gastos'!AJ18)</f>
        <v/>
      </c>
      <c r="AK18" s="62"/>
      <c r="AL18" s="69"/>
      <c r="AM18" s="61" t="str">
        <f>IF('Registrar recibidas_gastos'!AM18="","",'Registrar recibidas_gastos'!AM18)</f>
        <v/>
      </c>
      <c r="AN18" s="61" t="str">
        <f>IF('Registrar recibidas_gastos'!AN18="","",VLOOKUP(CONCATENATE("SITUACION",'Registrar recibidas_gastos'!AN18),'CODIGO-LITERAL'!$C:$D,2,FALSE))</f>
        <v/>
      </c>
      <c r="AO18" s="61" t="str">
        <f>IF('Registrar recibidas_gastos'!AO18="","",'Registrar recibidas_gastos'!AO18)</f>
        <v/>
      </c>
      <c r="AP18" s="61" t="str">
        <f>IF('Registrar recibidas_gastos'!AP18="","",'Registrar recibidas_gastos'!AP18)</f>
        <v/>
      </c>
    </row>
    <row r="19" spans="1:42" s="2" customFormat="1" x14ac:dyDescent="0.25">
      <c r="A19" s="66" t="str">
        <f>IF('Registrar recibidas_gastos'!A19="","",'Registrar recibidas_gastos'!A19)</f>
        <v/>
      </c>
      <c r="B19" s="61" t="str">
        <f>IF('Registrar recibidas_gastos'!B19="","",'Registrar recibidas_gastos'!B19)</f>
        <v/>
      </c>
      <c r="C19" s="61" t="str">
        <f>IF('Registrar recibidas_gastos'!C19="","",VLOOKUP(CONCATENATE("ACTIVIDAD",'Registrar recibidas_gastos'!C19),'CODIGO-LITERAL'!$C:$D,2,FALSE))</f>
        <v/>
      </c>
      <c r="D19" s="60" t="str">
        <f>IF(OR(C19="C",C19="D"),"",IF(ISERROR(VLOOKUP(CONCATENATE(C19,'Registrar recibidas_gastos'!D19),'CODIGO-LITERAL'!$C:$D,2,FALSE)),"",VLOOKUP(CONCATENATE(C19,'Registrar recibidas_gastos'!D19),'CODIGO-LITERAL'!$C:$D,2,FALSE)))</f>
        <v/>
      </c>
      <c r="E19" s="61" t="str">
        <f>IF('Registrar recibidas_gastos'!E19="","",'Registrar recibidas_gastos'!E19)</f>
        <v/>
      </c>
      <c r="F19" s="61" t="str">
        <f>IF('Registrar recibidas_gastos'!F19="","",VLOOKUP(CONCATENATE("TIPO FACTURA GASTO",'Registrar recibidas_gastos'!F19),'CODIGO-LITERAL'!$C:$D,2,FALSE))</f>
        <v/>
      </c>
      <c r="G19" s="62"/>
      <c r="H19" s="62"/>
      <c r="I19" s="67" t="str">
        <f>IF('Registrar recibidas_gastos'!I19="","",'Registrar recibidas_gastos'!I19)</f>
        <v/>
      </c>
      <c r="J19" s="67" t="str">
        <f>IF('Registrar recibidas_gastos'!J19="","",'Registrar recibidas_gastos'!J19)</f>
        <v/>
      </c>
      <c r="K19" s="61" t="str">
        <f>IF('Registrar recibidas_gastos'!K19="","",'Registrar recibidas_gastos'!K19)</f>
        <v/>
      </c>
      <c r="L19" s="61" t="str">
        <f>IF('Registrar recibidas_gastos'!L19="","",'Registrar recibidas_gastos'!L19)</f>
        <v/>
      </c>
      <c r="M19" s="67" t="str">
        <f>IF('Registrar recibidas_gastos'!M19="","",'Registrar recibidas_gastos'!M19)</f>
        <v/>
      </c>
      <c r="N19" s="61" t="str">
        <f>IF('Registrar recibidas_gastos'!N19="","",'Registrar recibidas_gastos'!N19)</f>
        <v/>
      </c>
      <c r="O19" s="61" t="str">
        <f>IF('Registrar recibidas_gastos'!O19="","",'Registrar recibidas_gastos'!O19)</f>
        <v/>
      </c>
      <c r="P19" s="61" t="str">
        <f>IF(OR(LEFT('Registrar recibidas_gastos'!P19,2)="01",'Registrar recibidas_gastos'!P19=""),"",VLOOKUP(CONCATENATE("TIPO NIF",'Registrar recibidas_gastos'!P19),'CODIGO-LITERAL'!$C:$D,2,FALSE))</f>
        <v/>
      </c>
      <c r="Q19" s="61" t="str">
        <f>IF('Registrar recibidas_gastos'!Q19="","",'Registrar recibidas_gastos'!Q19)</f>
        <v/>
      </c>
      <c r="R19" s="61" t="str">
        <f>IF('Registrar recibidas_gastos'!R19="","",'Registrar recibidas_gastos'!R19)</f>
        <v/>
      </c>
      <c r="S19" s="61" t="str">
        <f>IF('Registrar recibidas_gastos'!S19="","",'Registrar recibidas_gastos'!S19)</f>
        <v/>
      </c>
      <c r="T19" s="61" t="str">
        <f>IF('Registrar recibidas_gastos'!T19="","",VLOOKUP(CONCATENATE("CLAVE OPERACION GASTO",'Registrar recibidas_gastos'!T19),'CODIGO-LITERAL'!$C:$D,2,FALSE))</f>
        <v/>
      </c>
      <c r="U19" s="61" t="str">
        <f>IF(T19="","",IF(OR(T19="02",T19="08"),"N",IF('Registrar recibidas_gastos'!U19="","N",'Registrar recibidas_gastos'!U19)))</f>
        <v/>
      </c>
      <c r="V19" s="61" t="str">
        <f>IF(T19="","",IF(OR(T19="07",T19="08",T19="09",F19="F5",F19="LC"),"N",IF('Registrar recibidas_gastos'!V19="","N",'Registrar recibidas_gastos'!V19)))</f>
        <v/>
      </c>
      <c r="W19" s="61" t="str">
        <f>IF(AND(X19="",Y19=""),"",IF(AND(RECIBIDAS_GASTOS!$X19&lt;&gt;"",RECIBIDAS_GASTOS!$Y19&lt;&gt;""),"S",IF('Registrar recibidas_gastos'!W19="","N",'Registrar recibidas_gastos'!W19)))</f>
        <v/>
      </c>
      <c r="X19" s="67" t="str">
        <f>IF('Registrar recibidas_gastos'!X19="","",'Registrar recibidas_gastos'!X19)</f>
        <v/>
      </c>
      <c r="Y19" s="61" t="str">
        <f>IF('Registrar recibidas_gastos'!Y19="","",'Registrar recibidas_gastos'!Y19)</f>
        <v/>
      </c>
      <c r="Z19" s="68" t="str">
        <f>IF('Registrar recibidas_gastos'!Z19="","",IF(AND(F19="",T19=""),"",IF(OR(T19="03",T19="05",T19="09"),AA19,SUM(AA19,AC19,AF19))))</f>
        <v/>
      </c>
      <c r="AA19" s="68" t="str">
        <f>IF('Registrar recibidas_gastos'!AA19="","",ROUND('Registrar recibidas_gastos'!AA19,2))</f>
        <v/>
      </c>
      <c r="AB19" s="61" t="str">
        <f>IF('Registrar recibidas_gastos'!AB19="","",'Registrar recibidas_gastos'!AB19)</f>
        <v/>
      </c>
      <c r="AC19" s="68" t="str">
        <f>IF(OR(T19="03",T19="05"),0,IF('Registrar recibidas_gastos'!AC19="","",ROUND(AA19*AB19/100,2)))</f>
        <v/>
      </c>
      <c r="AD19" s="68" t="str">
        <f>IF('Registrar recibidas_gastos'!AD19="","",ROUND('Registrar recibidas_gastos'!AD19,2))</f>
        <v/>
      </c>
      <c r="AE19" s="61" t="str">
        <f>IF('Registrar recibidas_gastos'!AE19="","",'Registrar recibidas_gastos'!AE19)</f>
        <v/>
      </c>
      <c r="AF19" s="68" t="str">
        <f>IF('Registrar recibidas_gastos'!AF19="","",ROUND(AA19*AE19/100,2))</f>
        <v/>
      </c>
      <c r="AG19" s="67" t="str">
        <f>IF('Registrar recibidas_gastos'!AG19="","",'Registrar recibidas_gastos'!AG19)</f>
        <v/>
      </c>
      <c r="AH19" s="68" t="str">
        <f>IF('Registrar recibidas_gastos'!AH19="","",'Registrar recibidas_gastos'!AH19)</f>
        <v/>
      </c>
      <c r="AI19" s="61" t="str">
        <f>IF('Registrar recibidas_gastos'!AI19="","",VLOOKUP(CONCATENATE("MEDIO UTILIZADO",'Registrar recibidas_gastos'!AI19),'CODIGO-LITERAL'!$C:$D,2,FALSE))</f>
        <v/>
      </c>
      <c r="AJ19" s="61" t="str">
        <f>IF('Registrar recibidas_gastos'!AJ19="","",'Registrar recibidas_gastos'!AJ19)</f>
        <v/>
      </c>
      <c r="AK19" s="62"/>
      <c r="AL19" s="69"/>
      <c r="AM19" s="61" t="str">
        <f>IF('Registrar recibidas_gastos'!AM19="","",'Registrar recibidas_gastos'!AM19)</f>
        <v/>
      </c>
      <c r="AN19" s="61" t="str">
        <f>IF('Registrar recibidas_gastos'!AN19="","",VLOOKUP(CONCATENATE("SITUACION",'Registrar recibidas_gastos'!AN19),'CODIGO-LITERAL'!$C:$D,2,FALSE))</f>
        <v/>
      </c>
      <c r="AO19" s="61" t="str">
        <f>IF('Registrar recibidas_gastos'!AO19="","",'Registrar recibidas_gastos'!AO19)</f>
        <v/>
      </c>
      <c r="AP19" s="61" t="str">
        <f>IF('Registrar recibidas_gastos'!AP19="","",'Registrar recibidas_gastos'!AP19)</f>
        <v/>
      </c>
    </row>
    <row r="20" spans="1:42" s="2" customFormat="1" x14ac:dyDescent="0.25">
      <c r="A20" s="66" t="str">
        <f>IF('Registrar recibidas_gastos'!A20="","",'Registrar recibidas_gastos'!A20)</f>
        <v/>
      </c>
      <c r="B20" s="61" t="str">
        <f>IF('Registrar recibidas_gastos'!B20="","",'Registrar recibidas_gastos'!B20)</f>
        <v/>
      </c>
      <c r="C20" s="61" t="str">
        <f>IF('Registrar recibidas_gastos'!C20="","",VLOOKUP(CONCATENATE("ACTIVIDAD",'Registrar recibidas_gastos'!C20),'CODIGO-LITERAL'!$C:$D,2,FALSE))</f>
        <v/>
      </c>
      <c r="D20" s="60" t="str">
        <f>IF(OR(C20="C",C20="D"),"",IF(ISERROR(VLOOKUP(CONCATENATE(C20,'Registrar recibidas_gastos'!D20),'CODIGO-LITERAL'!$C:$D,2,FALSE)),"",VLOOKUP(CONCATENATE(C20,'Registrar recibidas_gastos'!D20),'CODIGO-LITERAL'!$C:$D,2,FALSE)))</f>
        <v/>
      </c>
      <c r="E20" s="61" t="str">
        <f>IF('Registrar recibidas_gastos'!E20="","",'Registrar recibidas_gastos'!E20)</f>
        <v/>
      </c>
      <c r="F20" s="61" t="str">
        <f>IF('Registrar recibidas_gastos'!F20="","",VLOOKUP(CONCATENATE("TIPO FACTURA GASTO",'Registrar recibidas_gastos'!F20),'CODIGO-LITERAL'!$C:$D,2,FALSE))</f>
        <v/>
      </c>
      <c r="G20" s="62"/>
      <c r="H20" s="62"/>
      <c r="I20" s="67" t="str">
        <f>IF('Registrar recibidas_gastos'!I20="","",'Registrar recibidas_gastos'!I20)</f>
        <v/>
      </c>
      <c r="J20" s="67" t="str">
        <f>IF('Registrar recibidas_gastos'!J20="","",'Registrar recibidas_gastos'!J20)</f>
        <v/>
      </c>
      <c r="K20" s="61" t="str">
        <f>IF('Registrar recibidas_gastos'!K20="","",'Registrar recibidas_gastos'!K20)</f>
        <v/>
      </c>
      <c r="L20" s="61" t="str">
        <f>IF('Registrar recibidas_gastos'!L20="","",'Registrar recibidas_gastos'!L20)</f>
        <v/>
      </c>
      <c r="M20" s="67" t="str">
        <f>IF('Registrar recibidas_gastos'!M20="","",'Registrar recibidas_gastos'!M20)</f>
        <v/>
      </c>
      <c r="N20" s="61" t="str">
        <f>IF('Registrar recibidas_gastos'!N20="","",'Registrar recibidas_gastos'!N20)</f>
        <v/>
      </c>
      <c r="O20" s="61" t="str">
        <f>IF('Registrar recibidas_gastos'!O20="","",'Registrar recibidas_gastos'!O20)</f>
        <v/>
      </c>
      <c r="P20" s="61" t="str">
        <f>IF(OR(LEFT('Registrar recibidas_gastos'!P20,2)="01",'Registrar recibidas_gastos'!P20=""),"",VLOOKUP(CONCATENATE("TIPO NIF",'Registrar recibidas_gastos'!P20),'CODIGO-LITERAL'!$C:$D,2,FALSE))</f>
        <v/>
      </c>
      <c r="Q20" s="61" t="str">
        <f>IF('Registrar recibidas_gastos'!Q20="","",'Registrar recibidas_gastos'!Q20)</f>
        <v/>
      </c>
      <c r="R20" s="61" t="str">
        <f>IF('Registrar recibidas_gastos'!R20="","",'Registrar recibidas_gastos'!R20)</f>
        <v/>
      </c>
      <c r="S20" s="61" t="str">
        <f>IF('Registrar recibidas_gastos'!S20="","",'Registrar recibidas_gastos'!S20)</f>
        <v/>
      </c>
      <c r="T20" s="61" t="str">
        <f>IF('Registrar recibidas_gastos'!T20="","",VLOOKUP(CONCATENATE("CLAVE OPERACION GASTO",'Registrar recibidas_gastos'!T20),'CODIGO-LITERAL'!$C:$D,2,FALSE))</f>
        <v/>
      </c>
      <c r="U20" s="61" t="str">
        <f>IF(T20="","",IF(OR(T20="02",T20="08"),"N",IF('Registrar recibidas_gastos'!U20="","N",'Registrar recibidas_gastos'!U20)))</f>
        <v/>
      </c>
      <c r="V20" s="61" t="str">
        <f>IF(T20="","",IF(OR(T20="07",T20="08",T20="09",F20="F5",F20="LC"),"N",IF('Registrar recibidas_gastos'!V20="","N",'Registrar recibidas_gastos'!V20)))</f>
        <v/>
      </c>
      <c r="W20" s="61" t="str">
        <f>IF(AND(X20="",Y20=""),"",IF(AND(RECIBIDAS_GASTOS!$X20&lt;&gt;"",RECIBIDAS_GASTOS!$Y20&lt;&gt;""),"S",IF('Registrar recibidas_gastos'!W20="","N",'Registrar recibidas_gastos'!W20)))</f>
        <v/>
      </c>
      <c r="X20" s="67" t="str">
        <f>IF('Registrar recibidas_gastos'!X20="","",'Registrar recibidas_gastos'!X20)</f>
        <v/>
      </c>
      <c r="Y20" s="61" t="str">
        <f>IF('Registrar recibidas_gastos'!Y20="","",'Registrar recibidas_gastos'!Y20)</f>
        <v/>
      </c>
      <c r="Z20" s="68" t="str">
        <f>IF('Registrar recibidas_gastos'!Z20="","",IF(AND(F20="",T20=""),"",IF(OR(T20="03",T20="05",T20="09"),AA20,SUM(AA20,AC20,AF20))))</f>
        <v/>
      </c>
      <c r="AA20" s="68" t="str">
        <f>IF('Registrar recibidas_gastos'!AA20="","",ROUND('Registrar recibidas_gastos'!AA20,2))</f>
        <v/>
      </c>
      <c r="AB20" s="61" t="str">
        <f>IF('Registrar recibidas_gastos'!AB20="","",'Registrar recibidas_gastos'!AB20)</f>
        <v/>
      </c>
      <c r="AC20" s="68" t="str">
        <f>IF(OR(T20="03",T20="05"),0,IF('Registrar recibidas_gastos'!AC20="","",ROUND(AA20*AB20/100,2)))</f>
        <v/>
      </c>
      <c r="AD20" s="68" t="str">
        <f>IF('Registrar recibidas_gastos'!AD20="","",ROUND('Registrar recibidas_gastos'!AD20,2))</f>
        <v/>
      </c>
      <c r="AE20" s="61" t="str">
        <f>IF('Registrar recibidas_gastos'!AE20="","",'Registrar recibidas_gastos'!AE20)</f>
        <v/>
      </c>
      <c r="AF20" s="68" t="str">
        <f>IF('Registrar recibidas_gastos'!AF20="","",ROUND(AA20*AE20/100,2))</f>
        <v/>
      </c>
      <c r="AG20" s="67" t="str">
        <f>IF('Registrar recibidas_gastos'!AG20="","",'Registrar recibidas_gastos'!AG20)</f>
        <v/>
      </c>
      <c r="AH20" s="68" t="str">
        <f>IF('Registrar recibidas_gastos'!AH20="","",'Registrar recibidas_gastos'!AH20)</f>
        <v/>
      </c>
      <c r="AI20" s="61" t="str">
        <f>IF('Registrar recibidas_gastos'!AI20="","",VLOOKUP(CONCATENATE("MEDIO UTILIZADO",'Registrar recibidas_gastos'!AI20),'CODIGO-LITERAL'!$C:$D,2,FALSE))</f>
        <v/>
      </c>
      <c r="AJ20" s="61" t="str">
        <f>IF('Registrar recibidas_gastos'!AJ20="","",'Registrar recibidas_gastos'!AJ20)</f>
        <v/>
      </c>
      <c r="AK20" s="62"/>
      <c r="AL20" s="69"/>
      <c r="AM20" s="61" t="str">
        <f>IF('Registrar recibidas_gastos'!AM20="","",'Registrar recibidas_gastos'!AM20)</f>
        <v/>
      </c>
      <c r="AN20" s="61" t="str">
        <f>IF('Registrar recibidas_gastos'!AN20="","",VLOOKUP(CONCATENATE("SITUACION",'Registrar recibidas_gastos'!AN20),'CODIGO-LITERAL'!$C:$D,2,FALSE))</f>
        <v/>
      </c>
      <c r="AO20" s="61" t="str">
        <f>IF('Registrar recibidas_gastos'!AO20="","",'Registrar recibidas_gastos'!AO20)</f>
        <v/>
      </c>
      <c r="AP20" s="61" t="str">
        <f>IF('Registrar recibidas_gastos'!AP20="","",'Registrar recibidas_gastos'!AP20)</f>
        <v/>
      </c>
    </row>
    <row r="21" spans="1:42" s="2" customFormat="1" x14ac:dyDescent="0.25">
      <c r="A21" s="66" t="str">
        <f>IF('Registrar recibidas_gastos'!A21="","",'Registrar recibidas_gastos'!A21)</f>
        <v/>
      </c>
      <c r="B21" s="61" t="str">
        <f>IF('Registrar recibidas_gastos'!B21="","",'Registrar recibidas_gastos'!B21)</f>
        <v/>
      </c>
      <c r="C21" s="61" t="str">
        <f>IF('Registrar recibidas_gastos'!C21="","",VLOOKUP(CONCATENATE("ACTIVIDAD",'Registrar recibidas_gastos'!C21),'CODIGO-LITERAL'!$C:$D,2,FALSE))</f>
        <v/>
      </c>
      <c r="D21" s="60" t="str">
        <f>IF(OR(C21="C",C21="D"),"",IF(ISERROR(VLOOKUP(CONCATENATE(C21,'Registrar recibidas_gastos'!D21),'CODIGO-LITERAL'!$C:$D,2,FALSE)),"",VLOOKUP(CONCATENATE(C21,'Registrar recibidas_gastos'!D21),'CODIGO-LITERAL'!$C:$D,2,FALSE)))</f>
        <v/>
      </c>
      <c r="E21" s="61" t="str">
        <f>IF('Registrar recibidas_gastos'!E21="","",'Registrar recibidas_gastos'!E21)</f>
        <v/>
      </c>
      <c r="F21" s="61" t="str">
        <f>IF('Registrar recibidas_gastos'!F21="","",VLOOKUP(CONCATENATE("TIPO FACTURA GASTO",'Registrar recibidas_gastos'!F21),'CODIGO-LITERAL'!$C:$D,2,FALSE))</f>
        <v/>
      </c>
      <c r="G21" s="62"/>
      <c r="H21" s="62"/>
      <c r="I21" s="67" t="str">
        <f>IF('Registrar recibidas_gastos'!I21="","",'Registrar recibidas_gastos'!I21)</f>
        <v/>
      </c>
      <c r="J21" s="67" t="str">
        <f>IF('Registrar recibidas_gastos'!J21="","",'Registrar recibidas_gastos'!J21)</f>
        <v/>
      </c>
      <c r="K21" s="61" t="str">
        <f>IF('Registrar recibidas_gastos'!K21="","",'Registrar recibidas_gastos'!K21)</f>
        <v/>
      </c>
      <c r="L21" s="61" t="str">
        <f>IF('Registrar recibidas_gastos'!L21="","",'Registrar recibidas_gastos'!L21)</f>
        <v/>
      </c>
      <c r="M21" s="67" t="str">
        <f>IF('Registrar recibidas_gastos'!M21="","",'Registrar recibidas_gastos'!M21)</f>
        <v/>
      </c>
      <c r="N21" s="61" t="str">
        <f>IF('Registrar recibidas_gastos'!N21="","",'Registrar recibidas_gastos'!N21)</f>
        <v/>
      </c>
      <c r="O21" s="61" t="str">
        <f>IF('Registrar recibidas_gastos'!O21="","",'Registrar recibidas_gastos'!O21)</f>
        <v/>
      </c>
      <c r="P21" s="61" t="str">
        <f>IF(OR(LEFT('Registrar recibidas_gastos'!P21,2)="01",'Registrar recibidas_gastos'!P21=""),"",VLOOKUP(CONCATENATE("TIPO NIF",'Registrar recibidas_gastos'!P21),'CODIGO-LITERAL'!$C:$D,2,FALSE))</f>
        <v/>
      </c>
      <c r="Q21" s="61" t="str">
        <f>IF('Registrar recibidas_gastos'!Q21="","",'Registrar recibidas_gastos'!Q21)</f>
        <v/>
      </c>
      <c r="R21" s="61" t="str">
        <f>IF('Registrar recibidas_gastos'!R21="","",'Registrar recibidas_gastos'!R21)</f>
        <v/>
      </c>
      <c r="S21" s="61" t="str">
        <f>IF('Registrar recibidas_gastos'!S21="","",'Registrar recibidas_gastos'!S21)</f>
        <v/>
      </c>
      <c r="T21" s="61" t="str">
        <f>IF('Registrar recibidas_gastos'!T21="","",VLOOKUP(CONCATENATE("CLAVE OPERACION GASTO",'Registrar recibidas_gastos'!T21),'CODIGO-LITERAL'!$C:$D,2,FALSE))</f>
        <v/>
      </c>
      <c r="U21" s="61" t="str">
        <f>IF(T21="","",IF(OR(T21="02",T21="08"),"N",IF('Registrar recibidas_gastos'!U21="","N",'Registrar recibidas_gastos'!U21)))</f>
        <v/>
      </c>
      <c r="V21" s="61" t="str">
        <f>IF(T21="","",IF(OR(T21="07",T21="08",T21="09",F21="F5",F21="LC"),"N",IF('Registrar recibidas_gastos'!V21="","N",'Registrar recibidas_gastos'!V21)))</f>
        <v/>
      </c>
      <c r="W21" s="61" t="str">
        <f>IF(AND(X21="",Y21=""),"",IF(AND(RECIBIDAS_GASTOS!$X21&lt;&gt;"",RECIBIDAS_GASTOS!$Y21&lt;&gt;""),"S",IF('Registrar recibidas_gastos'!W21="","N",'Registrar recibidas_gastos'!W21)))</f>
        <v/>
      </c>
      <c r="X21" s="67" t="str">
        <f>IF('Registrar recibidas_gastos'!X21="","",'Registrar recibidas_gastos'!X21)</f>
        <v/>
      </c>
      <c r="Y21" s="61" t="str">
        <f>IF('Registrar recibidas_gastos'!Y21="","",'Registrar recibidas_gastos'!Y21)</f>
        <v/>
      </c>
      <c r="Z21" s="68" t="str">
        <f>IF('Registrar recibidas_gastos'!Z21="","",IF(AND(F21="",T21=""),"",IF(OR(T21="03",T21="05",T21="09"),AA21,SUM(AA21,AC21,AF21))))</f>
        <v/>
      </c>
      <c r="AA21" s="68" t="str">
        <f>IF('Registrar recibidas_gastos'!AA21="","",ROUND('Registrar recibidas_gastos'!AA21,2))</f>
        <v/>
      </c>
      <c r="AB21" s="61" t="str">
        <f>IF('Registrar recibidas_gastos'!AB21="","",'Registrar recibidas_gastos'!AB21)</f>
        <v/>
      </c>
      <c r="AC21" s="68" t="str">
        <f>IF(OR(T21="03",T21="05"),0,IF('Registrar recibidas_gastos'!AC21="","",ROUND(AA21*AB21/100,2)))</f>
        <v/>
      </c>
      <c r="AD21" s="68" t="str">
        <f>IF('Registrar recibidas_gastos'!AD21="","",ROUND('Registrar recibidas_gastos'!AD21,2))</f>
        <v/>
      </c>
      <c r="AE21" s="61" t="str">
        <f>IF('Registrar recibidas_gastos'!AE21="","",'Registrar recibidas_gastos'!AE21)</f>
        <v/>
      </c>
      <c r="AF21" s="68" t="str">
        <f>IF('Registrar recibidas_gastos'!AF21="","",ROUND(AA21*AE21/100,2))</f>
        <v/>
      </c>
      <c r="AG21" s="67" t="str">
        <f>IF('Registrar recibidas_gastos'!AG21="","",'Registrar recibidas_gastos'!AG21)</f>
        <v/>
      </c>
      <c r="AH21" s="68" t="str">
        <f>IF('Registrar recibidas_gastos'!AH21="","",'Registrar recibidas_gastos'!AH21)</f>
        <v/>
      </c>
      <c r="AI21" s="61" t="str">
        <f>IF('Registrar recibidas_gastos'!AI21="","",VLOOKUP(CONCATENATE("MEDIO UTILIZADO",'Registrar recibidas_gastos'!AI21),'CODIGO-LITERAL'!$C:$D,2,FALSE))</f>
        <v/>
      </c>
      <c r="AJ21" s="61" t="str">
        <f>IF('Registrar recibidas_gastos'!AJ21="","",'Registrar recibidas_gastos'!AJ21)</f>
        <v/>
      </c>
      <c r="AK21" s="62"/>
      <c r="AL21" s="69"/>
      <c r="AM21" s="61" t="str">
        <f>IF('Registrar recibidas_gastos'!AM21="","",'Registrar recibidas_gastos'!AM21)</f>
        <v/>
      </c>
      <c r="AN21" s="61" t="str">
        <f>IF('Registrar recibidas_gastos'!AN21="","",VLOOKUP(CONCATENATE("SITUACION",'Registrar recibidas_gastos'!AN21),'CODIGO-LITERAL'!$C:$D,2,FALSE))</f>
        <v/>
      </c>
      <c r="AO21" s="61" t="str">
        <f>IF('Registrar recibidas_gastos'!AO21="","",'Registrar recibidas_gastos'!AO21)</f>
        <v/>
      </c>
      <c r="AP21" s="61" t="str">
        <f>IF('Registrar recibidas_gastos'!AP21="","",'Registrar recibidas_gastos'!AP21)</f>
        <v/>
      </c>
    </row>
    <row r="22" spans="1:42" s="2" customFormat="1" x14ac:dyDescent="0.25">
      <c r="A22" s="66" t="str">
        <f>IF('Registrar recibidas_gastos'!A22="","",'Registrar recibidas_gastos'!A22)</f>
        <v/>
      </c>
      <c r="B22" s="61" t="str">
        <f>IF('Registrar recibidas_gastos'!B22="","",'Registrar recibidas_gastos'!B22)</f>
        <v/>
      </c>
      <c r="C22" s="61" t="str">
        <f>IF('Registrar recibidas_gastos'!C22="","",VLOOKUP(CONCATENATE("ACTIVIDAD",'Registrar recibidas_gastos'!C22),'CODIGO-LITERAL'!$C:$D,2,FALSE))</f>
        <v/>
      </c>
      <c r="D22" s="60" t="str">
        <f>IF(OR(C22="C",C22="D"),"",IF(ISERROR(VLOOKUP(CONCATENATE(C22,'Registrar recibidas_gastos'!D22),'CODIGO-LITERAL'!$C:$D,2,FALSE)),"",VLOOKUP(CONCATENATE(C22,'Registrar recibidas_gastos'!D22),'CODIGO-LITERAL'!$C:$D,2,FALSE)))</f>
        <v/>
      </c>
      <c r="E22" s="61" t="str">
        <f>IF('Registrar recibidas_gastos'!E22="","",'Registrar recibidas_gastos'!E22)</f>
        <v/>
      </c>
      <c r="F22" s="61" t="str">
        <f>IF('Registrar recibidas_gastos'!F22="","",VLOOKUP(CONCATENATE("TIPO FACTURA GASTO",'Registrar recibidas_gastos'!F22),'CODIGO-LITERAL'!$C:$D,2,FALSE))</f>
        <v/>
      </c>
      <c r="G22" s="62"/>
      <c r="H22" s="62"/>
      <c r="I22" s="67" t="str">
        <f>IF('Registrar recibidas_gastos'!I22="","",'Registrar recibidas_gastos'!I22)</f>
        <v/>
      </c>
      <c r="J22" s="67" t="str">
        <f>IF('Registrar recibidas_gastos'!J22="","",'Registrar recibidas_gastos'!J22)</f>
        <v/>
      </c>
      <c r="K22" s="61" t="str">
        <f>IF('Registrar recibidas_gastos'!K22="","",'Registrar recibidas_gastos'!K22)</f>
        <v/>
      </c>
      <c r="L22" s="61" t="str">
        <f>IF('Registrar recibidas_gastos'!L22="","",'Registrar recibidas_gastos'!L22)</f>
        <v/>
      </c>
      <c r="M22" s="67" t="str">
        <f>IF('Registrar recibidas_gastos'!M22="","",'Registrar recibidas_gastos'!M22)</f>
        <v/>
      </c>
      <c r="N22" s="61" t="str">
        <f>IF('Registrar recibidas_gastos'!N22="","",'Registrar recibidas_gastos'!N22)</f>
        <v/>
      </c>
      <c r="O22" s="61" t="str">
        <f>IF('Registrar recibidas_gastos'!O22="","",'Registrar recibidas_gastos'!O22)</f>
        <v/>
      </c>
      <c r="P22" s="61" t="str">
        <f>IF(OR(LEFT('Registrar recibidas_gastos'!P22,2)="01",'Registrar recibidas_gastos'!P22=""),"",VLOOKUP(CONCATENATE("TIPO NIF",'Registrar recibidas_gastos'!P22),'CODIGO-LITERAL'!$C:$D,2,FALSE))</f>
        <v/>
      </c>
      <c r="Q22" s="61" t="str">
        <f>IF('Registrar recibidas_gastos'!Q22="","",'Registrar recibidas_gastos'!Q22)</f>
        <v/>
      </c>
      <c r="R22" s="61" t="str">
        <f>IF('Registrar recibidas_gastos'!R22="","",'Registrar recibidas_gastos'!R22)</f>
        <v/>
      </c>
      <c r="S22" s="61" t="str">
        <f>IF('Registrar recibidas_gastos'!S22="","",'Registrar recibidas_gastos'!S22)</f>
        <v/>
      </c>
      <c r="T22" s="61" t="str">
        <f>IF('Registrar recibidas_gastos'!T22="","",VLOOKUP(CONCATENATE("CLAVE OPERACION GASTO",'Registrar recibidas_gastos'!T22),'CODIGO-LITERAL'!$C:$D,2,FALSE))</f>
        <v/>
      </c>
      <c r="U22" s="61" t="str">
        <f>IF(T22="","",IF(OR(T22="02",T22="08"),"N",IF('Registrar recibidas_gastos'!U22="","N",'Registrar recibidas_gastos'!U22)))</f>
        <v/>
      </c>
      <c r="V22" s="61" t="str">
        <f>IF(T22="","",IF(OR(T22="07",T22="08",T22="09",F22="F5",F22="LC"),"N",IF('Registrar recibidas_gastos'!V22="","N",'Registrar recibidas_gastos'!V22)))</f>
        <v/>
      </c>
      <c r="W22" s="61" t="str">
        <f>IF(AND(X22="",Y22=""),"",IF(AND(RECIBIDAS_GASTOS!$X22&lt;&gt;"",RECIBIDAS_GASTOS!$Y22&lt;&gt;""),"S",IF('Registrar recibidas_gastos'!W22="","N",'Registrar recibidas_gastos'!W22)))</f>
        <v/>
      </c>
      <c r="X22" s="67" t="str">
        <f>IF('Registrar recibidas_gastos'!X22="","",'Registrar recibidas_gastos'!X22)</f>
        <v/>
      </c>
      <c r="Y22" s="61" t="str">
        <f>IF('Registrar recibidas_gastos'!Y22="","",'Registrar recibidas_gastos'!Y22)</f>
        <v/>
      </c>
      <c r="Z22" s="68" t="str">
        <f>IF('Registrar recibidas_gastos'!Z22="","",IF(AND(F22="",T22=""),"",IF(OR(T22="03",T22="05",T22="09"),AA22,SUM(AA22,AC22,AF22))))</f>
        <v/>
      </c>
      <c r="AA22" s="68" t="str">
        <f>IF('Registrar recibidas_gastos'!AA22="","",ROUND('Registrar recibidas_gastos'!AA22,2))</f>
        <v/>
      </c>
      <c r="AB22" s="61" t="str">
        <f>IF('Registrar recibidas_gastos'!AB22="","",'Registrar recibidas_gastos'!AB22)</f>
        <v/>
      </c>
      <c r="AC22" s="68" t="str">
        <f>IF(OR(T22="03",T22="05"),0,IF('Registrar recibidas_gastos'!AC22="","",ROUND(AA22*AB22/100,2)))</f>
        <v/>
      </c>
      <c r="AD22" s="68" t="str">
        <f>IF('Registrar recibidas_gastos'!AD22="","",ROUND('Registrar recibidas_gastos'!AD22,2))</f>
        <v/>
      </c>
      <c r="AE22" s="61" t="str">
        <f>IF('Registrar recibidas_gastos'!AE22="","",'Registrar recibidas_gastos'!AE22)</f>
        <v/>
      </c>
      <c r="AF22" s="68" t="str">
        <f>IF('Registrar recibidas_gastos'!AF22="","",ROUND(AA22*AE22/100,2))</f>
        <v/>
      </c>
      <c r="AG22" s="67" t="str">
        <f>IF('Registrar recibidas_gastos'!AG22="","",'Registrar recibidas_gastos'!AG22)</f>
        <v/>
      </c>
      <c r="AH22" s="68" t="str">
        <f>IF('Registrar recibidas_gastos'!AH22="","",'Registrar recibidas_gastos'!AH22)</f>
        <v/>
      </c>
      <c r="AI22" s="61" t="str">
        <f>IF('Registrar recibidas_gastos'!AI22="","",VLOOKUP(CONCATENATE("MEDIO UTILIZADO",'Registrar recibidas_gastos'!AI22),'CODIGO-LITERAL'!$C:$D,2,FALSE))</f>
        <v/>
      </c>
      <c r="AJ22" s="61" t="str">
        <f>IF('Registrar recibidas_gastos'!AJ22="","",'Registrar recibidas_gastos'!AJ22)</f>
        <v/>
      </c>
      <c r="AK22" s="62"/>
      <c r="AL22" s="69"/>
      <c r="AM22" s="61" t="str">
        <f>IF('Registrar recibidas_gastos'!AM22="","",'Registrar recibidas_gastos'!AM22)</f>
        <v/>
      </c>
      <c r="AN22" s="61" t="str">
        <f>IF('Registrar recibidas_gastos'!AN22="","",VLOOKUP(CONCATENATE("SITUACION",'Registrar recibidas_gastos'!AN22),'CODIGO-LITERAL'!$C:$D,2,FALSE))</f>
        <v/>
      </c>
      <c r="AO22" s="61" t="str">
        <f>IF('Registrar recibidas_gastos'!AO22="","",'Registrar recibidas_gastos'!AO22)</f>
        <v/>
      </c>
      <c r="AP22" s="61" t="str">
        <f>IF('Registrar recibidas_gastos'!AP22="","",'Registrar recibidas_gastos'!AP22)</f>
        <v/>
      </c>
    </row>
    <row r="23" spans="1:42" s="2" customFormat="1" x14ac:dyDescent="0.25">
      <c r="A23" s="66" t="str">
        <f>IF('Registrar recibidas_gastos'!A23="","",'Registrar recibidas_gastos'!A23)</f>
        <v/>
      </c>
      <c r="B23" s="61" t="str">
        <f>IF('Registrar recibidas_gastos'!B23="","",'Registrar recibidas_gastos'!B23)</f>
        <v/>
      </c>
      <c r="C23" s="61" t="str">
        <f>IF('Registrar recibidas_gastos'!C23="","",VLOOKUP(CONCATENATE("ACTIVIDAD",'Registrar recibidas_gastos'!C23),'CODIGO-LITERAL'!$C:$D,2,FALSE))</f>
        <v/>
      </c>
      <c r="D23" s="60" t="str">
        <f>IF(OR(C23="C",C23="D"),"",IF(ISERROR(VLOOKUP(CONCATENATE(C23,'Registrar recibidas_gastos'!D23),'CODIGO-LITERAL'!$C:$D,2,FALSE)),"",VLOOKUP(CONCATENATE(C23,'Registrar recibidas_gastos'!D23),'CODIGO-LITERAL'!$C:$D,2,FALSE)))</f>
        <v/>
      </c>
      <c r="E23" s="61" t="str">
        <f>IF('Registrar recibidas_gastos'!E23="","",'Registrar recibidas_gastos'!E23)</f>
        <v/>
      </c>
      <c r="F23" s="61" t="str">
        <f>IF('Registrar recibidas_gastos'!F23="","",VLOOKUP(CONCATENATE("TIPO FACTURA GASTO",'Registrar recibidas_gastos'!F23),'CODIGO-LITERAL'!$C:$D,2,FALSE))</f>
        <v/>
      </c>
      <c r="G23" s="62"/>
      <c r="H23" s="62"/>
      <c r="I23" s="67" t="str">
        <f>IF('Registrar recibidas_gastos'!I23="","",'Registrar recibidas_gastos'!I23)</f>
        <v/>
      </c>
      <c r="J23" s="67" t="str">
        <f>IF('Registrar recibidas_gastos'!J23="","",'Registrar recibidas_gastos'!J23)</f>
        <v/>
      </c>
      <c r="K23" s="61" t="str">
        <f>IF('Registrar recibidas_gastos'!K23="","",'Registrar recibidas_gastos'!K23)</f>
        <v/>
      </c>
      <c r="L23" s="61" t="str">
        <f>IF('Registrar recibidas_gastos'!L23="","",'Registrar recibidas_gastos'!L23)</f>
        <v/>
      </c>
      <c r="M23" s="67" t="str">
        <f>IF('Registrar recibidas_gastos'!M23="","",'Registrar recibidas_gastos'!M23)</f>
        <v/>
      </c>
      <c r="N23" s="61" t="str">
        <f>IF('Registrar recibidas_gastos'!N23="","",'Registrar recibidas_gastos'!N23)</f>
        <v/>
      </c>
      <c r="O23" s="61" t="str">
        <f>IF('Registrar recibidas_gastos'!O23="","",'Registrar recibidas_gastos'!O23)</f>
        <v/>
      </c>
      <c r="P23" s="61" t="str">
        <f>IF(OR(LEFT('Registrar recibidas_gastos'!P23,2)="01",'Registrar recibidas_gastos'!P23=""),"",VLOOKUP(CONCATENATE("TIPO NIF",'Registrar recibidas_gastos'!P23),'CODIGO-LITERAL'!$C:$D,2,FALSE))</f>
        <v/>
      </c>
      <c r="Q23" s="61" t="str">
        <f>IF('Registrar recibidas_gastos'!Q23="","",'Registrar recibidas_gastos'!Q23)</f>
        <v/>
      </c>
      <c r="R23" s="61" t="str">
        <f>IF('Registrar recibidas_gastos'!R23="","",'Registrar recibidas_gastos'!R23)</f>
        <v/>
      </c>
      <c r="S23" s="61" t="str">
        <f>IF('Registrar recibidas_gastos'!S23="","",'Registrar recibidas_gastos'!S23)</f>
        <v/>
      </c>
      <c r="T23" s="61" t="str">
        <f>IF('Registrar recibidas_gastos'!T23="","",VLOOKUP(CONCATENATE("CLAVE OPERACION GASTO",'Registrar recibidas_gastos'!T23),'CODIGO-LITERAL'!$C:$D,2,FALSE))</f>
        <v/>
      </c>
      <c r="U23" s="61" t="str">
        <f>IF(T23="","",IF(OR(T23="02",T23="08"),"N",IF('Registrar recibidas_gastos'!U23="","N",'Registrar recibidas_gastos'!U23)))</f>
        <v/>
      </c>
      <c r="V23" s="61" t="str">
        <f>IF(T23="","",IF(OR(T23="07",T23="08",T23="09",F23="F5",F23="LC"),"N",IF('Registrar recibidas_gastos'!V23="","N",'Registrar recibidas_gastos'!V23)))</f>
        <v/>
      </c>
      <c r="W23" s="61" t="str">
        <f>IF(AND(X23="",Y23=""),"",IF(AND(RECIBIDAS_GASTOS!$X23&lt;&gt;"",RECIBIDAS_GASTOS!$Y23&lt;&gt;""),"S",IF('Registrar recibidas_gastos'!W23="","N",'Registrar recibidas_gastos'!W23)))</f>
        <v/>
      </c>
      <c r="X23" s="67" t="str">
        <f>IF('Registrar recibidas_gastos'!X23="","",'Registrar recibidas_gastos'!X23)</f>
        <v/>
      </c>
      <c r="Y23" s="61" t="str">
        <f>IF('Registrar recibidas_gastos'!Y23="","",'Registrar recibidas_gastos'!Y23)</f>
        <v/>
      </c>
      <c r="Z23" s="68" t="str">
        <f>IF('Registrar recibidas_gastos'!Z23="","",IF(AND(F23="",T23=""),"",IF(OR(T23="03",T23="05",T23="09"),AA23,SUM(AA23,AC23,AF23))))</f>
        <v/>
      </c>
      <c r="AA23" s="68" t="str">
        <f>IF('Registrar recibidas_gastos'!AA23="","",ROUND('Registrar recibidas_gastos'!AA23,2))</f>
        <v/>
      </c>
      <c r="AB23" s="61" t="str">
        <f>IF('Registrar recibidas_gastos'!AB23="","",'Registrar recibidas_gastos'!AB23)</f>
        <v/>
      </c>
      <c r="AC23" s="68" t="str">
        <f>IF(OR(T23="03",T23="05"),0,IF('Registrar recibidas_gastos'!AC23="","",ROUND(AA23*AB23/100,2)))</f>
        <v/>
      </c>
      <c r="AD23" s="68" t="str">
        <f>IF('Registrar recibidas_gastos'!AD23="","",ROUND('Registrar recibidas_gastos'!AD23,2))</f>
        <v/>
      </c>
      <c r="AE23" s="61" t="str">
        <f>IF('Registrar recibidas_gastos'!AE23="","",'Registrar recibidas_gastos'!AE23)</f>
        <v/>
      </c>
      <c r="AF23" s="68" t="str">
        <f>IF('Registrar recibidas_gastos'!AF23="","",ROUND(AA23*AE23/100,2))</f>
        <v/>
      </c>
      <c r="AG23" s="67" t="str">
        <f>IF('Registrar recibidas_gastos'!AG23="","",'Registrar recibidas_gastos'!AG23)</f>
        <v/>
      </c>
      <c r="AH23" s="68" t="str">
        <f>IF('Registrar recibidas_gastos'!AH23="","",'Registrar recibidas_gastos'!AH23)</f>
        <v/>
      </c>
      <c r="AI23" s="61" t="str">
        <f>IF('Registrar recibidas_gastos'!AI23="","",VLOOKUP(CONCATENATE("MEDIO UTILIZADO",'Registrar recibidas_gastos'!AI23),'CODIGO-LITERAL'!$C:$D,2,FALSE))</f>
        <v/>
      </c>
      <c r="AJ23" s="61" t="str">
        <f>IF('Registrar recibidas_gastos'!AJ23="","",'Registrar recibidas_gastos'!AJ23)</f>
        <v/>
      </c>
      <c r="AK23" s="62"/>
      <c r="AL23" s="69"/>
      <c r="AM23" s="61" t="str">
        <f>IF('Registrar recibidas_gastos'!AM23="","",'Registrar recibidas_gastos'!AM23)</f>
        <v/>
      </c>
      <c r="AN23" s="61" t="str">
        <f>IF('Registrar recibidas_gastos'!AN23="","",VLOOKUP(CONCATENATE("SITUACION",'Registrar recibidas_gastos'!AN23),'CODIGO-LITERAL'!$C:$D,2,FALSE))</f>
        <v/>
      </c>
      <c r="AO23" s="61" t="str">
        <f>IF('Registrar recibidas_gastos'!AO23="","",'Registrar recibidas_gastos'!AO23)</f>
        <v/>
      </c>
      <c r="AP23" s="61" t="str">
        <f>IF('Registrar recibidas_gastos'!AP23="","",'Registrar recibidas_gastos'!AP23)</f>
        <v/>
      </c>
    </row>
    <row r="24" spans="1:42" s="2" customFormat="1" x14ac:dyDescent="0.25">
      <c r="A24" s="66" t="str">
        <f>IF('Registrar recibidas_gastos'!A24="","",'Registrar recibidas_gastos'!A24)</f>
        <v/>
      </c>
      <c r="B24" s="61" t="str">
        <f>IF('Registrar recibidas_gastos'!B24="","",'Registrar recibidas_gastos'!B24)</f>
        <v/>
      </c>
      <c r="C24" s="61" t="str">
        <f>IF('Registrar recibidas_gastos'!C24="","",VLOOKUP(CONCATENATE("ACTIVIDAD",'Registrar recibidas_gastos'!C24),'CODIGO-LITERAL'!$C:$D,2,FALSE))</f>
        <v/>
      </c>
      <c r="D24" s="60" t="str">
        <f>IF(OR(C24="C",C24="D"),"",IF(ISERROR(VLOOKUP(CONCATENATE(C24,'Registrar recibidas_gastos'!D24),'CODIGO-LITERAL'!$C:$D,2,FALSE)),"",VLOOKUP(CONCATENATE(C24,'Registrar recibidas_gastos'!D24),'CODIGO-LITERAL'!$C:$D,2,FALSE)))</f>
        <v/>
      </c>
      <c r="E24" s="61" t="str">
        <f>IF('Registrar recibidas_gastos'!E24="","",'Registrar recibidas_gastos'!E24)</f>
        <v/>
      </c>
      <c r="F24" s="61" t="str">
        <f>IF('Registrar recibidas_gastos'!F24="","",VLOOKUP(CONCATENATE("TIPO FACTURA GASTO",'Registrar recibidas_gastos'!F24),'CODIGO-LITERAL'!$C:$D,2,FALSE))</f>
        <v/>
      </c>
      <c r="G24" s="62"/>
      <c r="H24" s="62"/>
      <c r="I24" s="67" t="str">
        <f>IF('Registrar recibidas_gastos'!I24="","",'Registrar recibidas_gastos'!I24)</f>
        <v/>
      </c>
      <c r="J24" s="67" t="str">
        <f>IF('Registrar recibidas_gastos'!J24="","",'Registrar recibidas_gastos'!J24)</f>
        <v/>
      </c>
      <c r="K24" s="61" t="str">
        <f>IF('Registrar recibidas_gastos'!K24="","",'Registrar recibidas_gastos'!K24)</f>
        <v/>
      </c>
      <c r="L24" s="61" t="str">
        <f>IF('Registrar recibidas_gastos'!L24="","",'Registrar recibidas_gastos'!L24)</f>
        <v/>
      </c>
      <c r="M24" s="67" t="str">
        <f>IF('Registrar recibidas_gastos'!M24="","",'Registrar recibidas_gastos'!M24)</f>
        <v/>
      </c>
      <c r="N24" s="61" t="str">
        <f>IF('Registrar recibidas_gastos'!N24="","",'Registrar recibidas_gastos'!N24)</f>
        <v/>
      </c>
      <c r="O24" s="61" t="str">
        <f>IF('Registrar recibidas_gastos'!O24="","",'Registrar recibidas_gastos'!O24)</f>
        <v/>
      </c>
      <c r="P24" s="61" t="str">
        <f>IF(OR(LEFT('Registrar recibidas_gastos'!P24,2)="01",'Registrar recibidas_gastos'!P24=""),"",VLOOKUP(CONCATENATE("TIPO NIF",'Registrar recibidas_gastos'!P24),'CODIGO-LITERAL'!$C:$D,2,FALSE))</f>
        <v/>
      </c>
      <c r="Q24" s="61" t="str">
        <f>IF('Registrar recibidas_gastos'!Q24="","",'Registrar recibidas_gastos'!Q24)</f>
        <v/>
      </c>
      <c r="R24" s="61" t="str">
        <f>IF('Registrar recibidas_gastos'!R24="","",'Registrar recibidas_gastos'!R24)</f>
        <v/>
      </c>
      <c r="S24" s="61" t="str">
        <f>IF('Registrar recibidas_gastos'!S24="","",'Registrar recibidas_gastos'!S24)</f>
        <v/>
      </c>
      <c r="T24" s="61" t="str">
        <f>IF('Registrar recibidas_gastos'!T24="","",VLOOKUP(CONCATENATE("CLAVE OPERACION GASTO",'Registrar recibidas_gastos'!T24),'CODIGO-LITERAL'!$C:$D,2,FALSE))</f>
        <v/>
      </c>
      <c r="U24" s="61" t="str">
        <f>IF(T24="","",IF(OR(T24="02",T24="08"),"N",IF('Registrar recibidas_gastos'!U24="","N",'Registrar recibidas_gastos'!U24)))</f>
        <v/>
      </c>
      <c r="V24" s="61" t="str">
        <f>IF(T24="","",IF(OR(T24="07",T24="08",T24="09",F24="F5",F24="LC"),"N",IF('Registrar recibidas_gastos'!V24="","N",'Registrar recibidas_gastos'!V24)))</f>
        <v/>
      </c>
      <c r="W24" s="61" t="str">
        <f>IF(AND(X24="",Y24=""),"",IF(AND(RECIBIDAS_GASTOS!$X24&lt;&gt;"",RECIBIDAS_GASTOS!$Y24&lt;&gt;""),"S",IF('Registrar recibidas_gastos'!W24="","N",'Registrar recibidas_gastos'!W24)))</f>
        <v/>
      </c>
      <c r="X24" s="67" t="str">
        <f>IF('Registrar recibidas_gastos'!X24="","",'Registrar recibidas_gastos'!X24)</f>
        <v/>
      </c>
      <c r="Y24" s="61" t="str">
        <f>IF('Registrar recibidas_gastos'!Y24="","",'Registrar recibidas_gastos'!Y24)</f>
        <v/>
      </c>
      <c r="Z24" s="68" t="str">
        <f>IF('Registrar recibidas_gastos'!Z24="","",IF(AND(F24="",T24=""),"",IF(OR(T24="03",T24="05",T24="09"),AA24,SUM(AA24,AC24,AF24))))</f>
        <v/>
      </c>
      <c r="AA24" s="68" t="str">
        <f>IF('Registrar recibidas_gastos'!AA24="","",ROUND('Registrar recibidas_gastos'!AA24,2))</f>
        <v/>
      </c>
      <c r="AB24" s="61" t="str">
        <f>IF('Registrar recibidas_gastos'!AB24="","",'Registrar recibidas_gastos'!AB24)</f>
        <v/>
      </c>
      <c r="AC24" s="68" t="str">
        <f>IF(OR(T24="03",T24="05"),0,IF('Registrar recibidas_gastos'!AC24="","",ROUND(AA24*AB24/100,2)))</f>
        <v/>
      </c>
      <c r="AD24" s="68" t="str">
        <f>IF('Registrar recibidas_gastos'!AD24="","",ROUND('Registrar recibidas_gastos'!AD24,2))</f>
        <v/>
      </c>
      <c r="AE24" s="61" t="str">
        <f>IF('Registrar recibidas_gastos'!AE24="","",'Registrar recibidas_gastos'!AE24)</f>
        <v/>
      </c>
      <c r="AF24" s="68" t="str">
        <f>IF('Registrar recibidas_gastos'!AF24="","",ROUND(AA24*AE24/100,2))</f>
        <v/>
      </c>
      <c r="AG24" s="67" t="str">
        <f>IF('Registrar recibidas_gastos'!AG24="","",'Registrar recibidas_gastos'!AG24)</f>
        <v/>
      </c>
      <c r="AH24" s="68" t="str">
        <f>IF('Registrar recibidas_gastos'!AH24="","",'Registrar recibidas_gastos'!AH24)</f>
        <v/>
      </c>
      <c r="AI24" s="61" t="str">
        <f>IF('Registrar recibidas_gastos'!AI24="","",VLOOKUP(CONCATENATE("MEDIO UTILIZADO",'Registrar recibidas_gastos'!AI24),'CODIGO-LITERAL'!$C:$D,2,FALSE))</f>
        <v/>
      </c>
      <c r="AJ24" s="61" t="str">
        <f>IF('Registrar recibidas_gastos'!AJ24="","",'Registrar recibidas_gastos'!AJ24)</f>
        <v/>
      </c>
      <c r="AK24" s="62"/>
      <c r="AL24" s="69"/>
      <c r="AM24" s="61" t="str">
        <f>IF('Registrar recibidas_gastos'!AM24="","",'Registrar recibidas_gastos'!AM24)</f>
        <v/>
      </c>
      <c r="AN24" s="61" t="str">
        <f>IF('Registrar recibidas_gastos'!AN24="","",VLOOKUP(CONCATENATE("SITUACION",'Registrar recibidas_gastos'!AN24),'CODIGO-LITERAL'!$C:$D,2,FALSE))</f>
        <v/>
      </c>
      <c r="AO24" s="61" t="str">
        <f>IF('Registrar recibidas_gastos'!AO24="","",'Registrar recibidas_gastos'!AO24)</f>
        <v/>
      </c>
      <c r="AP24" s="61" t="str">
        <f>IF('Registrar recibidas_gastos'!AP24="","",'Registrar recibidas_gastos'!AP24)</f>
        <v/>
      </c>
    </row>
    <row r="25" spans="1:42" s="2" customFormat="1" x14ac:dyDescent="0.25">
      <c r="A25" s="66" t="str">
        <f>IF('Registrar recibidas_gastos'!A25="","",'Registrar recibidas_gastos'!A25)</f>
        <v/>
      </c>
      <c r="B25" s="61" t="str">
        <f>IF('Registrar recibidas_gastos'!B25="","",'Registrar recibidas_gastos'!B25)</f>
        <v/>
      </c>
      <c r="C25" s="61" t="str">
        <f>IF('Registrar recibidas_gastos'!C25="","",VLOOKUP(CONCATENATE("ACTIVIDAD",'Registrar recibidas_gastos'!C25),'CODIGO-LITERAL'!$C:$D,2,FALSE))</f>
        <v/>
      </c>
      <c r="D25" s="60" t="str">
        <f>IF(OR(C25="C",C25="D"),"",IF(ISERROR(VLOOKUP(CONCATENATE(C25,'Registrar recibidas_gastos'!D25),'CODIGO-LITERAL'!$C:$D,2,FALSE)),"",VLOOKUP(CONCATENATE(C25,'Registrar recibidas_gastos'!D25),'CODIGO-LITERAL'!$C:$D,2,FALSE)))</f>
        <v/>
      </c>
      <c r="E25" s="61" t="str">
        <f>IF('Registrar recibidas_gastos'!E25="","",'Registrar recibidas_gastos'!E25)</f>
        <v/>
      </c>
      <c r="F25" s="61" t="str">
        <f>IF('Registrar recibidas_gastos'!F25="","",VLOOKUP(CONCATENATE("TIPO FACTURA GASTO",'Registrar recibidas_gastos'!F25),'CODIGO-LITERAL'!$C:$D,2,FALSE))</f>
        <v/>
      </c>
      <c r="G25" s="62"/>
      <c r="H25" s="62"/>
      <c r="I25" s="67" t="str">
        <f>IF('Registrar recibidas_gastos'!I25="","",'Registrar recibidas_gastos'!I25)</f>
        <v/>
      </c>
      <c r="J25" s="67" t="str">
        <f>IF('Registrar recibidas_gastos'!J25="","",'Registrar recibidas_gastos'!J25)</f>
        <v/>
      </c>
      <c r="K25" s="61" t="str">
        <f>IF('Registrar recibidas_gastos'!K25="","",'Registrar recibidas_gastos'!K25)</f>
        <v/>
      </c>
      <c r="L25" s="61" t="str">
        <f>IF('Registrar recibidas_gastos'!L25="","",'Registrar recibidas_gastos'!L25)</f>
        <v/>
      </c>
      <c r="M25" s="67" t="str">
        <f>IF('Registrar recibidas_gastos'!M25="","",'Registrar recibidas_gastos'!M25)</f>
        <v/>
      </c>
      <c r="N25" s="61" t="str">
        <f>IF('Registrar recibidas_gastos'!N25="","",'Registrar recibidas_gastos'!N25)</f>
        <v/>
      </c>
      <c r="O25" s="61" t="str">
        <f>IF('Registrar recibidas_gastos'!O25="","",'Registrar recibidas_gastos'!O25)</f>
        <v/>
      </c>
      <c r="P25" s="61" t="str">
        <f>IF(OR(LEFT('Registrar recibidas_gastos'!P25,2)="01",'Registrar recibidas_gastos'!P25=""),"",VLOOKUP(CONCATENATE("TIPO NIF",'Registrar recibidas_gastos'!P25),'CODIGO-LITERAL'!$C:$D,2,FALSE))</f>
        <v/>
      </c>
      <c r="Q25" s="61" t="str">
        <f>IF('Registrar recibidas_gastos'!Q25="","",'Registrar recibidas_gastos'!Q25)</f>
        <v/>
      </c>
      <c r="R25" s="61" t="str">
        <f>IF('Registrar recibidas_gastos'!R25="","",'Registrar recibidas_gastos'!R25)</f>
        <v/>
      </c>
      <c r="S25" s="61" t="str">
        <f>IF('Registrar recibidas_gastos'!S25="","",'Registrar recibidas_gastos'!S25)</f>
        <v/>
      </c>
      <c r="T25" s="61" t="str">
        <f>IF('Registrar recibidas_gastos'!T25="","",VLOOKUP(CONCATENATE("CLAVE OPERACION GASTO",'Registrar recibidas_gastos'!T25),'CODIGO-LITERAL'!$C:$D,2,FALSE))</f>
        <v/>
      </c>
      <c r="U25" s="61" t="str">
        <f>IF(T25="","",IF(OR(T25="02",T25="08"),"N",IF('Registrar recibidas_gastos'!U25="","N",'Registrar recibidas_gastos'!U25)))</f>
        <v/>
      </c>
      <c r="V25" s="61" t="str">
        <f>IF(T25="","",IF(OR(T25="07",T25="08",T25="09",F25="F5",F25="LC"),"N",IF('Registrar recibidas_gastos'!V25="","N",'Registrar recibidas_gastos'!V25)))</f>
        <v/>
      </c>
      <c r="W25" s="61" t="str">
        <f>IF(AND(X25="",Y25=""),"",IF(AND(RECIBIDAS_GASTOS!$X25&lt;&gt;"",RECIBIDAS_GASTOS!$Y25&lt;&gt;""),"S",IF('Registrar recibidas_gastos'!W25="","N",'Registrar recibidas_gastos'!W25)))</f>
        <v/>
      </c>
      <c r="X25" s="67" t="str">
        <f>IF('Registrar recibidas_gastos'!X25="","",'Registrar recibidas_gastos'!X25)</f>
        <v/>
      </c>
      <c r="Y25" s="61" t="str">
        <f>IF('Registrar recibidas_gastos'!Y25="","",'Registrar recibidas_gastos'!Y25)</f>
        <v/>
      </c>
      <c r="Z25" s="68" t="str">
        <f>IF('Registrar recibidas_gastos'!Z25="","",IF(AND(F25="",T25=""),"",IF(OR(T25="03",T25="05",T25="09"),AA25,SUM(AA25,AC25,AF25))))</f>
        <v/>
      </c>
      <c r="AA25" s="68" t="str">
        <f>IF('Registrar recibidas_gastos'!AA25="","",ROUND('Registrar recibidas_gastos'!AA25,2))</f>
        <v/>
      </c>
      <c r="AB25" s="61" t="str">
        <f>IF('Registrar recibidas_gastos'!AB25="","",'Registrar recibidas_gastos'!AB25)</f>
        <v/>
      </c>
      <c r="AC25" s="68" t="str">
        <f>IF(OR(T25="03",T25="05"),0,IF('Registrar recibidas_gastos'!AC25="","",ROUND(AA25*AB25/100,2)))</f>
        <v/>
      </c>
      <c r="AD25" s="68" t="str">
        <f>IF('Registrar recibidas_gastos'!AD25="","",ROUND('Registrar recibidas_gastos'!AD25,2))</f>
        <v/>
      </c>
      <c r="AE25" s="61" t="str">
        <f>IF('Registrar recibidas_gastos'!AE25="","",'Registrar recibidas_gastos'!AE25)</f>
        <v/>
      </c>
      <c r="AF25" s="68" t="str">
        <f>IF('Registrar recibidas_gastos'!AF25="","",ROUND(AA25*AE25/100,2))</f>
        <v/>
      </c>
      <c r="AG25" s="67" t="str">
        <f>IF('Registrar recibidas_gastos'!AG25="","",'Registrar recibidas_gastos'!AG25)</f>
        <v/>
      </c>
      <c r="AH25" s="68" t="str">
        <f>IF('Registrar recibidas_gastos'!AH25="","",'Registrar recibidas_gastos'!AH25)</f>
        <v/>
      </c>
      <c r="AI25" s="61" t="str">
        <f>IF('Registrar recibidas_gastos'!AI25="","",VLOOKUP(CONCATENATE("MEDIO UTILIZADO",'Registrar recibidas_gastos'!AI25),'CODIGO-LITERAL'!$C:$D,2,FALSE))</f>
        <v/>
      </c>
      <c r="AJ25" s="61" t="str">
        <f>IF('Registrar recibidas_gastos'!AJ25="","",'Registrar recibidas_gastos'!AJ25)</f>
        <v/>
      </c>
      <c r="AK25" s="62"/>
      <c r="AL25" s="69"/>
      <c r="AM25" s="61" t="str">
        <f>IF('Registrar recibidas_gastos'!AM25="","",'Registrar recibidas_gastos'!AM25)</f>
        <v/>
      </c>
      <c r="AN25" s="61" t="str">
        <f>IF('Registrar recibidas_gastos'!AN25="","",VLOOKUP(CONCATENATE("SITUACION",'Registrar recibidas_gastos'!AN25),'CODIGO-LITERAL'!$C:$D,2,FALSE))</f>
        <v/>
      </c>
      <c r="AO25" s="61" t="str">
        <f>IF('Registrar recibidas_gastos'!AO25="","",'Registrar recibidas_gastos'!AO25)</f>
        <v/>
      </c>
      <c r="AP25" s="61" t="str">
        <f>IF('Registrar recibidas_gastos'!AP25="","",'Registrar recibidas_gastos'!AP25)</f>
        <v/>
      </c>
    </row>
    <row r="26" spans="1:42" s="2" customFormat="1" x14ac:dyDescent="0.25">
      <c r="A26" s="66" t="str">
        <f>IF('Registrar recibidas_gastos'!A26="","",'Registrar recibidas_gastos'!A26)</f>
        <v/>
      </c>
      <c r="B26" s="61" t="str">
        <f>IF('Registrar recibidas_gastos'!B26="","",'Registrar recibidas_gastos'!B26)</f>
        <v/>
      </c>
      <c r="C26" s="61" t="str">
        <f>IF('Registrar recibidas_gastos'!C26="","",VLOOKUP(CONCATENATE("ACTIVIDAD",'Registrar recibidas_gastos'!C26),'CODIGO-LITERAL'!$C:$D,2,FALSE))</f>
        <v/>
      </c>
      <c r="D26" s="60" t="str">
        <f>IF(OR(C26="C",C26="D"),"",IF(ISERROR(VLOOKUP(CONCATENATE(C26,'Registrar recibidas_gastos'!D26),'CODIGO-LITERAL'!$C:$D,2,FALSE)),"",VLOOKUP(CONCATENATE(C26,'Registrar recibidas_gastos'!D26),'CODIGO-LITERAL'!$C:$D,2,FALSE)))</f>
        <v/>
      </c>
      <c r="E26" s="61" t="str">
        <f>IF('Registrar recibidas_gastos'!E26="","",'Registrar recibidas_gastos'!E26)</f>
        <v/>
      </c>
      <c r="F26" s="61" t="str">
        <f>IF('Registrar recibidas_gastos'!F26="","",VLOOKUP(CONCATENATE("TIPO FACTURA GASTO",'Registrar recibidas_gastos'!F26),'CODIGO-LITERAL'!$C:$D,2,FALSE))</f>
        <v/>
      </c>
      <c r="G26" s="62"/>
      <c r="H26" s="62"/>
      <c r="I26" s="67" t="str">
        <f>IF('Registrar recibidas_gastos'!I26="","",'Registrar recibidas_gastos'!I26)</f>
        <v/>
      </c>
      <c r="J26" s="67" t="str">
        <f>IF('Registrar recibidas_gastos'!J26="","",'Registrar recibidas_gastos'!J26)</f>
        <v/>
      </c>
      <c r="K26" s="61" t="str">
        <f>IF('Registrar recibidas_gastos'!K26="","",'Registrar recibidas_gastos'!K26)</f>
        <v/>
      </c>
      <c r="L26" s="61" t="str">
        <f>IF('Registrar recibidas_gastos'!L26="","",'Registrar recibidas_gastos'!L26)</f>
        <v/>
      </c>
      <c r="M26" s="67" t="str">
        <f>IF('Registrar recibidas_gastos'!M26="","",'Registrar recibidas_gastos'!M26)</f>
        <v/>
      </c>
      <c r="N26" s="61" t="str">
        <f>IF('Registrar recibidas_gastos'!N26="","",'Registrar recibidas_gastos'!N26)</f>
        <v/>
      </c>
      <c r="O26" s="61" t="str">
        <f>IF('Registrar recibidas_gastos'!O26="","",'Registrar recibidas_gastos'!O26)</f>
        <v/>
      </c>
      <c r="P26" s="61" t="str">
        <f>IF(OR(LEFT('Registrar recibidas_gastos'!P26,2)="01",'Registrar recibidas_gastos'!P26=""),"",VLOOKUP(CONCATENATE("TIPO NIF",'Registrar recibidas_gastos'!P26),'CODIGO-LITERAL'!$C:$D,2,FALSE))</f>
        <v/>
      </c>
      <c r="Q26" s="61" t="str">
        <f>IF('Registrar recibidas_gastos'!Q26="","",'Registrar recibidas_gastos'!Q26)</f>
        <v/>
      </c>
      <c r="R26" s="61" t="str">
        <f>IF('Registrar recibidas_gastos'!R26="","",'Registrar recibidas_gastos'!R26)</f>
        <v/>
      </c>
      <c r="S26" s="61" t="str">
        <f>IF('Registrar recibidas_gastos'!S26="","",'Registrar recibidas_gastos'!S26)</f>
        <v/>
      </c>
      <c r="T26" s="61" t="str">
        <f>IF('Registrar recibidas_gastos'!T26="","",VLOOKUP(CONCATENATE("CLAVE OPERACION GASTO",'Registrar recibidas_gastos'!T26),'CODIGO-LITERAL'!$C:$D,2,FALSE))</f>
        <v/>
      </c>
      <c r="U26" s="61" t="str">
        <f>IF(T26="","",IF(OR(T26="02",T26="08"),"N",IF('Registrar recibidas_gastos'!U26="","N",'Registrar recibidas_gastos'!U26)))</f>
        <v/>
      </c>
      <c r="V26" s="61" t="str">
        <f>IF(T26="","",IF(OR(T26="07",T26="08",T26="09",F26="F5",F26="LC"),"N",IF('Registrar recibidas_gastos'!V26="","N",'Registrar recibidas_gastos'!V26)))</f>
        <v/>
      </c>
      <c r="W26" s="61" t="str">
        <f>IF(AND(X26="",Y26=""),"",IF(AND(RECIBIDAS_GASTOS!$X26&lt;&gt;"",RECIBIDAS_GASTOS!$Y26&lt;&gt;""),"S",IF('Registrar recibidas_gastos'!W26="","N",'Registrar recibidas_gastos'!W26)))</f>
        <v/>
      </c>
      <c r="X26" s="67" t="str">
        <f>IF('Registrar recibidas_gastos'!X26="","",'Registrar recibidas_gastos'!X26)</f>
        <v/>
      </c>
      <c r="Y26" s="61" t="str">
        <f>IF('Registrar recibidas_gastos'!Y26="","",'Registrar recibidas_gastos'!Y26)</f>
        <v/>
      </c>
      <c r="Z26" s="68" t="str">
        <f>IF('Registrar recibidas_gastos'!Z26="","",IF(AND(F26="",T26=""),"",IF(OR(T26="03",T26="05",T26="09"),AA26,SUM(AA26,AC26,AF26))))</f>
        <v/>
      </c>
      <c r="AA26" s="68" t="str">
        <f>IF('Registrar recibidas_gastos'!AA26="","",ROUND('Registrar recibidas_gastos'!AA26,2))</f>
        <v/>
      </c>
      <c r="AB26" s="61" t="str">
        <f>IF('Registrar recibidas_gastos'!AB26="","",'Registrar recibidas_gastos'!AB26)</f>
        <v/>
      </c>
      <c r="AC26" s="68" t="str">
        <f>IF(OR(T26="03",T26="05"),0,IF('Registrar recibidas_gastos'!AC26="","",ROUND(AA26*AB26/100,2)))</f>
        <v/>
      </c>
      <c r="AD26" s="68" t="str">
        <f>IF('Registrar recibidas_gastos'!AD26="","",ROUND('Registrar recibidas_gastos'!AD26,2))</f>
        <v/>
      </c>
      <c r="AE26" s="61" t="str">
        <f>IF('Registrar recibidas_gastos'!AE26="","",'Registrar recibidas_gastos'!AE26)</f>
        <v/>
      </c>
      <c r="AF26" s="68" t="str">
        <f>IF('Registrar recibidas_gastos'!AF26="","",ROUND(AA26*AE26/100,2))</f>
        <v/>
      </c>
      <c r="AG26" s="67" t="str">
        <f>IF('Registrar recibidas_gastos'!AG26="","",'Registrar recibidas_gastos'!AG26)</f>
        <v/>
      </c>
      <c r="AH26" s="68" t="str">
        <f>IF('Registrar recibidas_gastos'!AH26="","",'Registrar recibidas_gastos'!AH26)</f>
        <v/>
      </c>
      <c r="AI26" s="61" t="str">
        <f>IF('Registrar recibidas_gastos'!AI26="","",VLOOKUP(CONCATENATE("MEDIO UTILIZADO",'Registrar recibidas_gastos'!AI26),'CODIGO-LITERAL'!$C:$D,2,FALSE))</f>
        <v/>
      </c>
      <c r="AJ26" s="61" t="str">
        <f>IF('Registrar recibidas_gastos'!AJ26="","",'Registrar recibidas_gastos'!AJ26)</f>
        <v/>
      </c>
      <c r="AK26" s="62"/>
      <c r="AL26" s="69"/>
      <c r="AM26" s="61" t="str">
        <f>IF('Registrar recibidas_gastos'!AM26="","",'Registrar recibidas_gastos'!AM26)</f>
        <v/>
      </c>
      <c r="AN26" s="61" t="str">
        <f>IF('Registrar recibidas_gastos'!AN26="","",VLOOKUP(CONCATENATE("SITUACION",'Registrar recibidas_gastos'!AN26),'CODIGO-LITERAL'!$C:$D,2,FALSE))</f>
        <v/>
      </c>
      <c r="AO26" s="61" t="str">
        <f>IF('Registrar recibidas_gastos'!AO26="","",'Registrar recibidas_gastos'!AO26)</f>
        <v/>
      </c>
      <c r="AP26" s="61" t="str">
        <f>IF('Registrar recibidas_gastos'!AP26="","",'Registrar recibidas_gastos'!AP26)</f>
        <v/>
      </c>
    </row>
    <row r="27" spans="1:42" s="2" customFormat="1" x14ac:dyDescent="0.25">
      <c r="A27" s="66" t="str">
        <f>IF('Registrar recibidas_gastos'!A27="","",'Registrar recibidas_gastos'!A27)</f>
        <v/>
      </c>
      <c r="B27" s="61" t="str">
        <f>IF('Registrar recibidas_gastos'!B27="","",'Registrar recibidas_gastos'!B27)</f>
        <v/>
      </c>
      <c r="C27" s="61" t="str">
        <f>IF('Registrar recibidas_gastos'!C27="","",VLOOKUP(CONCATENATE("ACTIVIDAD",'Registrar recibidas_gastos'!C27),'CODIGO-LITERAL'!$C:$D,2,FALSE))</f>
        <v/>
      </c>
      <c r="D27" s="60" t="str">
        <f>IF(OR(C27="C",C27="D"),"",IF(ISERROR(VLOOKUP(CONCATENATE(C27,'Registrar recibidas_gastos'!D27),'CODIGO-LITERAL'!$C:$D,2,FALSE)),"",VLOOKUP(CONCATENATE(C27,'Registrar recibidas_gastos'!D27),'CODIGO-LITERAL'!$C:$D,2,FALSE)))</f>
        <v/>
      </c>
      <c r="E27" s="61" t="str">
        <f>IF('Registrar recibidas_gastos'!E27="","",'Registrar recibidas_gastos'!E27)</f>
        <v/>
      </c>
      <c r="F27" s="61" t="str">
        <f>IF('Registrar recibidas_gastos'!F27="","",VLOOKUP(CONCATENATE("TIPO FACTURA GASTO",'Registrar recibidas_gastos'!F27),'CODIGO-LITERAL'!$C:$D,2,FALSE))</f>
        <v/>
      </c>
      <c r="G27" s="62"/>
      <c r="H27" s="62"/>
      <c r="I27" s="67" t="str">
        <f>IF('Registrar recibidas_gastos'!I27="","",'Registrar recibidas_gastos'!I27)</f>
        <v/>
      </c>
      <c r="J27" s="67" t="str">
        <f>IF('Registrar recibidas_gastos'!J27="","",'Registrar recibidas_gastos'!J27)</f>
        <v/>
      </c>
      <c r="K27" s="61" t="str">
        <f>IF('Registrar recibidas_gastos'!K27="","",'Registrar recibidas_gastos'!K27)</f>
        <v/>
      </c>
      <c r="L27" s="61" t="str">
        <f>IF('Registrar recibidas_gastos'!L27="","",'Registrar recibidas_gastos'!L27)</f>
        <v/>
      </c>
      <c r="M27" s="67" t="str">
        <f>IF('Registrar recibidas_gastos'!M27="","",'Registrar recibidas_gastos'!M27)</f>
        <v/>
      </c>
      <c r="N27" s="61" t="str">
        <f>IF('Registrar recibidas_gastos'!N27="","",'Registrar recibidas_gastos'!N27)</f>
        <v/>
      </c>
      <c r="O27" s="61" t="str">
        <f>IF('Registrar recibidas_gastos'!O27="","",'Registrar recibidas_gastos'!O27)</f>
        <v/>
      </c>
      <c r="P27" s="61" t="str">
        <f>IF(OR(LEFT('Registrar recibidas_gastos'!P27,2)="01",'Registrar recibidas_gastos'!P27=""),"",VLOOKUP(CONCATENATE("TIPO NIF",'Registrar recibidas_gastos'!P27),'CODIGO-LITERAL'!$C:$D,2,FALSE))</f>
        <v/>
      </c>
      <c r="Q27" s="61" t="str">
        <f>IF('Registrar recibidas_gastos'!Q27="","",'Registrar recibidas_gastos'!Q27)</f>
        <v/>
      </c>
      <c r="R27" s="61" t="str">
        <f>IF('Registrar recibidas_gastos'!R27="","",'Registrar recibidas_gastos'!R27)</f>
        <v/>
      </c>
      <c r="S27" s="61" t="str">
        <f>IF('Registrar recibidas_gastos'!S27="","",'Registrar recibidas_gastos'!S27)</f>
        <v/>
      </c>
      <c r="T27" s="61" t="str">
        <f>IF('Registrar recibidas_gastos'!T27="","",VLOOKUP(CONCATENATE("CLAVE OPERACION GASTO",'Registrar recibidas_gastos'!T27),'CODIGO-LITERAL'!$C:$D,2,FALSE))</f>
        <v/>
      </c>
      <c r="U27" s="61" t="str">
        <f>IF(T27="","",IF(OR(T27="02",T27="08"),"N",IF('Registrar recibidas_gastos'!U27="","N",'Registrar recibidas_gastos'!U27)))</f>
        <v/>
      </c>
      <c r="V27" s="61" t="str">
        <f>IF(T27="","",IF(OR(T27="07",T27="08",T27="09",F27="F5",F27="LC"),"N",IF('Registrar recibidas_gastos'!V27="","N",'Registrar recibidas_gastos'!V27)))</f>
        <v/>
      </c>
      <c r="W27" s="61" t="str">
        <f>IF(AND(X27="",Y27=""),"",IF(AND(RECIBIDAS_GASTOS!$X27&lt;&gt;"",RECIBIDAS_GASTOS!$Y27&lt;&gt;""),"S",IF('Registrar recibidas_gastos'!W27="","N",'Registrar recibidas_gastos'!W27)))</f>
        <v/>
      </c>
      <c r="X27" s="67" t="str">
        <f>IF('Registrar recibidas_gastos'!X27="","",'Registrar recibidas_gastos'!X27)</f>
        <v/>
      </c>
      <c r="Y27" s="61" t="str">
        <f>IF('Registrar recibidas_gastos'!Y27="","",'Registrar recibidas_gastos'!Y27)</f>
        <v/>
      </c>
      <c r="Z27" s="68" t="str">
        <f>IF('Registrar recibidas_gastos'!Z27="","",IF(AND(F27="",T27=""),"",IF(OR(T27="03",T27="05",T27="09"),AA27,SUM(AA27,AC27,AF27))))</f>
        <v/>
      </c>
      <c r="AA27" s="68" t="str">
        <f>IF('Registrar recibidas_gastos'!AA27="","",ROUND('Registrar recibidas_gastos'!AA27,2))</f>
        <v/>
      </c>
      <c r="AB27" s="61" t="str">
        <f>IF('Registrar recibidas_gastos'!AB27="","",'Registrar recibidas_gastos'!AB27)</f>
        <v/>
      </c>
      <c r="AC27" s="68" t="str">
        <f>IF(OR(T27="03",T27="05"),0,IF('Registrar recibidas_gastos'!AC27="","",ROUND(AA27*AB27/100,2)))</f>
        <v/>
      </c>
      <c r="AD27" s="68" t="str">
        <f>IF('Registrar recibidas_gastos'!AD27="","",ROUND('Registrar recibidas_gastos'!AD27,2))</f>
        <v/>
      </c>
      <c r="AE27" s="61" t="str">
        <f>IF('Registrar recibidas_gastos'!AE27="","",'Registrar recibidas_gastos'!AE27)</f>
        <v/>
      </c>
      <c r="AF27" s="68" t="str">
        <f>IF('Registrar recibidas_gastos'!AF27="","",ROUND(AA27*AE27/100,2))</f>
        <v/>
      </c>
      <c r="AG27" s="67" t="str">
        <f>IF('Registrar recibidas_gastos'!AG27="","",'Registrar recibidas_gastos'!AG27)</f>
        <v/>
      </c>
      <c r="AH27" s="68" t="str">
        <f>IF('Registrar recibidas_gastos'!AH27="","",'Registrar recibidas_gastos'!AH27)</f>
        <v/>
      </c>
      <c r="AI27" s="61" t="str">
        <f>IF('Registrar recibidas_gastos'!AI27="","",VLOOKUP(CONCATENATE("MEDIO UTILIZADO",'Registrar recibidas_gastos'!AI27),'CODIGO-LITERAL'!$C:$D,2,FALSE))</f>
        <v/>
      </c>
      <c r="AJ27" s="61" t="str">
        <f>IF('Registrar recibidas_gastos'!AJ27="","",'Registrar recibidas_gastos'!AJ27)</f>
        <v/>
      </c>
      <c r="AK27" s="62"/>
      <c r="AL27" s="69"/>
      <c r="AM27" s="61" t="str">
        <f>IF('Registrar recibidas_gastos'!AM27="","",'Registrar recibidas_gastos'!AM27)</f>
        <v/>
      </c>
      <c r="AN27" s="61" t="str">
        <f>IF('Registrar recibidas_gastos'!AN27="","",VLOOKUP(CONCATENATE("SITUACION",'Registrar recibidas_gastos'!AN27),'CODIGO-LITERAL'!$C:$D,2,FALSE))</f>
        <v/>
      </c>
      <c r="AO27" s="61" t="str">
        <f>IF('Registrar recibidas_gastos'!AO27="","",'Registrar recibidas_gastos'!AO27)</f>
        <v/>
      </c>
      <c r="AP27" s="61" t="str">
        <f>IF('Registrar recibidas_gastos'!AP27="","",'Registrar recibidas_gastos'!AP27)</f>
        <v/>
      </c>
    </row>
    <row r="28" spans="1:42" s="2" customFormat="1" x14ac:dyDescent="0.25">
      <c r="A28" s="66" t="str">
        <f>IF('Registrar recibidas_gastos'!A28="","",'Registrar recibidas_gastos'!A28)</f>
        <v/>
      </c>
      <c r="B28" s="61" t="str">
        <f>IF('Registrar recibidas_gastos'!B28="","",'Registrar recibidas_gastos'!B28)</f>
        <v/>
      </c>
      <c r="C28" s="61" t="str">
        <f>IF('Registrar recibidas_gastos'!C28="","",VLOOKUP(CONCATENATE("ACTIVIDAD",'Registrar recibidas_gastos'!C28),'CODIGO-LITERAL'!$C:$D,2,FALSE))</f>
        <v/>
      </c>
      <c r="D28" s="60" t="str">
        <f>IF(OR(C28="C",C28="D"),"",IF(ISERROR(VLOOKUP(CONCATENATE(C28,'Registrar recibidas_gastos'!D28),'CODIGO-LITERAL'!$C:$D,2,FALSE)),"",VLOOKUP(CONCATENATE(C28,'Registrar recibidas_gastos'!D28),'CODIGO-LITERAL'!$C:$D,2,FALSE)))</f>
        <v/>
      </c>
      <c r="E28" s="61" t="str">
        <f>IF('Registrar recibidas_gastos'!E28="","",'Registrar recibidas_gastos'!E28)</f>
        <v/>
      </c>
      <c r="F28" s="61" t="str">
        <f>IF('Registrar recibidas_gastos'!F28="","",VLOOKUP(CONCATENATE("TIPO FACTURA GASTO",'Registrar recibidas_gastos'!F28),'CODIGO-LITERAL'!$C:$D,2,FALSE))</f>
        <v/>
      </c>
      <c r="G28" s="62"/>
      <c r="H28" s="62"/>
      <c r="I28" s="67" t="str">
        <f>IF('Registrar recibidas_gastos'!I28="","",'Registrar recibidas_gastos'!I28)</f>
        <v/>
      </c>
      <c r="J28" s="67" t="str">
        <f>IF('Registrar recibidas_gastos'!J28="","",'Registrar recibidas_gastos'!J28)</f>
        <v/>
      </c>
      <c r="K28" s="61" t="str">
        <f>IF('Registrar recibidas_gastos'!K28="","",'Registrar recibidas_gastos'!K28)</f>
        <v/>
      </c>
      <c r="L28" s="61" t="str">
        <f>IF('Registrar recibidas_gastos'!L28="","",'Registrar recibidas_gastos'!L28)</f>
        <v/>
      </c>
      <c r="M28" s="67" t="str">
        <f>IF('Registrar recibidas_gastos'!M28="","",'Registrar recibidas_gastos'!M28)</f>
        <v/>
      </c>
      <c r="N28" s="61" t="str">
        <f>IF('Registrar recibidas_gastos'!N28="","",'Registrar recibidas_gastos'!N28)</f>
        <v/>
      </c>
      <c r="O28" s="61" t="str">
        <f>IF('Registrar recibidas_gastos'!O28="","",'Registrar recibidas_gastos'!O28)</f>
        <v/>
      </c>
      <c r="P28" s="61" t="str">
        <f>IF(OR(LEFT('Registrar recibidas_gastos'!P28,2)="01",'Registrar recibidas_gastos'!P28=""),"",VLOOKUP(CONCATENATE("TIPO NIF",'Registrar recibidas_gastos'!P28),'CODIGO-LITERAL'!$C:$D,2,FALSE))</f>
        <v/>
      </c>
      <c r="Q28" s="61" t="str">
        <f>IF('Registrar recibidas_gastos'!Q28="","",'Registrar recibidas_gastos'!Q28)</f>
        <v/>
      </c>
      <c r="R28" s="61" t="str">
        <f>IF('Registrar recibidas_gastos'!R28="","",'Registrar recibidas_gastos'!R28)</f>
        <v/>
      </c>
      <c r="S28" s="61" t="str">
        <f>IF('Registrar recibidas_gastos'!S28="","",'Registrar recibidas_gastos'!S28)</f>
        <v/>
      </c>
      <c r="T28" s="61" t="str">
        <f>IF('Registrar recibidas_gastos'!T28="","",VLOOKUP(CONCATENATE("CLAVE OPERACION GASTO",'Registrar recibidas_gastos'!T28),'CODIGO-LITERAL'!$C:$D,2,FALSE))</f>
        <v/>
      </c>
      <c r="U28" s="61" t="str">
        <f>IF(T28="","",IF(OR(T28="02",T28="08"),"N",IF('Registrar recibidas_gastos'!U28="","N",'Registrar recibidas_gastos'!U28)))</f>
        <v/>
      </c>
      <c r="V28" s="61" t="str">
        <f>IF(T28="","",IF(OR(T28="07",T28="08",T28="09",F28="F5",F28="LC"),"N",IF('Registrar recibidas_gastos'!V28="","N",'Registrar recibidas_gastos'!V28)))</f>
        <v/>
      </c>
      <c r="W28" s="61" t="str">
        <f>IF(AND(X28="",Y28=""),"",IF(AND(RECIBIDAS_GASTOS!$X28&lt;&gt;"",RECIBIDAS_GASTOS!$Y28&lt;&gt;""),"S",IF('Registrar recibidas_gastos'!W28="","N",'Registrar recibidas_gastos'!W28)))</f>
        <v/>
      </c>
      <c r="X28" s="67" t="str">
        <f>IF('Registrar recibidas_gastos'!X28="","",'Registrar recibidas_gastos'!X28)</f>
        <v/>
      </c>
      <c r="Y28" s="61" t="str">
        <f>IF('Registrar recibidas_gastos'!Y28="","",'Registrar recibidas_gastos'!Y28)</f>
        <v/>
      </c>
      <c r="Z28" s="68" t="str">
        <f>IF('Registrar recibidas_gastos'!Z28="","",IF(AND(F28="",T28=""),"",IF(OR(T28="03",T28="05",T28="09"),AA28,SUM(AA28,AC28,AF28))))</f>
        <v/>
      </c>
      <c r="AA28" s="68" t="str">
        <f>IF('Registrar recibidas_gastos'!AA28="","",ROUND('Registrar recibidas_gastos'!AA28,2))</f>
        <v/>
      </c>
      <c r="AB28" s="61" t="str">
        <f>IF('Registrar recibidas_gastos'!AB28="","",'Registrar recibidas_gastos'!AB28)</f>
        <v/>
      </c>
      <c r="AC28" s="68" t="str">
        <f>IF(OR(T28="03",T28="05"),0,IF('Registrar recibidas_gastos'!AC28="","",ROUND(AA28*AB28/100,2)))</f>
        <v/>
      </c>
      <c r="AD28" s="68" t="str">
        <f>IF('Registrar recibidas_gastos'!AD28="","",ROUND('Registrar recibidas_gastos'!AD28,2))</f>
        <v/>
      </c>
      <c r="AE28" s="61" t="str">
        <f>IF('Registrar recibidas_gastos'!AE28="","",'Registrar recibidas_gastos'!AE28)</f>
        <v/>
      </c>
      <c r="AF28" s="68" t="str">
        <f>IF('Registrar recibidas_gastos'!AF28="","",ROUND(AA28*AE28/100,2))</f>
        <v/>
      </c>
      <c r="AG28" s="67" t="str">
        <f>IF('Registrar recibidas_gastos'!AG28="","",'Registrar recibidas_gastos'!AG28)</f>
        <v/>
      </c>
      <c r="AH28" s="68" t="str">
        <f>IF('Registrar recibidas_gastos'!AH28="","",'Registrar recibidas_gastos'!AH28)</f>
        <v/>
      </c>
      <c r="AI28" s="61" t="str">
        <f>IF('Registrar recibidas_gastos'!AI28="","",VLOOKUP(CONCATENATE("MEDIO UTILIZADO",'Registrar recibidas_gastos'!AI28),'CODIGO-LITERAL'!$C:$D,2,FALSE))</f>
        <v/>
      </c>
      <c r="AJ28" s="61" t="str">
        <f>IF('Registrar recibidas_gastos'!AJ28="","",'Registrar recibidas_gastos'!AJ28)</f>
        <v/>
      </c>
      <c r="AK28" s="62"/>
      <c r="AL28" s="69"/>
      <c r="AM28" s="61" t="str">
        <f>IF('Registrar recibidas_gastos'!AM28="","",'Registrar recibidas_gastos'!AM28)</f>
        <v/>
      </c>
      <c r="AN28" s="61" t="str">
        <f>IF('Registrar recibidas_gastos'!AN28="","",VLOOKUP(CONCATENATE("SITUACION",'Registrar recibidas_gastos'!AN28),'CODIGO-LITERAL'!$C:$D,2,FALSE))</f>
        <v/>
      </c>
      <c r="AO28" s="61" t="str">
        <f>IF('Registrar recibidas_gastos'!AO28="","",'Registrar recibidas_gastos'!AO28)</f>
        <v/>
      </c>
      <c r="AP28" s="61" t="str">
        <f>IF('Registrar recibidas_gastos'!AP28="","",'Registrar recibidas_gastos'!AP28)</f>
        <v/>
      </c>
    </row>
    <row r="29" spans="1:42" s="2" customFormat="1" x14ac:dyDescent="0.25">
      <c r="A29" s="66" t="str">
        <f>IF('Registrar recibidas_gastos'!A29="","",'Registrar recibidas_gastos'!A29)</f>
        <v/>
      </c>
      <c r="B29" s="61" t="str">
        <f>IF('Registrar recibidas_gastos'!B29="","",'Registrar recibidas_gastos'!B29)</f>
        <v/>
      </c>
      <c r="C29" s="61" t="str">
        <f>IF('Registrar recibidas_gastos'!C29="","",VLOOKUP(CONCATENATE("ACTIVIDAD",'Registrar recibidas_gastos'!C29),'CODIGO-LITERAL'!$C:$D,2,FALSE))</f>
        <v/>
      </c>
      <c r="D29" s="60" t="str">
        <f>IF(OR(C29="C",C29="D"),"",IF(ISERROR(VLOOKUP(CONCATENATE(C29,'Registrar recibidas_gastos'!D29),'CODIGO-LITERAL'!$C:$D,2,FALSE)),"",VLOOKUP(CONCATENATE(C29,'Registrar recibidas_gastos'!D29),'CODIGO-LITERAL'!$C:$D,2,FALSE)))</f>
        <v/>
      </c>
      <c r="E29" s="61" t="str">
        <f>IF('Registrar recibidas_gastos'!E29="","",'Registrar recibidas_gastos'!E29)</f>
        <v/>
      </c>
      <c r="F29" s="61" t="str">
        <f>IF('Registrar recibidas_gastos'!F29="","",VLOOKUP(CONCATENATE("TIPO FACTURA GASTO",'Registrar recibidas_gastos'!F29),'CODIGO-LITERAL'!$C:$D,2,FALSE))</f>
        <v/>
      </c>
      <c r="G29" s="62"/>
      <c r="H29" s="62"/>
      <c r="I29" s="67" t="str">
        <f>IF('Registrar recibidas_gastos'!I29="","",'Registrar recibidas_gastos'!I29)</f>
        <v/>
      </c>
      <c r="J29" s="67" t="str">
        <f>IF('Registrar recibidas_gastos'!J29="","",'Registrar recibidas_gastos'!J29)</f>
        <v/>
      </c>
      <c r="K29" s="61" t="str">
        <f>IF('Registrar recibidas_gastos'!K29="","",'Registrar recibidas_gastos'!K29)</f>
        <v/>
      </c>
      <c r="L29" s="61" t="str">
        <f>IF('Registrar recibidas_gastos'!L29="","",'Registrar recibidas_gastos'!L29)</f>
        <v/>
      </c>
      <c r="M29" s="67" t="str">
        <f>IF('Registrar recibidas_gastos'!M29="","",'Registrar recibidas_gastos'!M29)</f>
        <v/>
      </c>
      <c r="N29" s="61" t="str">
        <f>IF('Registrar recibidas_gastos'!N29="","",'Registrar recibidas_gastos'!N29)</f>
        <v/>
      </c>
      <c r="O29" s="61" t="str">
        <f>IF('Registrar recibidas_gastos'!O29="","",'Registrar recibidas_gastos'!O29)</f>
        <v/>
      </c>
      <c r="P29" s="61" t="str">
        <f>IF(OR(LEFT('Registrar recibidas_gastos'!P29,2)="01",'Registrar recibidas_gastos'!P29=""),"",VLOOKUP(CONCATENATE("TIPO NIF",'Registrar recibidas_gastos'!P29),'CODIGO-LITERAL'!$C:$D,2,FALSE))</f>
        <v/>
      </c>
      <c r="Q29" s="61" t="str">
        <f>IF('Registrar recibidas_gastos'!Q29="","",'Registrar recibidas_gastos'!Q29)</f>
        <v/>
      </c>
      <c r="R29" s="61" t="str">
        <f>IF('Registrar recibidas_gastos'!R29="","",'Registrar recibidas_gastos'!R29)</f>
        <v/>
      </c>
      <c r="S29" s="61" t="str">
        <f>IF('Registrar recibidas_gastos'!S29="","",'Registrar recibidas_gastos'!S29)</f>
        <v/>
      </c>
      <c r="T29" s="61" t="str">
        <f>IF('Registrar recibidas_gastos'!T29="","",VLOOKUP(CONCATENATE("CLAVE OPERACION GASTO",'Registrar recibidas_gastos'!T29),'CODIGO-LITERAL'!$C:$D,2,FALSE))</f>
        <v/>
      </c>
      <c r="U29" s="61" t="str">
        <f>IF(T29="","",IF(OR(T29="02",T29="08"),"N",IF('Registrar recibidas_gastos'!U29="","N",'Registrar recibidas_gastos'!U29)))</f>
        <v/>
      </c>
      <c r="V29" s="61" t="str">
        <f>IF(T29="","",IF(OR(T29="07",T29="08",T29="09",F29="F5",F29="LC"),"N",IF('Registrar recibidas_gastos'!V29="","N",'Registrar recibidas_gastos'!V29)))</f>
        <v/>
      </c>
      <c r="W29" s="61" t="str">
        <f>IF(AND(X29="",Y29=""),"",IF(AND(RECIBIDAS_GASTOS!$X29&lt;&gt;"",RECIBIDAS_GASTOS!$Y29&lt;&gt;""),"S",IF('Registrar recibidas_gastos'!W29="","N",'Registrar recibidas_gastos'!W29)))</f>
        <v/>
      </c>
      <c r="X29" s="67" t="str">
        <f>IF('Registrar recibidas_gastos'!X29="","",'Registrar recibidas_gastos'!X29)</f>
        <v/>
      </c>
      <c r="Y29" s="61" t="str">
        <f>IF('Registrar recibidas_gastos'!Y29="","",'Registrar recibidas_gastos'!Y29)</f>
        <v/>
      </c>
      <c r="Z29" s="68" t="str">
        <f>IF('Registrar recibidas_gastos'!Z29="","",IF(AND(F29="",T29=""),"",IF(OR(T29="03",T29="05",T29="09"),AA29,SUM(AA29,AC29,AF29))))</f>
        <v/>
      </c>
      <c r="AA29" s="68" t="str">
        <f>IF('Registrar recibidas_gastos'!AA29="","",ROUND('Registrar recibidas_gastos'!AA29,2))</f>
        <v/>
      </c>
      <c r="AB29" s="61" t="str">
        <f>IF('Registrar recibidas_gastos'!AB29="","",'Registrar recibidas_gastos'!AB29)</f>
        <v/>
      </c>
      <c r="AC29" s="68" t="str">
        <f>IF(OR(T29="03",T29="05"),0,IF('Registrar recibidas_gastos'!AC29="","",ROUND(AA29*AB29/100,2)))</f>
        <v/>
      </c>
      <c r="AD29" s="68" t="str">
        <f>IF('Registrar recibidas_gastos'!AD29="","",ROUND('Registrar recibidas_gastos'!AD29,2))</f>
        <v/>
      </c>
      <c r="AE29" s="61" t="str">
        <f>IF('Registrar recibidas_gastos'!AE29="","",'Registrar recibidas_gastos'!AE29)</f>
        <v/>
      </c>
      <c r="AF29" s="68" t="str">
        <f>IF('Registrar recibidas_gastos'!AF29="","",ROUND(AA29*AE29/100,2))</f>
        <v/>
      </c>
      <c r="AG29" s="67" t="str">
        <f>IF('Registrar recibidas_gastos'!AG29="","",'Registrar recibidas_gastos'!AG29)</f>
        <v/>
      </c>
      <c r="AH29" s="68" t="str">
        <f>IF('Registrar recibidas_gastos'!AH29="","",'Registrar recibidas_gastos'!AH29)</f>
        <v/>
      </c>
      <c r="AI29" s="61" t="str">
        <f>IF('Registrar recibidas_gastos'!AI29="","",VLOOKUP(CONCATENATE("MEDIO UTILIZADO",'Registrar recibidas_gastos'!AI29),'CODIGO-LITERAL'!$C:$D,2,FALSE))</f>
        <v/>
      </c>
      <c r="AJ29" s="61" t="str">
        <f>IF('Registrar recibidas_gastos'!AJ29="","",'Registrar recibidas_gastos'!AJ29)</f>
        <v/>
      </c>
      <c r="AK29" s="62"/>
      <c r="AL29" s="69"/>
      <c r="AM29" s="61" t="str">
        <f>IF('Registrar recibidas_gastos'!AM29="","",'Registrar recibidas_gastos'!AM29)</f>
        <v/>
      </c>
      <c r="AN29" s="61" t="str">
        <f>IF('Registrar recibidas_gastos'!AN29="","",VLOOKUP(CONCATENATE("SITUACION",'Registrar recibidas_gastos'!AN29),'CODIGO-LITERAL'!$C:$D,2,FALSE))</f>
        <v/>
      </c>
      <c r="AO29" s="61" t="str">
        <f>IF('Registrar recibidas_gastos'!AO29="","",'Registrar recibidas_gastos'!AO29)</f>
        <v/>
      </c>
      <c r="AP29" s="61" t="str">
        <f>IF('Registrar recibidas_gastos'!AP29="","",'Registrar recibidas_gastos'!AP29)</f>
        <v/>
      </c>
    </row>
    <row r="30" spans="1:42" s="2" customFormat="1" x14ac:dyDescent="0.25">
      <c r="A30" s="66" t="str">
        <f>IF('Registrar recibidas_gastos'!A30="","",'Registrar recibidas_gastos'!A30)</f>
        <v/>
      </c>
      <c r="B30" s="61" t="str">
        <f>IF('Registrar recibidas_gastos'!B30="","",'Registrar recibidas_gastos'!B30)</f>
        <v/>
      </c>
      <c r="C30" s="61" t="str">
        <f>IF('Registrar recibidas_gastos'!C30="","",VLOOKUP(CONCATENATE("ACTIVIDAD",'Registrar recibidas_gastos'!C30),'CODIGO-LITERAL'!$C:$D,2,FALSE))</f>
        <v/>
      </c>
      <c r="D30" s="60" t="str">
        <f>IF(OR(C30="C",C30="D"),"",IF(ISERROR(VLOOKUP(CONCATENATE(C30,'Registrar recibidas_gastos'!D30),'CODIGO-LITERAL'!$C:$D,2,FALSE)),"",VLOOKUP(CONCATENATE(C30,'Registrar recibidas_gastos'!D30),'CODIGO-LITERAL'!$C:$D,2,FALSE)))</f>
        <v/>
      </c>
      <c r="E30" s="61" t="str">
        <f>IF('Registrar recibidas_gastos'!E30="","",'Registrar recibidas_gastos'!E30)</f>
        <v/>
      </c>
      <c r="F30" s="61" t="str">
        <f>IF('Registrar recibidas_gastos'!F30="","",VLOOKUP(CONCATENATE("TIPO FACTURA GASTO",'Registrar recibidas_gastos'!F30),'CODIGO-LITERAL'!$C:$D,2,FALSE))</f>
        <v/>
      </c>
      <c r="G30" s="62"/>
      <c r="H30" s="62"/>
      <c r="I30" s="67" t="str">
        <f>IF('Registrar recibidas_gastos'!I30="","",'Registrar recibidas_gastos'!I30)</f>
        <v/>
      </c>
      <c r="J30" s="67" t="str">
        <f>IF('Registrar recibidas_gastos'!J30="","",'Registrar recibidas_gastos'!J30)</f>
        <v/>
      </c>
      <c r="K30" s="61" t="str">
        <f>IF('Registrar recibidas_gastos'!K30="","",'Registrar recibidas_gastos'!K30)</f>
        <v/>
      </c>
      <c r="L30" s="61" t="str">
        <f>IF('Registrar recibidas_gastos'!L30="","",'Registrar recibidas_gastos'!L30)</f>
        <v/>
      </c>
      <c r="M30" s="67" t="str">
        <f>IF('Registrar recibidas_gastos'!M30="","",'Registrar recibidas_gastos'!M30)</f>
        <v/>
      </c>
      <c r="N30" s="61" t="str">
        <f>IF('Registrar recibidas_gastos'!N30="","",'Registrar recibidas_gastos'!N30)</f>
        <v/>
      </c>
      <c r="O30" s="61" t="str">
        <f>IF('Registrar recibidas_gastos'!O30="","",'Registrar recibidas_gastos'!O30)</f>
        <v/>
      </c>
      <c r="P30" s="61" t="str">
        <f>IF(OR(LEFT('Registrar recibidas_gastos'!P30,2)="01",'Registrar recibidas_gastos'!P30=""),"",VLOOKUP(CONCATENATE("TIPO NIF",'Registrar recibidas_gastos'!P30),'CODIGO-LITERAL'!$C:$D,2,FALSE))</f>
        <v/>
      </c>
      <c r="Q30" s="61" t="str">
        <f>IF('Registrar recibidas_gastos'!Q30="","",'Registrar recibidas_gastos'!Q30)</f>
        <v/>
      </c>
      <c r="R30" s="61" t="str">
        <f>IF('Registrar recibidas_gastos'!R30="","",'Registrar recibidas_gastos'!R30)</f>
        <v/>
      </c>
      <c r="S30" s="61" t="str">
        <f>IF('Registrar recibidas_gastos'!S30="","",'Registrar recibidas_gastos'!S30)</f>
        <v/>
      </c>
      <c r="T30" s="61" t="str">
        <f>IF('Registrar recibidas_gastos'!T30="","",VLOOKUP(CONCATENATE("CLAVE OPERACION GASTO",'Registrar recibidas_gastos'!T30),'CODIGO-LITERAL'!$C:$D,2,FALSE))</f>
        <v/>
      </c>
      <c r="U30" s="61" t="str">
        <f>IF(T30="","",IF(OR(T30="02",T30="08"),"N",IF('Registrar recibidas_gastos'!U30="","N",'Registrar recibidas_gastos'!U30)))</f>
        <v/>
      </c>
      <c r="V30" s="61" t="str">
        <f>IF(T30="","",IF(OR(T30="07",T30="08",T30="09",F30="F5",F30="LC"),"N",IF('Registrar recibidas_gastos'!V30="","N",'Registrar recibidas_gastos'!V30)))</f>
        <v/>
      </c>
      <c r="W30" s="61" t="str">
        <f>IF(AND(X30="",Y30=""),"",IF(AND(RECIBIDAS_GASTOS!$X30&lt;&gt;"",RECIBIDAS_GASTOS!$Y30&lt;&gt;""),"S",IF('Registrar recibidas_gastos'!W30="","N",'Registrar recibidas_gastos'!W30)))</f>
        <v/>
      </c>
      <c r="X30" s="67" t="str">
        <f>IF('Registrar recibidas_gastos'!X30="","",'Registrar recibidas_gastos'!X30)</f>
        <v/>
      </c>
      <c r="Y30" s="61" t="str">
        <f>IF('Registrar recibidas_gastos'!Y30="","",'Registrar recibidas_gastos'!Y30)</f>
        <v/>
      </c>
      <c r="Z30" s="68" t="str">
        <f>IF('Registrar recibidas_gastos'!Z30="","",IF(AND(F30="",T30=""),"",IF(OR(T30="03",T30="05",T30="09"),AA30,SUM(AA30,AC30,AF30))))</f>
        <v/>
      </c>
      <c r="AA30" s="68" t="str">
        <f>IF('Registrar recibidas_gastos'!AA30="","",ROUND('Registrar recibidas_gastos'!AA30,2))</f>
        <v/>
      </c>
      <c r="AB30" s="61" t="str">
        <f>IF('Registrar recibidas_gastos'!AB30="","",'Registrar recibidas_gastos'!AB30)</f>
        <v/>
      </c>
      <c r="AC30" s="68" t="str">
        <f>IF(OR(T30="03",T30="05"),0,IF('Registrar recibidas_gastos'!AC30="","",ROUND(AA30*AB30/100,2)))</f>
        <v/>
      </c>
      <c r="AD30" s="68" t="str">
        <f>IF('Registrar recibidas_gastos'!AD30="","",ROUND('Registrar recibidas_gastos'!AD30,2))</f>
        <v/>
      </c>
      <c r="AE30" s="61" t="str">
        <f>IF('Registrar recibidas_gastos'!AE30="","",'Registrar recibidas_gastos'!AE30)</f>
        <v/>
      </c>
      <c r="AF30" s="68" t="str">
        <f>IF('Registrar recibidas_gastos'!AF30="","",ROUND(AA30*AE30/100,2))</f>
        <v/>
      </c>
      <c r="AG30" s="67" t="str">
        <f>IF('Registrar recibidas_gastos'!AG30="","",'Registrar recibidas_gastos'!AG30)</f>
        <v/>
      </c>
      <c r="AH30" s="68" t="str">
        <f>IF('Registrar recibidas_gastos'!AH30="","",'Registrar recibidas_gastos'!AH30)</f>
        <v/>
      </c>
      <c r="AI30" s="61" t="str">
        <f>IF('Registrar recibidas_gastos'!AI30="","",VLOOKUP(CONCATENATE("MEDIO UTILIZADO",'Registrar recibidas_gastos'!AI30),'CODIGO-LITERAL'!$C:$D,2,FALSE))</f>
        <v/>
      </c>
      <c r="AJ30" s="61" t="str">
        <f>IF('Registrar recibidas_gastos'!AJ30="","",'Registrar recibidas_gastos'!AJ30)</f>
        <v/>
      </c>
      <c r="AK30" s="62"/>
      <c r="AL30" s="69"/>
      <c r="AM30" s="61" t="str">
        <f>IF('Registrar recibidas_gastos'!AM30="","",'Registrar recibidas_gastos'!AM30)</f>
        <v/>
      </c>
      <c r="AN30" s="61" t="str">
        <f>IF('Registrar recibidas_gastos'!AN30="","",VLOOKUP(CONCATENATE("SITUACION",'Registrar recibidas_gastos'!AN30),'CODIGO-LITERAL'!$C:$D,2,FALSE))</f>
        <v/>
      </c>
      <c r="AO30" s="61" t="str">
        <f>IF('Registrar recibidas_gastos'!AO30="","",'Registrar recibidas_gastos'!AO30)</f>
        <v/>
      </c>
      <c r="AP30" s="61" t="str">
        <f>IF('Registrar recibidas_gastos'!AP30="","",'Registrar recibidas_gastos'!AP30)</f>
        <v/>
      </c>
    </row>
    <row r="31" spans="1:42" s="2" customFormat="1" x14ac:dyDescent="0.25">
      <c r="A31" s="66" t="str">
        <f>IF('Registrar recibidas_gastos'!A31="","",'Registrar recibidas_gastos'!A31)</f>
        <v/>
      </c>
      <c r="B31" s="61" t="str">
        <f>IF('Registrar recibidas_gastos'!B31="","",'Registrar recibidas_gastos'!B31)</f>
        <v/>
      </c>
      <c r="C31" s="61" t="str">
        <f>IF('Registrar recibidas_gastos'!C31="","",VLOOKUP(CONCATENATE("ACTIVIDAD",'Registrar recibidas_gastos'!C31),'CODIGO-LITERAL'!$C:$D,2,FALSE))</f>
        <v/>
      </c>
      <c r="D31" s="60" t="str">
        <f>IF(OR(C31="C",C31="D"),"",IF(ISERROR(VLOOKUP(CONCATENATE(C31,'Registrar recibidas_gastos'!D31),'CODIGO-LITERAL'!$C:$D,2,FALSE)),"",VLOOKUP(CONCATENATE(C31,'Registrar recibidas_gastos'!D31),'CODIGO-LITERAL'!$C:$D,2,FALSE)))</f>
        <v/>
      </c>
      <c r="E31" s="61" t="str">
        <f>IF('Registrar recibidas_gastos'!E31="","",'Registrar recibidas_gastos'!E31)</f>
        <v/>
      </c>
      <c r="F31" s="61" t="str">
        <f>IF('Registrar recibidas_gastos'!F31="","",VLOOKUP(CONCATENATE("TIPO FACTURA GASTO",'Registrar recibidas_gastos'!F31),'CODIGO-LITERAL'!$C:$D,2,FALSE))</f>
        <v/>
      </c>
      <c r="G31" s="62"/>
      <c r="H31" s="62"/>
      <c r="I31" s="67" t="str">
        <f>IF('Registrar recibidas_gastos'!I31="","",'Registrar recibidas_gastos'!I31)</f>
        <v/>
      </c>
      <c r="J31" s="67" t="str">
        <f>IF('Registrar recibidas_gastos'!J31="","",'Registrar recibidas_gastos'!J31)</f>
        <v/>
      </c>
      <c r="K31" s="61" t="str">
        <f>IF('Registrar recibidas_gastos'!K31="","",'Registrar recibidas_gastos'!K31)</f>
        <v/>
      </c>
      <c r="L31" s="61" t="str">
        <f>IF('Registrar recibidas_gastos'!L31="","",'Registrar recibidas_gastos'!L31)</f>
        <v/>
      </c>
      <c r="M31" s="67" t="str">
        <f>IF('Registrar recibidas_gastos'!M31="","",'Registrar recibidas_gastos'!M31)</f>
        <v/>
      </c>
      <c r="N31" s="61" t="str">
        <f>IF('Registrar recibidas_gastos'!N31="","",'Registrar recibidas_gastos'!N31)</f>
        <v/>
      </c>
      <c r="O31" s="61" t="str">
        <f>IF('Registrar recibidas_gastos'!O31="","",'Registrar recibidas_gastos'!O31)</f>
        <v/>
      </c>
      <c r="P31" s="61" t="str">
        <f>IF(OR(LEFT('Registrar recibidas_gastos'!P31,2)="01",'Registrar recibidas_gastos'!P31=""),"",VLOOKUP(CONCATENATE("TIPO NIF",'Registrar recibidas_gastos'!P31),'CODIGO-LITERAL'!$C:$D,2,FALSE))</f>
        <v/>
      </c>
      <c r="Q31" s="61" t="str">
        <f>IF('Registrar recibidas_gastos'!Q31="","",'Registrar recibidas_gastos'!Q31)</f>
        <v/>
      </c>
      <c r="R31" s="61" t="str">
        <f>IF('Registrar recibidas_gastos'!R31="","",'Registrar recibidas_gastos'!R31)</f>
        <v/>
      </c>
      <c r="S31" s="61" t="str">
        <f>IF('Registrar recibidas_gastos'!S31="","",'Registrar recibidas_gastos'!S31)</f>
        <v/>
      </c>
      <c r="T31" s="61" t="str">
        <f>IF('Registrar recibidas_gastos'!T31="","",VLOOKUP(CONCATENATE("CLAVE OPERACION GASTO",'Registrar recibidas_gastos'!T31),'CODIGO-LITERAL'!$C:$D,2,FALSE))</f>
        <v/>
      </c>
      <c r="U31" s="61" t="str">
        <f>IF(T31="","",IF(OR(T31="02",T31="08"),"N",IF('Registrar recibidas_gastos'!U31="","N",'Registrar recibidas_gastos'!U31)))</f>
        <v/>
      </c>
      <c r="V31" s="61" t="str">
        <f>IF(T31="","",IF(OR(T31="07",T31="08",T31="09",F31="F5",F31="LC"),"N",IF('Registrar recibidas_gastos'!V31="","N",'Registrar recibidas_gastos'!V31)))</f>
        <v/>
      </c>
      <c r="W31" s="61" t="str">
        <f>IF(AND(X31="",Y31=""),"",IF(AND(RECIBIDAS_GASTOS!$X31&lt;&gt;"",RECIBIDAS_GASTOS!$Y31&lt;&gt;""),"S",IF('Registrar recibidas_gastos'!W31="","N",'Registrar recibidas_gastos'!W31)))</f>
        <v/>
      </c>
      <c r="X31" s="67" t="str">
        <f>IF('Registrar recibidas_gastos'!X31="","",'Registrar recibidas_gastos'!X31)</f>
        <v/>
      </c>
      <c r="Y31" s="61" t="str">
        <f>IF('Registrar recibidas_gastos'!Y31="","",'Registrar recibidas_gastos'!Y31)</f>
        <v/>
      </c>
      <c r="Z31" s="68" t="str">
        <f>IF('Registrar recibidas_gastos'!Z31="","",IF(AND(F31="",T31=""),"",IF(OR(T31="03",T31="05",T31="09"),AA31,SUM(AA31,AC31,AF31))))</f>
        <v/>
      </c>
      <c r="AA31" s="68" t="str">
        <f>IF('Registrar recibidas_gastos'!AA31="","",ROUND('Registrar recibidas_gastos'!AA31,2))</f>
        <v/>
      </c>
      <c r="AB31" s="61" t="str">
        <f>IF('Registrar recibidas_gastos'!AB31="","",'Registrar recibidas_gastos'!AB31)</f>
        <v/>
      </c>
      <c r="AC31" s="68" t="str">
        <f>IF(OR(T31="03",T31="05"),0,IF('Registrar recibidas_gastos'!AC31="","",ROUND(AA31*AB31/100,2)))</f>
        <v/>
      </c>
      <c r="AD31" s="68" t="str">
        <f>IF('Registrar recibidas_gastos'!AD31="","",ROUND('Registrar recibidas_gastos'!AD31,2))</f>
        <v/>
      </c>
      <c r="AE31" s="61" t="str">
        <f>IF('Registrar recibidas_gastos'!AE31="","",'Registrar recibidas_gastos'!AE31)</f>
        <v/>
      </c>
      <c r="AF31" s="68" t="str">
        <f>IF('Registrar recibidas_gastos'!AF31="","",ROUND(AA31*AE31/100,2))</f>
        <v/>
      </c>
      <c r="AG31" s="67" t="str">
        <f>IF('Registrar recibidas_gastos'!AG31="","",'Registrar recibidas_gastos'!AG31)</f>
        <v/>
      </c>
      <c r="AH31" s="68" t="str">
        <f>IF('Registrar recibidas_gastos'!AH31="","",'Registrar recibidas_gastos'!AH31)</f>
        <v/>
      </c>
      <c r="AI31" s="61" t="str">
        <f>IF('Registrar recibidas_gastos'!AI31="","",VLOOKUP(CONCATENATE("MEDIO UTILIZADO",'Registrar recibidas_gastos'!AI31),'CODIGO-LITERAL'!$C:$D,2,FALSE))</f>
        <v/>
      </c>
      <c r="AJ31" s="61" t="str">
        <f>IF('Registrar recibidas_gastos'!AJ31="","",'Registrar recibidas_gastos'!AJ31)</f>
        <v/>
      </c>
      <c r="AK31" s="62"/>
      <c r="AL31" s="69"/>
      <c r="AM31" s="61" t="str">
        <f>IF('Registrar recibidas_gastos'!AM31="","",'Registrar recibidas_gastos'!AM31)</f>
        <v/>
      </c>
      <c r="AN31" s="61" t="str">
        <f>IF('Registrar recibidas_gastos'!AN31="","",VLOOKUP(CONCATENATE("SITUACION",'Registrar recibidas_gastos'!AN31),'CODIGO-LITERAL'!$C:$D,2,FALSE))</f>
        <v/>
      </c>
      <c r="AO31" s="61" t="str">
        <f>IF('Registrar recibidas_gastos'!AO31="","",'Registrar recibidas_gastos'!AO31)</f>
        <v/>
      </c>
      <c r="AP31" s="61" t="str">
        <f>IF('Registrar recibidas_gastos'!AP31="","",'Registrar recibidas_gastos'!AP31)</f>
        <v/>
      </c>
    </row>
    <row r="32" spans="1:42" s="2" customFormat="1" x14ac:dyDescent="0.25">
      <c r="A32" s="66" t="str">
        <f>IF('Registrar recibidas_gastos'!A32="","",'Registrar recibidas_gastos'!A32)</f>
        <v/>
      </c>
      <c r="B32" s="61" t="str">
        <f>IF('Registrar recibidas_gastos'!B32="","",'Registrar recibidas_gastos'!B32)</f>
        <v/>
      </c>
      <c r="C32" s="61" t="str">
        <f>IF('Registrar recibidas_gastos'!C32="","",VLOOKUP(CONCATENATE("ACTIVIDAD",'Registrar recibidas_gastos'!C32),'CODIGO-LITERAL'!$C:$D,2,FALSE))</f>
        <v/>
      </c>
      <c r="D32" s="60" t="str">
        <f>IF(OR(C32="C",C32="D"),"",IF(ISERROR(VLOOKUP(CONCATENATE(C32,'Registrar recibidas_gastos'!D32),'CODIGO-LITERAL'!$C:$D,2,FALSE)),"",VLOOKUP(CONCATENATE(C32,'Registrar recibidas_gastos'!D32),'CODIGO-LITERAL'!$C:$D,2,FALSE)))</f>
        <v/>
      </c>
      <c r="E32" s="61" t="str">
        <f>IF('Registrar recibidas_gastos'!E32="","",'Registrar recibidas_gastos'!E32)</f>
        <v/>
      </c>
      <c r="F32" s="61" t="str">
        <f>IF('Registrar recibidas_gastos'!F32="","",VLOOKUP(CONCATENATE("TIPO FACTURA GASTO",'Registrar recibidas_gastos'!F32),'CODIGO-LITERAL'!$C:$D,2,FALSE))</f>
        <v/>
      </c>
      <c r="G32" s="62"/>
      <c r="H32" s="62"/>
      <c r="I32" s="67" t="str">
        <f>IF('Registrar recibidas_gastos'!I32="","",'Registrar recibidas_gastos'!I32)</f>
        <v/>
      </c>
      <c r="J32" s="67" t="str">
        <f>IF('Registrar recibidas_gastos'!J32="","",'Registrar recibidas_gastos'!J32)</f>
        <v/>
      </c>
      <c r="K32" s="61" t="str">
        <f>IF('Registrar recibidas_gastos'!K32="","",'Registrar recibidas_gastos'!K32)</f>
        <v/>
      </c>
      <c r="L32" s="61" t="str">
        <f>IF('Registrar recibidas_gastos'!L32="","",'Registrar recibidas_gastos'!L32)</f>
        <v/>
      </c>
      <c r="M32" s="67" t="str">
        <f>IF('Registrar recibidas_gastos'!M32="","",'Registrar recibidas_gastos'!M32)</f>
        <v/>
      </c>
      <c r="N32" s="61" t="str">
        <f>IF('Registrar recibidas_gastos'!N32="","",'Registrar recibidas_gastos'!N32)</f>
        <v/>
      </c>
      <c r="O32" s="61" t="str">
        <f>IF('Registrar recibidas_gastos'!O32="","",'Registrar recibidas_gastos'!O32)</f>
        <v/>
      </c>
      <c r="P32" s="61" t="str">
        <f>IF(OR(LEFT('Registrar recibidas_gastos'!P32,2)="01",'Registrar recibidas_gastos'!P32=""),"",VLOOKUP(CONCATENATE("TIPO NIF",'Registrar recibidas_gastos'!P32),'CODIGO-LITERAL'!$C:$D,2,FALSE))</f>
        <v/>
      </c>
      <c r="Q32" s="61" t="str">
        <f>IF('Registrar recibidas_gastos'!Q32="","",'Registrar recibidas_gastos'!Q32)</f>
        <v/>
      </c>
      <c r="R32" s="61" t="str">
        <f>IF('Registrar recibidas_gastos'!R32="","",'Registrar recibidas_gastos'!R32)</f>
        <v/>
      </c>
      <c r="S32" s="61" t="str">
        <f>IF('Registrar recibidas_gastos'!S32="","",'Registrar recibidas_gastos'!S32)</f>
        <v/>
      </c>
      <c r="T32" s="61" t="str">
        <f>IF('Registrar recibidas_gastos'!T32="","",VLOOKUP(CONCATENATE("CLAVE OPERACION GASTO",'Registrar recibidas_gastos'!T32),'CODIGO-LITERAL'!$C:$D,2,FALSE))</f>
        <v/>
      </c>
      <c r="U32" s="61" t="str">
        <f>IF(T32="","",IF(OR(T32="02",T32="08"),"N",IF('Registrar recibidas_gastos'!U32="","N",'Registrar recibidas_gastos'!U32)))</f>
        <v/>
      </c>
      <c r="V32" s="61" t="str">
        <f>IF(T32="","",IF(OR(T32="07",T32="08",T32="09",F32="F5",F32="LC"),"N",IF('Registrar recibidas_gastos'!V32="","N",'Registrar recibidas_gastos'!V32)))</f>
        <v/>
      </c>
      <c r="W32" s="61" t="str">
        <f>IF(AND(X32="",Y32=""),"",IF(AND(RECIBIDAS_GASTOS!$X32&lt;&gt;"",RECIBIDAS_GASTOS!$Y32&lt;&gt;""),"S",IF('Registrar recibidas_gastos'!W32="","N",'Registrar recibidas_gastos'!W32)))</f>
        <v/>
      </c>
      <c r="X32" s="67" t="str">
        <f>IF('Registrar recibidas_gastos'!X32="","",'Registrar recibidas_gastos'!X32)</f>
        <v/>
      </c>
      <c r="Y32" s="61" t="str">
        <f>IF('Registrar recibidas_gastos'!Y32="","",'Registrar recibidas_gastos'!Y32)</f>
        <v/>
      </c>
      <c r="Z32" s="68" t="str">
        <f>IF('Registrar recibidas_gastos'!Z32="","",IF(AND(F32="",T32=""),"",IF(OR(T32="03",T32="05",T32="09"),AA32,SUM(AA32,AC32,AF32))))</f>
        <v/>
      </c>
      <c r="AA32" s="68" t="str">
        <f>IF('Registrar recibidas_gastos'!AA32="","",ROUND('Registrar recibidas_gastos'!AA32,2))</f>
        <v/>
      </c>
      <c r="AB32" s="61" t="str">
        <f>IF('Registrar recibidas_gastos'!AB32="","",'Registrar recibidas_gastos'!AB32)</f>
        <v/>
      </c>
      <c r="AC32" s="68" t="str">
        <f>IF(OR(T32="03",T32="05"),0,IF('Registrar recibidas_gastos'!AC32="","",ROUND(AA32*AB32/100,2)))</f>
        <v/>
      </c>
      <c r="AD32" s="68" t="str">
        <f>IF('Registrar recibidas_gastos'!AD32="","",ROUND('Registrar recibidas_gastos'!AD32,2))</f>
        <v/>
      </c>
      <c r="AE32" s="61" t="str">
        <f>IF('Registrar recibidas_gastos'!AE32="","",'Registrar recibidas_gastos'!AE32)</f>
        <v/>
      </c>
      <c r="AF32" s="68" t="str">
        <f>IF('Registrar recibidas_gastos'!AF32="","",ROUND(AA32*AE32/100,2))</f>
        <v/>
      </c>
      <c r="AG32" s="67" t="str">
        <f>IF('Registrar recibidas_gastos'!AG32="","",'Registrar recibidas_gastos'!AG32)</f>
        <v/>
      </c>
      <c r="AH32" s="68" t="str">
        <f>IF('Registrar recibidas_gastos'!AH32="","",'Registrar recibidas_gastos'!AH32)</f>
        <v/>
      </c>
      <c r="AI32" s="61" t="str">
        <f>IF('Registrar recibidas_gastos'!AI32="","",VLOOKUP(CONCATENATE("MEDIO UTILIZADO",'Registrar recibidas_gastos'!AI32),'CODIGO-LITERAL'!$C:$D,2,FALSE))</f>
        <v/>
      </c>
      <c r="AJ32" s="61" t="str">
        <f>IF('Registrar recibidas_gastos'!AJ32="","",'Registrar recibidas_gastos'!AJ32)</f>
        <v/>
      </c>
      <c r="AK32" s="62"/>
      <c r="AL32" s="69"/>
      <c r="AM32" s="61" t="str">
        <f>IF('Registrar recibidas_gastos'!AM32="","",'Registrar recibidas_gastos'!AM32)</f>
        <v/>
      </c>
      <c r="AN32" s="61" t="str">
        <f>IF('Registrar recibidas_gastos'!AN32="","",VLOOKUP(CONCATENATE("SITUACION",'Registrar recibidas_gastos'!AN32),'CODIGO-LITERAL'!$C:$D,2,FALSE))</f>
        <v/>
      </c>
      <c r="AO32" s="61" t="str">
        <f>IF('Registrar recibidas_gastos'!AO32="","",'Registrar recibidas_gastos'!AO32)</f>
        <v/>
      </c>
      <c r="AP32" s="61" t="str">
        <f>IF('Registrar recibidas_gastos'!AP32="","",'Registrar recibidas_gastos'!AP32)</f>
        <v/>
      </c>
    </row>
    <row r="33" spans="1:42" s="2" customFormat="1" x14ac:dyDescent="0.25">
      <c r="A33" s="66" t="str">
        <f>IF('Registrar recibidas_gastos'!A33="","",'Registrar recibidas_gastos'!A33)</f>
        <v/>
      </c>
      <c r="B33" s="61" t="str">
        <f>IF('Registrar recibidas_gastos'!B33="","",'Registrar recibidas_gastos'!B33)</f>
        <v/>
      </c>
      <c r="C33" s="61" t="str">
        <f>IF('Registrar recibidas_gastos'!C33="","",VLOOKUP(CONCATENATE("ACTIVIDAD",'Registrar recibidas_gastos'!C33),'CODIGO-LITERAL'!$C:$D,2,FALSE))</f>
        <v/>
      </c>
      <c r="D33" s="60" t="str">
        <f>IF(OR(C33="C",C33="D"),"",IF(ISERROR(VLOOKUP(CONCATENATE(C33,'Registrar recibidas_gastos'!D33),'CODIGO-LITERAL'!$C:$D,2,FALSE)),"",VLOOKUP(CONCATENATE(C33,'Registrar recibidas_gastos'!D33),'CODIGO-LITERAL'!$C:$D,2,FALSE)))</f>
        <v/>
      </c>
      <c r="E33" s="61" t="str">
        <f>IF('Registrar recibidas_gastos'!E33="","",'Registrar recibidas_gastos'!E33)</f>
        <v/>
      </c>
      <c r="F33" s="61" t="str">
        <f>IF('Registrar recibidas_gastos'!F33="","",VLOOKUP(CONCATENATE("TIPO FACTURA GASTO",'Registrar recibidas_gastos'!F33),'CODIGO-LITERAL'!$C:$D,2,FALSE))</f>
        <v/>
      </c>
      <c r="G33" s="62"/>
      <c r="H33" s="62"/>
      <c r="I33" s="67" t="str">
        <f>IF('Registrar recibidas_gastos'!I33="","",'Registrar recibidas_gastos'!I33)</f>
        <v/>
      </c>
      <c r="J33" s="67" t="str">
        <f>IF('Registrar recibidas_gastos'!J33="","",'Registrar recibidas_gastos'!J33)</f>
        <v/>
      </c>
      <c r="K33" s="61" t="str">
        <f>IF('Registrar recibidas_gastos'!K33="","",'Registrar recibidas_gastos'!K33)</f>
        <v/>
      </c>
      <c r="L33" s="61" t="str">
        <f>IF('Registrar recibidas_gastos'!L33="","",'Registrar recibidas_gastos'!L33)</f>
        <v/>
      </c>
      <c r="M33" s="67" t="str">
        <f>IF('Registrar recibidas_gastos'!M33="","",'Registrar recibidas_gastos'!M33)</f>
        <v/>
      </c>
      <c r="N33" s="61" t="str">
        <f>IF('Registrar recibidas_gastos'!N33="","",'Registrar recibidas_gastos'!N33)</f>
        <v/>
      </c>
      <c r="O33" s="61" t="str">
        <f>IF('Registrar recibidas_gastos'!O33="","",'Registrar recibidas_gastos'!O33)</f>
        <v/>
      </c>
      <c r="P33" s="61" t="str">
        <f>IF(OR(LEFT('Registrar recibidas_gastos'!P33,2)="01",'Registrar recibidas_gastos'!P33=""),"",VLOOKUP(CONCATENATE("TIPO NIF",'Registrar recibidas_gastos'!P33),'CODIGO-LITERAL'!$C:$D,2,FALSE))</f>
        <v/>
      </c>
      <c r="Q33" s="61" t="str">
        <f>IF('Registrar recibidas_gastos'!Q33="","",'Registrar recibidas_gastos'!Q33)</f>
        <v/>
      </c>
      <c r="R33" s="61" t="str">
        <f>IF('Registrar recibidas_gastos'!R33="","",'Registrar recibidas_gastos'!R33)</f>
        <v/>
      </c>
      <c r="S33" s="61" t="str">
        <f>IF('Registrar recibidas_gastos'!S33="","",'Registrar recibidas_gastos'!S33)</f>
        <v/>
      </c>
      <c r="T33" s="61" t="str">
        <f>IF('Registrar recibidas_gastos'!T33="","",VLOOKUP(CONCATENATE("CLAVE OPERACION GASTO",'Registrar recibidas_gastos'!T33),'CODIGO-LITERAL'!$C:$D,2,FALSE))</f>
        <v/>
      </c>
      <c r="U33" s="61" t="str">
        <f>IF(T33="","",IF(OR(T33="02",T33="08"),"N",IF('Registrar recibidas_gastos'!U33="","N",'Registrar recibidas_gastos'!U33)))</f>
        <v/>
      </c>
      <c r="V33" s="61" t="str">
        <f>IF(T33="","",IF(OR(T33="07",T33="08",T33="09",F33="F5",F33="LC"),"N",IF('Registrar recibidas_gastos'!V33="","N",'Registrar recibidas_gastos'!V33)))</f>
        <v/>
      </c>
      <c r="W33" s="61" t="str">
        <f>IF(AND(X33="",Y33=""),"",IF(AND(RECIBIDAS_GASTOS!$X33&lt;&gt;"",RECIBIDAS_GASTOS!$Y33&lt;&gt;""),"S",IF('Registrar recibidas_gastos'!W33="","N",'Registrar recibidas_gastos'!W33)))</f>
        <v/>
      </c>
      <c r="X33" s="67" t="str">
        <f>IF('Registrar recibidas_gastos'!X33="","",'Registrar recibidas_gastos'!X33)</f>
        <v/>
      </c>
      <c r="Y33" s="61" t="str">
        <f>IF('Registrar recibidas_gastos'!Y33="","",'Registrar recibidas_gastos'!Y33)</f>
        <v/>
      </c>
      <c r="Z33" s="68" t="str">
        <f>IF('Registrar recibidas_gastos'!Z33="","",IF(AND(F33="",T33=""),"",IF(OR(T33="03",T33="05",T33="09"),AA33,SUM(AA33,AC33,AF33))))</f>
        <v/>
      </c>
      <c r="AA33" s="68" t="str">
        <f>IF('Registrar recibidas_gastos'!AA33="","",ROUND('Registrar recibidas_gastos'!AA33,2))</f>
        <v/>
      </c>
      <c r="AB33" s="61" t="str">
        <f>IF('Registrar recibidas_gastos'!AB33="","",'Registrar recibidas_gastos'!AB33)</f>
        <v/>
      </c>
      <c r="AC33" s="68" t="str">
        <f>IF(OR(T33="03",T33="05"),0,IF('Registrar recibidas_gastos'!AC33="","",ROUND(AA33*AB33/100,2)))</f>
        <v/>
      </c>
      <c r="AD33" s="68" t="str">
        <f>IF('Registrar recibidas_gastos'!AD33="","",ROUND('Registrar recibidas_gastos'!AD33,2))</f>
        <v/>
      </c>
      <c r="AE33" s="61" t="str">
        <f>IF('Registrar recibidas_gastos'!AE33="","",'Registrar recibidas_gastos'!AE33)</f>
        <v/>
      </c>
      <c r="AF33" s="68" t="str">
        <f>IF('Registrar recibidas_gastos'!AF33="","",ROUND(AA33*AE33/100,2))</f>
        <v/>
      </c>
      <c r="AG33" s="67" t="str">
        <f>IF('Registrar recibidas_gastos'!AG33="","",'Registrar recibidas_gastos'!AG33)</f>
        <v/>
      </c>
      <c r="AH33" s="68" t="str">
        <f>IF('Registrar recibidas_gastos'!AH33="","",'Registrar recibidas_gastos'!AH33)</f>
        <v/>
      </c>
      <c r="AI33" s="61" t="str">
        <f>IF('Registrar recibidas_gastos'!AI33="","",VLOOKUP(CONCATENATE("MEDIO UTILIZADO",'Registrar recibidas_gastos'!AI33),'CODIGO-LITERAL'!$C:$D,2,FALSE))</f>
        <v/>
      </c>
      <c r="AJ33" s="61" t="str">
        <f>IF('Registrar recibidas_gastos'!AJ33="","",'Registrar recibidas_gastos'!AJ33)</f>
        <v/>
      </c>
      <c r="AK33" s="62"/>
      <c r="AL33" s="69"/>
      <c r="AM33" s="61" t="str">
        <f>IF('Registrar recibidas_gastos'!AM33="","",'Registrar recibidas_gastos'!AM33)</f>
        <v/>
      </c>
      <c r="AN33" s="61" t="str">
        <f>IF('Registrar recibidas_gastos'!AN33="","",VLOOKUP(CONCATENATE("SITUACION",'Registrar recibidas_gastos'!AN33),'CODIGO-LITERAL'!$C:$D,2,FALSE))</f>
        <v/>
      </c>
      <c r="AO33" s="61" t="str">
        <f>IF('Registrar recibidas_gastos'!AO33="","",'Registrar recibidas_gastos'!AO33)</f>
        <v/>
      </c>
      <c r="AP33" s="61" t="str">
        <f>IF('Registrar recibidas_gastos'!AP33="","",'Registrar recibidas_gastos'!AP33)</f>
        <v/>
      </c>
    </row>
    <row r="34" spans="1:42" s="2" customFormat="1" x14ac:dyDescent="0.25">
      <c r="A34" s="66" t="str">
        <f>IF('Registrar recibidas_gastos'!A34="","",'Registrar recibidas_gastos'!A34)</f>
        <v/>
      </c>
      <c r="B34" s="61" t="str">
        <f>IF('Registrar recibidas_gastos'!B34="","",'Registrar recibidas_gastos'!B34)</f>
        <v/>
      </c>
      <c r="C34" s="61" t="str">
        <f>IF('Registrar recibidas_gastos'!C34="","",VLOOKUP(CONCATENATE("ACTIVIDAD",'Registrar recibidas_gastos'!C34),'CODIGO-LITERAL'!$C:$D,2,FALSE))</f>
        <v/>
      </c>
      <c r="D34" s="60" t="str">
        <f>IF(OR(C34="C",C34="D"),"",IF(ISERROR(VLOOKUP(CONCATENATE(C34,'Registrar recibidas_gastos'!D34),'CODIGO-LITERAL'!$C:$D,2,FALSE)),"",VLOOKUP(CONCATENATE(C34,'Registrar recibidas_gastos'!D34),'CODIGO-LITERAL'!$C:$D,2,FALSE)))</f>
        <v/>
      </c>
      <c r="E34" s="61" t="str">
        <f>IF('Registrar recibidas_gastos'!E34="","",'Registrar recibidas_gastos'!E34)</f>
        <v/>
      </c>
      <c r="F34" s="61" t="str">
        <f>IF('Registrar recibidas_gastos'!F34="","",VLOOKUP(CONCATENATE("TIPO FACTURA GASTO",'Registrar recibidas_gastos'!F34),'CODIGO-LITERAL'!$C:$D,2,FALSE))</f>
        <v/>
      </c>
      <c r="G34" s="62"/>
      <c r="H34" s="62"/>
      <c r="I34" s="67" t="str">
        <f>IF('Registrar recibidas_gastos'!I34="","",'Registrar recibidas_gastos'!I34)</f>
        <v/>
      </c>
      <c r="J34" s="67" t="str">
        <f>IF('Registrar recibidas_gastos'!J34="","",'Registrar recibidas_gastos'!J34)</f>
        <v/>
      </c>
      <c r="K34" s="61" t="str">
        <f>IF('Registrar recibidas_gastos'!K34="","",'Registrar recibidas_gastos'!K34)</f>
        <v/>
      </c>
      <c r="L34" s="61" t="str">
        <f>IF('Registrar recibidas_gastos'!L34="","",'Registrar recibidas_gastos'!L34)</f>
        <v/>
      </c>
      <c r="M34" s="67" t="str">
        <f>IF('Registrar recibidas_gastos'!M34="","",'Registrar recibidas_gastos'!M34)</f>
        <v/>
      </c>
      <c r="N34" s="61" t="str">
        <f>IF('Registrar recibidas_gastos'!N34="","",'Registrar recibidas_gastos'!N34)</f>
        <v/>
      </c>
      <c r="O34" s="61" t="str">
        <f>IF('Registrar recibidas_gastos'!O34="","",'Registrar recibidas_gastos'!O34)</f>
        <v/>
      </c>
      <c r="P34" s="61" t="str">
        <f>IF(OR(LEFT('Registrar recibidas_gastos'!P34,2)="01",'Registrar recibidas_gastos'!P34=""),"",VLOOKUP(CONCATENATE("TIPO NIF",'Registrar recibidas_gastos'!P34),'CODIGO-LITERAL'!$C:$D,2,FALSE))</f>
        <v/>
      </c>
      <c r="Q34" s="61" t="str">
        <f>IF('Registrar recibidas_gastos'!Q34="","",'Registrar recibidas_gastos'!Q34)</f>
        <v/>
      </c>
      <c r="R34" s="61" t="str">
        <f>IF('Registrar recibidas_gastos'!R34="","",'Registrar recibidas_gastos'!R34)</f>
        <v/>
      </c>
      <c r="S34" s="61" t="str">
        <f>IF('Registrar recibidas_gastos'!S34="","",'Registrar recibidas_gastos'!S34)</f>
        <v/>
      </c>
      <c r="T34" s="61" t="str">
        <f>IF('Registrar recibidas_gastos'!T34="","",VLOOKUP(CONCATENATE("CLAVE OPERACION GASTO",'Registrar recibidas_gastos'!T34),'CODIGO-LITERAL'!$C:$D,2,FALSE))</f>
        <v/>
      </c>
      <c r="U34" s="61" t="str">
        <f>IF(T34="","",IF(OR(T34="02",T34="08"),"N",IF('Registrar recibidas_gastos'!U34="","N",'Registrar recibidas_gastos'!U34)))</f>
        <v/>
      </c>
      <c r="V34" s="61" t="str">
        <f>IF(T34="","",IF(OR(T34="07",T34="08",T34="09",F34="F5",F34="LC"),"N",IF('Registrar recibidas_gastos'!V34="","N",'Registrar recibidas_gastos'!V34)))</f>
        <v/>
      </c>
      <c r="W34" s="61" t="str">
        <f>IF(AND(X34="",Y34=""),"",IF(AND(RECIBIDAS_GASTOS!$X34&lt;&gt;"",RECIBIDAS_GASTOS!$Y34&lt;&gt;""),"S",IF('Registrar recibidas_gastos'!W34="","N",'Registrar recibidas_gastos'!W34)))</f>
        <v/>
      </c>
      <c r="X34" s="67" t="str">
        <f>IF('Registrar recibidas_gastos'!X34="","",'Registrar recibidas_gastos'!X34)</f>
        <v/>
      </c>
      <c r="Y34" s="61" t="str">
        <f>IF('Registrar recibidas_gastos'!Y34="","",'Registrar recibidas_gastos'!Y34)</f>
        <v/>
      </c>
      <c r="Z34" s="68" t="str">
        <f>IF('Registrar recibidas_gastos'!Z34="","",IF(AND(F34="",T34=""),"",IF(OR(T34="03",T34="05",T34="09"),AA34,SUM(AA34,AC34,AF34))))</f>
        <v/>
      </c>
      <c r="AA34" s="68" t="str">
        <f>IF('Registrar recibidas_gastos'!AA34="","",ROUND('Registrar recibidas_gastos'!AA34,2))</f>
        <v/>
      </c>
      <c r="AB34" s="61" t="str">
        <f>IF('Registrar recibidas_gastos'!AB34="","",'Registrar recibidas_gastos'!AB34)</f>
        <v/>
      </c>
      <c r="AC34" s="68" t="str">
        <f>IF(OR(T34="03",T34="05"),0,IF('Registrar recibidas_gastos'!AC34="","",ROUND(AA34*AB34/100,2)))</f>
        <v/>
      </c>
      <c r="AD34" s="68" t="str">
        <f>IF('Registrar recibidas_gastos'!AD34="","",ROUND('Registrar recibidas_gastos'!AD34,2))</f>
        <v/>
      </c>
      <c r="AE34" s="61" t="str">
        <f>IF('Registrar recibidas_gastos'!AE34="","",'Registrar recibidas_gastos'!AE34)</f>
        <v/>
      </c>
      <c r="AF34" s="68" t="str">
        <f>IF('Registrar recibidas_gastos'!AF34="","",ROUND(AA34*AE34/100,2))</f>
        <v/>
      </c>
      <c r="AG34" s="67" t="str">
        <f>IF('Registrar recibidas_gastos'!AG34="","",'Registrar recibidas_gastos'!AG34)</f>
        <v/>
      </c>
      <c r="AH34" s="68" t="str">
        <f>IF('Registrar recibidas_gastos'!AH34="","",'Registrar recibidas_gastos'!AH34)</f>
        <v/>
      </c>
      <c r="AI34" s="61" t="str">
        <f>IF('Registrar recibidas_gastos'!AI34="","",VLOOKUP(CONCATENATE("MEDIO UTILIZADO",'Registrar recibidas_gastos'!AI34),'CODIGO-LITERAL'!$C:$D,2,FALSE))</f>
        <v/>
      </c>
      <c r="AJ34" s="61" t="str">
        <f>IF('Registrar recibidas_gastos'!AJ34="","",'Registrar recibidas_gastos'!AJ34)</f>
        <v/>
      </c>
      <c r="AK34" s="62"/>
      <c r="AL34" s="69"/>
      <c r="AM34" s="61" t="str">
        <f>IF('Registrar recibidas_gastos'!AM34="","",'Registrar recibidas_gastos'!AM34)</f>
        <v/>
      </c>
      <c r="AN34" s="61" t="str">
        <f>IF('Registrar recibidas_gastos'!AN34="","",VLOOKUP(CONCATENATE("SITUACION",'Registrar recibidas_gastos'!AN34),'CODIGO-LITERAL'!$C:$D,2,FALSE))</f>
        <v/>
      </c>
      <c r="AO34" s="61" t="str">
        <f>IF('Registrar recibidas_gastos'!AO34="","",'Registrar recibidas_gastos'!AO34)</f>
        <v/>
      </c>
      <c r="AP34" s="61" t="str">
        <f>IF('Registrar recibidas_gastos'!AP34="","",'Registrar recibidas_gastos'!AP34)</f>
        <v/>
      </c>
    </row>
    <row r="35" spans="1:42" s="2" customFormat="1" x14ac:dyDescent="0.25">
      <c r="A35" s="66" t="str">
        <f>IF('Registrar recibidas_gastos'!A35="","",'Registrar recibidas_gastos'!A35)</f>
        <v/>
      </c>
      <c r="B35" s="61" t="str">
        <f>IF('Registrar recibidas_gastos'!B35="","",'Registrar recibidas_gastos'!B35)</f>
        <v/>
      </c>
      <c r="C35" s="61" t="str">
        <f>IF('Registrar recibidas_gastos'!C35="","",VLOOKUP(CONCATENATE("ACTIVIDAD",'Registrar recibidas_gastos'!C35),'CODIGO-LITERAL'!$C:$D,2,FALSE))</f>
        <v/>
      </c>
      <c r="D35" s="60" t="str">
        <f>IF(OR(C35="C",C35="D"),"",IF(ISERROR(VLOOKUP(CONCATENATE(C35,'Registrar recibidas_gastos'!D35),'CODIGO-LITERAL'!$C:$D,2,FALSE)),"",VLOOKUP(CONCATENATE(C35,'Registrar recibidas_gastos'!D35),'CODIGO-LITERAL'!$C:$D,2,FALSE)))</f>
        <v/>
      </c>
      <c r="E35" s="61" t="str">
        <f>IF('Registrar recibidas_gastos'!E35="","",'Registrar recibidas_gastos'!E35)</f>
        <v/>
      </c>
      <c r="F35" s="61" t="str">
        <f>IF('Registrar recibidas_gastos'!F35="","",VLOOKUP(CONCATENATE("TIPO FACTURA GASTO",'Registrar recibidas_gastos'!F35),'CODIGO-LITERAL'!$C:$D,2,FALSE))</f>
        <v/>
      </c>
      <c r="G35" s="62"/>
      <c r="H35" s="62"/>
      <c r="I35" s="67" t="str">
        <f>IF('Registrar recibidas_gastos'!I35="","",'Registrar recibidas_gastos'!I35)</f>
        <v/>
      </c>
      <c r="J35" s="67" t="str">
        <f>IF('Registrar recibidas_gastos'!J35="","",'Registrar recibidas_gastos'!J35)</f>
        <v/>
      </c>
      <c r="K35" s="61" t="str">
        <f>IF('Registrar recibidas_gastos'!K35="","",'Registrar recibidas_gastos'!K35)</f>
        <v/>
      </c>
      <c r="L35" s="61" t="str">
        <f>IF('Registrar recibidas_gastos'!L35="","",'Registrar recibidas_gastos'!L35)</f>
        <v/>
      </c>
      <c r="M35" s="67" t="str">
        <f>IF('Registrar recibidas_gastos'!M35="","",'Registrar recibidas_gastos'!M35)</f>
        <v/>
      </c>
      <c r="N35" s="61" t="str">
        <f>IF('Registrar recibidas_gastos'!N35="","",'Registrar recibidas_gastos'!N35)</f>
        <v/>
      </c>
      <c r="O35" s="61" t="str">
        <f>IF('Registrar recibidas_gastos'!O35="","",'Registrar recibidas_gastos'!O35)</f>
        <v/>
      </c>
      <c r="P35" s="61" t="str">
        <f>IF(OR(LEFT('Registrar recibidas_gastos'!P35,2)="01",'Registrar recibidas_gastos'!P35=""),"",VLOOKUP(CONCATENATE("TIPO NIF",'Registrar recibidas_gastos'!P35),'CODIGO-LITERAL'!$C:$D,2,FALSE))</f>
        <v/>
      </c>
      <c r="Q35" s="61" t="str">
        <f>IF('Registrar recibidas_gastos'!Q35="","",'Registrar recibidas_gastos'!Q35)</f>
        <v/>
      </c>
      <c r="R35" s="61" t="str">
        <f>IF('Registrar recibidas_gastos'!R35="","",'Registrar recibidas_gastos'!R35)</f>
        <v/>
      </c>
      <c r="S35" s="61" t="str">
        <f>IF('Registrar recibidas_gastos'!S35="","",'Registrar recibidas_gastos'!S35)</f>
        <v/>
      </c>
      <c r="T35" s="61" t="str">
        <f>IF('Registrar recibidas_gastos'!T35="","",VLOOKUP(CONCATENATE("CLAVE OPERACION GASTO",'Registrar recibidas_gastos'!T35),'CODIGO-LITERAL'!$C:$D,2,FALSE))</f>
        <v/>
      </c>
      <c r="U35" s="61" t="str">
        <f>IF(T35="","",IF(OR(T35="02",T35="08"),"N",IF('Registrar recibidas_gastos'!U35="","N",'Registrar recibidas_gastos'!U35)))</f>
        <v/>
      </c>
      <c r="V35" s="61" t="str">
        <f>IF(T35="","",IF(OR(T35="07",T35="08",T35="09",F35="F5",F35="LC"),"N",IF('Registrar recibidas_gastos'!V35="","N",'Registrar recibidas_gastos'!V35)))</f>
        <v/>
      </c>
      <c r="W35" s="61" t="str">
        <f>IF(AND(X35="",Y35=""),"",IF(AND(RECIBIDAS_GASTOS!$X35&lt;&gt;"",RECIBIDAS_GASTOS!$Y35&lt;&gt;""),"S",IF('Registrar recibidas_gastos'!W35="","N",'Registrar recibidas_gastos'!W35)))</f>
        <v/>
      </c>
      <c r="X35" s="67" t="str">
        <f>IF('Registrar recibidas_gastos'!X35="","",'Registrar recibidas_gastos'!X35)</f>
        <v/>
      </c>
      <c r="Y35" s="61" t="str">
        <f>IF('Registrar recibidas_gastos'!Y35="","",'Registrar recibidas_gastos'!Y35)</f>
        <v/>
      </c>
      <c r="Z35" s="68" t="str">
        <f>IF('Registrar recibidas_gastos'!Z35="","",IF(AND(F35="",T35=""),"",IF(OR(T35="03",T35="05",T35="09"),AA35,SUM(AA35,AC35,AF35))))</f>
        <v/>
      </c>
      <c r="AA35" s="68" t="str">
        <f>IF('Registrar recibidas_gastos'!AA35="","",ROUND('Registrar recibidas_gastos'!AA35,2))</f>
        <v/>
      </c>
      <c r="AB35" s="61" t="str">
        <f>IF('Registrar recibidas_gastos'!AB35="","",'Registrar recibidas_gastos'!AB35)</f>
        <v/>
      </c>
      <c r="AC35" s="68" t="str">
        <f>IF(OR(T35="03",T35="05"),0,IF('Registrar recibidas_gastos'!AC35="","",ROUND(AA35*AB35/100,2)))</f>
        <v/>
      </c>
      <c r="AD35" s="68" t="str">
        <f>IF('Registrar recibidas_gastos'!AD35="","",ROUND('Registrar recibidas_gastos'!AD35,2))</f>
        <v/>
      </c>
      <c r="AE35" s="61" t="str">
        <f>IF('Registrar recibidas_gastos'!AE35="","",'Registrar recibidas_gastos'!AE35)</f>
        <v/>
      </c>
      <c r="AF35" s="68" t="str">
        <f>IF('Registrar recibidas_gastos'!AF35="","",ROUND(AA35*AE35/100,2))</f>
        <v/>
      </c>
      <c r="AG35" s="67" t="str">
        <f>IF('Registrar recibidas_gastos'!AG35="","",'Registrar recibidas_gastos'!AG35)</f>
        <v/>
      </c>
      <c r="AH35" s="68" t="str">
        <f>IF('Registrar recibidas_gastos'!AH35="","",'Registrar recibidas_gastos'!AH35)</f>
        <v/>
      </c>
      <c r="AI35" s="61" t="str">
        <f>IF('Registrar recibidas_gastos'!AI35="","",VLOOKUP(CONCATENATE("MEDIO UTILIZADO",'Registrar recibidas_gastos'!AI35),'CODIGO-LITERAL'!$C:$D,2,FALSE))</f>
        <v/>
      </c>
      <c r="AJ35" s="61" t="str">
        <f>IF('Registrar recibidas_gastos'!AJ35="","",'Registrar recibidas_gastos'!AJ35)</f>
        <v/>
      </c>
      <c r="AK35" s="62"/>
      <c r="AL35" s="69"/>
      <c r="AM35" s="61" t="str">
        <f>IF('Registrar recibidas_gastos'!AM35="","",'Registrar recibidas_gastos'!AM35)</f>
        <v/>
      </c>
      <c r="AN35" s="61" t="str">
        <f>IF('Registrar recibidas_gastos'!AN35="","",VLOOKUP(CONCATENATE("SITUACION",'Registrar recibidas_gastos'!AN35),'CODIGO-LITERAL'!$C:$D,2,FALSE))</f>
        <v/>
      </c>
      <c r="AO35" s="61" t="str">
        <f>IF('Registrar recibidas_gastos'!AO35="","",'Registrar recibidas_gastos'!AO35)</f>
        <v/>
      </c>
      <c r="AP35" s="61" t="str">
        <f>IF('Registrar recibidas_gastos'!AP35="","",'Registrar recibidas_gastos'!AP35)</f>
        <v/>
      </c>
    </row>
    <row r="36" spans="1:42" x14ac:dyDescent="0.25">
      <c r="A36" s="66" t="str">
        <f>IF('Registrar recibidas_gastos'!A36="","",'Registrar recibidas_gastos'!A36)</f>
        <v/>
      </c>
      <c r="B36" s="61" t="str">
        <f>IF('Registrar recibidas_gastos'!B36="","",'Registrar recibidas_gastos'!B36)</f>
        <v/>
      </c>
      <c r="C36" s="61" t="str">
        <f>IF('Registrar recibidas_gastos'!C36="","",VLOOKUP(CONCATENATE("ACTIVIDAD",'Registrar recibidas_gastos'!C36),'CODIGO-LITERAL'!$C:$D,2,FALSE))</f>
        <v/>
      </c>
      <c r="D36" s="60" t="str">
        <f>IF(OR(C36="C",C36="D"),"",IF(ISERROR(VLOOKUP(CONCATENATE(C36,'Registrar recibidas_gastos'!D36),'CODIGO-LITERAL'!$C:$D,2,FALSE)),"",VLOOKUP(CONCATENATE(C36,'Registrar recibidas_gastos'!D36),'CODIGO-LITERAL'!$C:$D,2,FALSE)))</f>
        <v/>
      </c>
      <c r="E36" s="61" t="str">
        <f>IF('Registrar recibidas_gastos'!E36="","",'Registrar recibidas_gastos'!E36)</f>
        <v/>
      </c>
      <c r="F36" s="61" t="str">
        <f>IF('Registrar recibidas_gastos'!F36="","",VLOOKUP(CONCATENATE("TIPO FACTURA GASTO",'Registrar recibidas_gastos'!F36),'CODIGO-LITERAL'!$C:$D,2,FALSE))</f>
        <v/>
      </c>
      <c r="G36" s="62"/>
      <c r="H36" s="62"/>
      <c r="I36" s="67" t="str">
        <f>IF('Registrar recibidas_gastos'!I36="","",'Registrar recibidas_gastos'!I36)</f>
        <v/>
      </c>
      <c r="J36" s="67" t="str">
        <f>IF('Registrar recibidas_gastos'!J36="","",'Registrar recibidas_gastos'!J36)</f>
        <v/>
      </c>
      <c r="K36" s="61" t="str">
        <f>IF('Registrar recibidas_gastos'!K36="","",'Registrar recibidas_gastos'!K36)</f>
        <v/>
      </c>
      <c r="L36" s="61" t="str">
        <f>IF('Registrar recibidas_gastos'!L36="","",'Registrar recibidas_gastos'!L36)</f>
        <v/>
      </c>
      <c r="M36" s="67" t="str">
        <f>IF('Registrar recibidas_gastos'!M36="","",'Registrar recibidas_gastos'!M36)</f>
        <v/>
      </c>
      <c r="N36" s="61" t="str">
        <f>IF('Registrar recibidas_gastos'!N36="","",'Registrar recibidas_gastos'!N36)</f>
        <v/>
      </c>
      <c r="O36" s="61" t="str">
        <f>IF('Registrar recibidas_gastos'!O36="","",'Registrar recibidas_gastos'!O36)</f>
        <v/>
      </c>
      <c r="P36" s="61" t="str">
        <f>IF(OR(LEFT('Registrar recibidas_gastos'!P36,2)="01",'Registrar recibidas_gastos'!P36=""),"",VLOOKUP(CONCATENATE("TIPO NIF",'Registrar recibidas_gastos'!P36),'CODIGO-LITERAL'!$C:$D,2,FALSE))</f>
        <v/>
      </c>
      <c r="Q36" s="61" t="str">
        <f>IF('Registrar recibidas_gastos'!Q36="","",'Registrar recibidas_gastos'!Q36)</f>
        <v/>
      </c>
      <c r="R36" s="61" t="str">
        <f>IF('Registrar recibidas_gastos'!R36="","",'Registrar recibidas_gastos'!R36)</f>
        <v/>
      </c>
      <c r="S36" s="61" t="str">
        <f>IF('Registrar recibidas_gastos'!S36="","",'Registrar recibidas_gastos'!S36)</f>
        <v/>
      </c>
      <c r="T36" s="61" t="str">
        <f>IF('Registrar recibidas_gastos'!T36="","",VLOOKUP(CONCATENATE("CLAVE OPERACION GASTO",'Registrar recibidas_gastos'!T36),'CODIGO-LITERAL'!$C:$D,2,FALSE))</f>
        <v/>
      </c>
      <c r="U36" s="61" t="str">
        <f>IF(T36="","",IF(OR(T36="02",T36="08"),"N",IF('Registrar recibidas_gastos'!U36="","N",'Registrar recibidas_gastos'!U36)))</f>
        <v/>
      </c>
      <c r="V36" s="61" t="str">
        <f>IF(T36="","",IF(OR(T36="07",T36="08",T36="09",F36="F5",F36="LC"),"N",IF('Registrar recibidas_gastos'!V36="","N",'Registrar recibidas_gastos'!V36)))</f>
        <v/>
      </c>
      <c r="W36" s="61" t="str">
        <f>IF(AND(X36="",Y36=""),"",IF(AND(RECIBIDAS_GASTOS!$X36&lt;&gt;"",RECIBIDAS_GASTOS!$Y36&lt;&gt;""),"S",IF('Registrar recibidas_gastos'!W36="","N",'Registrar recibidas_gastos'!W36)))</f>
        <v/>
      </c>
      <c r="X36" s="67" t="str">
        <f>IF('Registrar recibidas_gastos'!X36="","",'Registrar recibidas_gastos'!X36)</f>
        <v/>
      </c>
      <c r="Y36" s="61" t="str">
        <f>IF('Registrar recibidas_gastos'!Y36="","",'Registrar recibidas_gastos'!Y36)</f>
        <v/>
      </c>
      <c r="Z36" s="68" t="str">
        <f>IF('Registrar recibidas_gastos'!Z36="","",IF(AND(F36="",T36=""),"",IF(OR(T36="03",T36="05",T36="09"),AA36,SUM(AA36,AC36,AF36))))</f>
        <v/>
      </c>
      <c r="AA36" s="68" t="str">
        <f>IF('Registrar recibidas_gastos'!AA36="","",ROUND('Registrar recibidas_gastos'!AA36,2))</f>
        <v/>
      </c>
      <c r="AB36" s="61" t="str">
        <f>IF('Registrar recibidas_gastos'!AB36="","",'Registrar recibidas_gastos'!AB36)</f>
        <v/>
      </c>
      <c r="AC36" s="68" t="str">
        <f>IF(OR(T36="03",T36="05"),0,IF('Registrar recibidas_gastos'!AC36="","",ROUND(AA36*AB36/100,2)))</f>
        <v/>
      </c>
      <c r="AD36" s="68" t="str">
        <f>IF('Registrar recibidas_gastos'!AD36="","",ROUND('Registrar recibidas_gastos'!AD36,2))</f>
        <v/>
      </c>
      <c r="AE36" s="61" t="str">
        <f>IF('Registrar recibidas_gastos'!AE36="","",'Registrar recibidas_gastos'!AE36)</f>
        <v/>
      </c>
      <c r="AF36" s="68" t="str">
        <f>IF('Registrar recibidas_gastos'!AF36="","",ROUND(AA36*AE36/100,2))</f>
        <v/>
      </c>
      <c r="AG36" s="67" t="str">
        <f>IF('Registrar recibidas_gastos'!AG36="","",'Registrar recibidas_gastos'!AG36)</f>
        <v/>
      </c>
      <c r="AH36" s="68" t="str">
        <f>IF('Registrar recibidas_gastos'!AH36="","",'Registrar recibidas_gastos'!AH36)</f>
        <v/>
      </c>
      <c r="AI36" s="61" t="str">
        <f>IF('Registrar recibidas_gastos'!AI36="","",VLOOKUP(CONCATENATE("MEDIO UTILIZADO",'Registrar recibidas_gastos'!AI36),'CODIGO-LITERAL'!$C:$D,2,FALSE))</f>
        <v/>
      </c>
      <c r="AJ36" s="61" t="str">
        <f>IF('Registrar recibidas_gastos'!AJ36="","",'Registrar recibidas_gastos'!AJ36)</f>
        <v/>
      </c>
      <c r="AK36" s="62"/>
      <c r="AL36" s="69"/>
      <c r="AM36" s="61" t="str">
        <f>IF('Registrar recibidas_gastos'!AM36="","",'Registrar recibidas_gastos'!AM36)</f>
        <v/>
      </c>
      <c r="AN36" s="61" t="str">
        <f>IF('Registrar recibidas_gastos'!AN36="","",VLOOKUP(CONCATENATE("SITUACION",'Registrar recibidas_gastos'!AN36),'CODIGO-LITERAL'!$C:$D,2,FALSE))</f>
        <v/>
      </c>
      <c r="AO36" s="61" t="str">
        <f>IF('Registrar recibidas_gastos'!AO36="","",'Registrar recibidas_gastos'!AO36)</f>
        <v/>
      </c>
      <c r="AP36" s="61" t="str">
        <f>IF('Registrar recibidas_gastos'!AP36="","",'Registrar recibidas_gastos'!AP36)</f>
        <v/>
      </c>
    </row>
    <row r="37" spans="1:42" x14ac:dyDescent="0.25">
      <c r="A37" s="66" t="str">
        <f>IF('Registrar recibidas_gastos'!A37="","",'Registrar recibidas_gastos'!A37)</f>
        <v/>
      </c>
      <c r="B37" s="61" t="str">
        <f>IF('Registrar recibidas_gastos'!B37="","",'Registrar recibidas_gastos'!B37)</f>
        <v/>
      </c>
      <c r="C37" s="61" t="str">
        <f>IF('Registrar recibidas_gastos'!C37="","",VLOOKUP(CONCATENATE("ACTIVIDAD",'Registrar recibidas_gastos'!C37),'CODIGO-LITERAL'!$C:$D,2,FALSE))</f>
        <v/>
      </c>
      <c r="D37" s="60" t="str">
        <f>IF(OR(C37="C",C37="D"),"",IF(ISERROR(VLOOKUP(CONCATENATE(C37,'Registrar recibidas_gastos'!D37),'CODIGO-LITERAL'!$C:$D,2,FALSE)),"",VLOOKUP(CONCATENATE(C37,'Registrar recibidas_gastos'!D37),'CODIGO-LITERAL'!$C:$D,2,FALSE)))</f>
        <v/>
      </c>
      <c r="E37" s="61" t="str">
        <f>IF('Registrar recibidas_gastos'!E37="","",'Registrar recibidas_gastos'!E37)</f>
        <v/>
      </c>
      <c r="F37" s="61" t="str">
        <f>IF('Registrar recibidas_gastos'!F37="","",VLOOKUP(CONCATENATE("TIPO FACTURA GASTO",'Registrar recibidas_gastos'!F37),'CODIGO-LITERAL'!$C:$D,2,FALSE))</f>
        <v/>
      </c>
      <c r="G37" s="62"/>
      <c r="H37" s="62"/>
      <c r="I37" s="67" t="str">
        <f>IF('Registrar recibidas_gastos'!I37="","",'Registrar recibidas_gastos'!I37)</f>
        <v/>
      </c>
      <c r="J37" s="67" t="str">
        <f>IF('Registrar recibidas_gastos'!J37="","",'Registrar recibidas_gastos'!J37)</f>
        <v/>
      </c>
      <c r="K37" s="61" t="str">
        <f>IF('Registrar recibidas_gastos'!K37="","",'Registrar recibidas_gastos'!K37)</f>
        <v/>
      </c>
      <c r="L37" s="61" t="str">
        <f>IF('Registrar recibidas_gastos'!L37="","",'Registrar recibidas_gastos'!L37)</f>
        <v/>
      </c>
      <c r="M37" s="67" t="str">
        <f>IF('Registrar recibidas_gastos'!M37="","",'Registrar recibidas_gastos'!M37)</f>
        <v/>
      </c>
      <c r="N37" s="61" t="str">
        <f>IF('Registrar recibidas_gastos'!N37="","",'Registrar recibidas_gastos'!N37)</f>
        <v/>
      </c>
      <c r="O37" s="61" t="str">
        <f>IF('Registrar recibidas_gastos'!O37="","",'Registrar recibidas_gastos'!O37)</f>
        <v/>
      </c>
      <c r="P37" s="61" t="str">
        <f>IF(OR(LEFT('Registrar recibidas_gastos'!P37,2)="01",'Registrar recibidas_gastos'!P37=""),"",VLOOKUP(CONCATENATE("TIPO NIF",'Registrar recibidas_gastos'!P37),'CODIGO-LITERAL'!$C:$D,2,FALSE))</f>
        <v/>
      </c>
      <c r="Q37" s="61" t="str">
        <f>IF('Registrar recibidas_gastos'!Q37="","",'Registrar recibidas_gastos'!Q37)</f>
        <v/>
      </c>
      <c r="R37" s="61" t="str">
        <f>IF('Registrar recibidas_gastos'!R37="","",'Registrar recibidas_gastos'!R37)</f>
        <v/>
      </c>
      <c r="S37" s="61" t="str">
        <f>IF('Registrar recibidas_gastos'!S37="","",'Registrar recibidas_gastos'!S37)</f>
        <v/>
      </c>
      <c r="T37" s="61" t="str">
        <f>IF('Registrar recibidas_gastos'!T37="","",VLOOKUP(CONCATENATE("CLAVE OPERACION GASTO",'Registrar recibidas_gastos'!T37),'CODIGO-LITERAL'!$C:$D,2,FALSE))</f>
        <v/>
      </c>
      <c r="U37" s="61" t="str">
        <f>IF(T37="","",IF(OR(T37="02",T37="08"),"N",IF('Registrar recibidas_gastos'!U37="","N",'Registrar recibidas_gastos'!U37)))</f>
        <v/>
      </c>
      <c r="V37" s="61" t="str">
        <f>IF(T37="","",IF(OR(T37="07",T37="08",T37="09",F37="F5",F37="LC"),"N",IF('Registrar recibidas_gastos'!V37="","N",'Registrar recibidas_gastos'!V37)))</f>
        <v/>
      </c>
      <c r="W37" s="61" t="str">
        <f>IF(AND(X37="",Y37=""),"",IF(AND(RECIBIDAS_GASTOS!$X37&lt;&gt;"",RECIBIDAS_GASTOS!$Y37&lt;&gt;""),"S",IF('Registrar recibidas_gastos'!W37="","N",'Registrar recibidas_gastos'!W37)))</f>
        <v/>
      </c>
      <c r="X37" s="67" t="str">
        <f>IF('Registrar recibidas_gastos'!X37="","",'Registrar recibidas_gastos'!X37)</f>
        <v/>
      </c>
      <c r="Y37" s="61" t="str">
        <f>IF('Registrar recibidas_gastos'!Y37="","",'Registrar recibidas_gastos'!Y37)</f>
        <v/>
      </c>
      <c r="Z37" s="68" t="str">
        <f>IF('Registrar recibidas_gastos'!Z37="","",IF(AND(F37="",T37=""),"",IF(OR(T37="03",T37="05",T37="09"),AA37,SUM(AA37,AC37,AF37))))</f>
        <v/>
      </c>
      <c r="AA37" s="68" t="str">
        <f>IF('Registrar recibidas_gastos'!AA37="","",ROUND('Registrar recibidas_gastos'!AA37,2))</f>
        <v/>
      </c>
      <c r="AB37" s="61" t="str">
        <f>IF('Registrar recibidas_gastos'!AB37="","",'Registrar recibidas_gastos'!AB37)</f>
        <v/>
      </c>
      <c r="AC37" s="68" t="str">
        <f>IF(OR(T37="03",T37="05"),0,IF('Registrar recibidas_gastos'!AC37="","",ROUND(AA37*AB37/100,2)))</f>
        <v/>
      </c>
      <c r="AD37" s="68" t="str">
        <f>IF('Registrar recibidas_gastos'!AD37="","",ROUND('Registrar recibidas_gastos'!AD37,2))</f>
        <v/>
      </c>
      <c r="AE37" s="61" t="str">
        <f>IF('Registrar recibidas_gastos'!AE37="","",'Registrar recibidas_gastos'!AE37)</f>
        <v/>
      </c>
      <c r="AF37" s="68" t="str">
        <f>IF('Registrar recibidas_gastos'!AF37="","",ROUND(AA37*AE37/100,2))</f>
        <v/>
      </c>
      <c r="AG37" s="67" t="str">
        <f>IF('Registrar recibidas_gastos'!AG37="","",'Registrar recibidas_gastos'!AG37)</f>
        <v/>
      </c>
      <c r="AH37" s="68" t="str">
        <f>IF('Registrar recibidas_gastos'!AH37="","",'Registrar recibidas_gastos'!AH37)</f>
        <v/>
      </c>
      <c r="AI37" s="61" t="str">
        <f>IF('Registrar recibidas_gastos'!AI37="","",VLOOKUP(CONCATENATE("MEDIO UTILIZADO",'Registrar recibidas_gastos'!AI37),'CODIGO-LITERAL'!$C:$D,2,FALSE))</f>
        <v/>
      </c>
      <c r="AJ37" s="61" t="str">
        <f>IF('Registrar recibidas_gastos'!AJ37="","",'Registrar recibidas_gastos'!AJ37)</f>
        <v/>
      </c>
      <c r="AK37" s="62"/>
      <c r="AL37" s="69"/>
      <c r="AM37" s="61" t="str">
        <f>IF('Registrar recibidas_gastos'!AM37="","",'Registrar recibidas_gastos'!AM37)</f>
        <v/>
      </c>
      <c r="AN37" s="61" t="str">
        <f>IF('Registrar recibidas_gastos'!AN37="","",VLOOKUP(CONCATENATE("SITUACION",'Registrar recibidas_gastos'!AN37),'CODIGO-LITERAL'!$C:$D,2,FALSE))</f>
        <v/>
      </c>
      <c r="AO37" s="61" t="str">
        <f>IF('Registrar recibidas_gastos'!AO37="","",'Registrar recibidas_gastos'!AO37)</f>
        <v/>
      </c>
      <c r="AP37" s="61" t="str">
        <f>IF('Registrar recibidas_gastos'!AP37="","",'Registrar recibidas_gastos'!AP37)</f>
        <v/>
      </c>
    </row>
    <row r="38" spans="1:42" x14ac:dyDescent="0.25">
      <c r="A38" s="66" t="str">
        <f>IF('Registrar recibidas_gastos'!A38="","",'Registrar recibidas_gastos'!A38)</f>
        <v/>
      </c>
      <c r="B38" s="61" t="str">
        <f>IF('Registrar recibidas_gastos'!B38="","",'Registrar recibidas_gastos'!B38)</f>
        <v/>
      </c>
      <c r="C38" s="61" t="str">
        <f>IF('Registrar recibidas_gastos'!C38="","",VLOOKUP(CONCATENATE("ACTIVIDAD",'Registrar recibidas_gastos'!C38),'CODIGO-LITERAL'!$C:$D,2,FALSE))</f>
        <v/>
      </c>
      <c r="D38" s="60" t="str">
        <f>IF(OR(C38="C",C38="D"),"",IF(ISERROR(VLOOKUP(CONCATENATE(C38,'Registrar recibidas_gastos'!D38),'CODIGO-LITERAL'!$C:$D,2,FALSE)),"",VLOOKUP(CONCATENATE(C38,'Registrar recibidas_gastos'!D38),'CODIGO-LITERAL'!$C:$D,2,FALSE)))</f>
        <v/>
      </c>
      <c r="E38" s="61" t="str">
        <f>IF('Registrar recibidas_gastos'!E38="","",'Registrar recibidas_gastos'!E38)</f>
        <v/>
      </c>
      <c r="F38" s="61" t="str">
        <f>IF('Registrar recibidas_gastos'!F38="","",VLOOKUP(CONCATENATE("TIPO FACTURA GASTO",'Registrar recibidas_gastos'!F38),'CODIGO-LITERAL'!$C:$D,2,FALSE))</f>
        <v/>
      </c>
      <c r="G38" s="62"/>
      <c r="H38" s="62"/>
      <c r="I38" s="67" t="str">
        <f>IF('Registrar recibidas_gastos'!I38="","",'Registrar recibidas_gastos'!I38)</f>
        <v/>
      </c>
      <c r="J38" s="67" t="str">
        <f>IF('Registrar recibidas_gastos'!J38="","",'Registrar recibidas_gastos'!J38)</f>
        <v/>
      </c>
      <c r="K38" s="61" t="str">
        <f>IF('Registrar recibidas_gastos'!K38="","",'Registrar recibidas_gastos'!K38)</f>
        <v/>
      </c>
      <c r="L38" s="61" t="str">
        <f>IF('Registrar recibidas_gastos'!L38="","",'Registrar recibidas_gastos'!L38)</f>
        <v/>
      </c>
      <c r="M38" s="67" t="str">
        <f>IF('Registrar recibidas_gastos'!M38="","",'Registrar recibidas_gastos'!M38)</f>
        <v/>
      </c>
      <c r="N38" s="61" t="str">
        <f>IF('Registrar recibidas_gastos'!N38="","",'Registrar recibidas_gastos'!N38)</f>
        <v/>
      </c>
      <c r="O38" s="61" t="str">
        <f>IF('Registrar recibidas_gastos'!O38="","",'Registrar recibidas_gastos'!O38)</f>
        <v/>
      </c>
      <c r="P38" s="61" t="str">
        <f>IF(OR(LEFT('Registrar recibidas_gastos'!P38,2)="01",'Registrar recibidas_gastos'!P38=""),"",VLOOKUP(CONCATENATE("TIPO NIF",'Registrar recibidas_gastos'!P38),'CODIGO-LITERAL'!$C:$D,2,FALSE))</f>
        <v/>
      </c>
      <c r="Q38" s="61" t="str">
        <f>IF('Registrar recibidas_gastos'!Q38="","",'Registrar recibidas_gastos'!Q38)</f>
        <v/>
      </c>
      <c r="R38" s="61" t="str">
        <f>IF('Registrar recibidas_gastos'!R38="","",'Registrar recibidas_gastos'!R38)</f>
        <v/>
      </c>
      <c r="S38" s="61" t="str">
        <f>IF('Registrar recibidas_gastos'!S38="","",'Registrar recibidas_gastos'!S38)</f>
        <v/>
      </c>
      <c r="T38" s="61" t="str">
        <f>IF('Registrar recibidas_gastos'!T38="","",VLOOKUP(CONCATENATE("CLAVE OPERACION GASTO",'Registrar recibidas_gastos'!T38),'CODIGO-LITERAL'!$C:$D,2,FALSE))</f>
        <v/>
      </c>
      <c r="U38" s="61" t="str">
        <f>IF(T38="","",IF(OR(T38="02",T38="08"),"N",IF('Registrar recibidas_gastos'!U38="","N",'Registrar recibidas_gastos'!U38)))</f>
        <v/>
      </c>
      <c r="V38" s="61" t="str">
        <f>IF(T38="","",IF(OR(T38="07",T38="08",T38="09",F38="F5",F38="LC"),"N",IF('Registrar recibidas_gastos'!V38="","N",'Registrar recibidas_gastos'!V38)))</f>
        <v/>
      </c>
      <c r="W38" s="61" t="str">
        <f>IF(AND(X38="",Y38=""),"",IF(AND(RECIBIDAS_GASTOS!$X38&lt;&gt;"",RECIBIDAS_GASTOS!$Y38&lt;&gt;""),"S",IF('Registrar recibidas_gastos'!W38="","N",'Registrar recibidas_gastos'!W38)))</f>
        <v/>
      </c>
      <c r="X38" s="67" t="str">
        <f>IF('Registrar recibidas_gastos'!X38="","",'Registrar recibidas_gastos'!X38)</f>
        <v/>
      </c>
      <c r="Y38" s="61" t="str">
        <f>IF('Registrar recibidas_gastos'!Y38="","",'Registrar recibidas_gastos'!Y38)</f>
        <v/>
      </c>
      <c r="Z38" s="68" t="str">
        <f>IF('Registrar recibidas_gastos'!Z38="","",IF(AND(F38="",T38=""),"",IF(OR(T38="03",T38="05",T38="09"),AA38,SUM(AA38,AC38,AF38))))</f>
        <v/>
      </c>
      <c r="AA38" s="68" t="str">
        <f>IF('Registrar recibidas_gastos'!AA38="","",ROUND('Registrar recibidas_gastos'!AA38,2))</f>
        <v/>
      </c>
      <c r="AB38" s="61" t="str">
        <f>IF('Registrar recibidas_gastos'!AB38="","",'Registrar recibidas_gastos'!AB38)</f>
        <v/>
      </c>
      <c r="AC38" s="68" t="str">
        <f>IF(OR(T38="03",T38="05"),0,IF('Registrar recibidas_gastos'!AC38="","",ROUND(AA38*AB38/100,2)))</f>
        <v/>
      </c>
      <c r="AD38" s="68" t="str">
        <f>IF('Registrar recibidas_gastos'!AD38="","",ROUND('Registrar recibidas_gastos'!AD38,2))</f>
        <v/>
      </c>
      <c r="AE38" s="61" t="str">
        <f>IF('Registrar recibidas_gastos'!AE38="","",'Registrar recibidas_gastos'!AE38)</f>
        <v/>
      </c>
      <c r="AF38" s="68" t="str">
        <f>IF('Registrar recibidas_gastos'!AF38="","",ROUND(AA38*AE38/100,2))</f>
        <v/>
      </c>
      <c r="AG38" s="67" t="str">
        <f>IF('Registrar recibidas_gastos'!AG38="","",'Registrar recibidas_gastos'!AG38)</f>
        <v/>
      </c>
      <c r="AH38" s="68" t="str">
        <f>IF('Registrar recibidas_gastos'!AH38="","",'Registrar recibidas_gastos'!AH38)</f>
        <v/>
      </c>
      <c r="AI38" s="61" t="str">
        <f>IF('Registrar recibidas_gastos'!AI38="","",VLOOKUP(CONCATENATE("MEDIO UTILIZADO",'Registrar recibidas_gastos'!AI38),'CODIGO-LITERAL'!$C:$D,2,FALSE))</f>
        <v/>
      </c>
      <c r="AJ38" s="61" t="str">
        <f>IF('Registrar recibidas_gastos'!AJ38="","",'Registrar recibidas_gastos'!AJ38)</f>
        <v/>
      </c>
      <c r="AK38" s="62"/>
      <c r="AL38" s="69"/>
      <c r="AM38" s="61" t="str">
        <f>IF('Registrar recibidas_gastos'!AM38="","",'Registrar recibidas_gastos'!AM38)</f>
        <v/>
      </c>
      <c r="AN38" s="61" t="str">
        <f>IF('Registrar recibidas_gastos'!AN38="","",VLOOKUP(CONCATENATE("SITUACION",'Registrar recibidas_gastos'!AN38),'CODIGO-LITERAL'!$C:$D,2,FALSE))</f>
        <v/>
      </c>
      <c r="AO38" s="61" t="str">
        <f>IF('Registrar recibidas_gastos'!AO38="","",'Registrar recibidas_gastos'!AO38)</f>
        <v/>
      </c>
      <c r="AP38" s="61" t="str">
        <f>IF('Registrar recibidas_gastos'!AP38="","",'Registrar recibidas_gastos'!AP38)</f>
        <v/>
      </c>
    </row>
    <row r="39" spans="1:42" x14ac:dyDescent="0.25">
      <c r="A39" s="66" t="str">
        <f>IF('Registrar recibidas_gastos'!A39="","",'Registrar recibidas_gastos'!A39)</f>
        <v/>
      </c>
      <c r="B39" s="61" t="str">
        <f>IF('Registrar recibidas_gastos'!B39="","",'Registrar recibidas_gastos'!B39)</f>
        <v/>
      </c>
      <c r="C39" s="61" t="str">
        <f>IF('Registrar recibidas_gastos'!C39="","",VLOOKUP(CONCATENATE("ACTIVIDAD",'Registrar recibidas_gastos'!C39),'CODIGO-LITERAL'!$C:$D,2,FALSE))</f>
        <v/>
      </c>
      <c r="D39" s="60" t="str">
        <f>IF(OR(C39="C",C39="D"),"",IF(ISERROR(VLOOKUP(CONCATENATE(C39,'Registrar recibidas_gastos'!D39),'CODIGO-LITERAL'!$C:$D,2,FALSE)),"",VLOOKUP(CONCATENATE(C39,'Registrar recibidas_gastos'!D39),'CODIGO-LITERAL'!$C:$D,2,FALSE)))</f>
        <v/>
      </c>
      <c r="E39" s="61" t="str">
        <f>IF('Registrar recibidas_gastos'!E39="","",'Registrar recibidas_gastos'!E39)</f>
        <v/>
      </c>
      <c r="F39" s="61" t="str">
        <f>IF('Registrar recibidas_gastos'!F39="","",VLOOKUP(CONCATENATE("TIPO FACTURA GASTO",'Registrar recibidas_gastos'!F39),'CODIGO-LITERAL'!$C:$D,2,FALSE))</f>
        <v/>
      </c>
      <c r="G39" s="62"/>
      <c r="H39" s="62"/>
      <c r="I39" s="67" t="str">
        <f>IF('Registrar recibidas_gastos'!I39="","",'Registrar recibidas_gastos'!I39)</f>
        <v/>
      </c>
      <c r="J39" s="67" t="str">
        <f>IF('Registrar recibidas_gastos'!J39="","",'Registrar recibidas_gastos'!J39)</f>
        <v/>
      </c>
      <c r="K39" s="61" t="str">
        <f>IF('Registrar recibidas_gastos'!K39="","",'Registrar recibidas_gastos'!K39)</f>
        <v/>
      </c>
      <c r="L39" s="61" t="str">
        <f>IF('Registrar recibidas_gastos'!L39="","",'Registrar recibidas_gastos'!L39)</f>
        <v/>
      </c>
      <c r="M39" s="67" t="str">
        <f>IF('Registrar recibidas_gastos'!M39="","",'Registrar recibidas_gastos'!M39)</f>
        <v/>
      </c>
      <c r="N39" s="61" t="str">
        <f>IF('Registrar recibidas_gastos'!N39="","",'Registrar recibidas_gastos'!N39)</f>
        <v/>
      </c>
      <c r="O39" s="61" t="str">
        <f>IF('Registrar recibidas_gastos'!O39="","",'Registrar recibidas_gastos'!O39)</f>
        <v/>
      </c>
      <c r="P39" s="61" t="str">
        <f>IF(OR(LEFT('Registrar recibidas_gastos'!P39,2)="01",'Registrar recibidas_gastos'!P39=""),"",VLOOKUP(CONCATENATE("TIPO NIF",'Registrar recibidas_gastos'!P39),'CODIGO-LITERAL'!$C:$D,2,FALSE))</f>
        <v/>
      </c>
      <c r="Q39" s="61" t="str">
        <f>IF('Registrar recibidas_gastos'!Q39="","",'Registrar recibidas_gastos'!Q39)</f>
        <v/>
      </c>
      <c r="R39" s="61" t="str">
        <f>IF('Registrar recibidas_gastos'!R39="","",'Registrar recibidas_gastos'!R39)</f>
        <v/>
      </c>
      <c r="S39" s="61" t="str">
        <f>IF('Registrar recibidas_gastos'!S39="","",'Registrar recibidas_gastos'!S39)</f>
        <v/>
      </c>
      <c r="T39" s="61" t="str">
        <f>IF('Registrar recibidas_gastos'!T39="","",VLOOKUP(CONCATENATE("CLAVE OPERACION GASTO",'Registrar recibidas_gastos'!T39),'CODIGO-LITERAL'!$C:$D,2,FALSE))</f>
        <v/>
      </c>
      <c r="U39" s="61" t="str">
        <f>IF(T39="","",IF(OR(T39="02",T39="08"),"N",IF('Registrar recibidas_gastos'!U39="","N",'Registrar recibidas_gastos'!U39)))</f>
        <v/>
      </c>
      <c r="V39" s="61" t="str">
        <f>IF(T39="","",IF(OR(T39="07",T39="08",T39="09",F39="F5",F39="LC"),"N",IF('Registrar recibidas_gastos'!V39="","N",'Registrar recibidas_gastos'!V39)))</f>
        <v/>
      </c>
      <c r="W39" s="61" t="str">
        <f>IF(AND(X39="",Y39=""),"",IF(AND(RECIBIDAS_GASTOS!$X39&lt;&gt;"",RECIBIDAS_GASTOS!$Y39&lt;&gt;""),"S",IF('Registrar recibidas_gastos'!W39="","N",'Registrar recibidas_gastos'!W39)))</f>
        <v/>
      </c>
      <c r="X39" s="67" t="str">
        <f>IF('Registrar recibidas_gastos'!X39="","",'Registrar recibidas_gastos'!X39)</f>
        <v/>
      </c>
      <c r="Y39" s="61" t="str">
        <f>IF('Registrar recibidas_gastos'!Y39="","",'Registrar recibidas_gastos'!Y39)</f>
        <v/>
      </c>
      <c r="Z39" s="68" t="str">
        <f>IF('Registrar recibidas_gastos'!Z39="","",IF(AND(F39="",T39=""),"",IF(OR(T39="03",T39="05",T39="09"),AA39,SUM(AA39,AC39,AF39))))</f>
        <v/>
      </c>
      <c r="AA39" s="68" t="str">
        <f>IF('Registrar recibidas_gastos'!AA39="","",ROUND('Registrar recibidas_gastos'!AA39,2))</f>
        <v/>
      </c>
      <c r="AB39" s="61" t="str">
        <f>IF('Registrar recibidas_gastos'!AB39="","",'Registrar recibidas_gastos'!AB39)</f>
        <v/>
      </c>
      <c r="AC39" s="68" t="str">
        <f>IF(OR(T39="03",T39="05"),0,IF('Registrar recibidas_gastos'!AC39="","",ROUND(AA39*AB39/100,2)))</f>
        <v/>
      </c>
      <c r="AD39" s="68" t="str">
        <f>IF('Registrar recibidas_gastos'!AD39="","",ROUND('Registrar recibidas_gastos'!AD39,2))</f>
        <v/>
      </c>
      <c r="AE39" s="61" t="str">
        <f>IF('Registrar recibidas_gastos'!AE39="","",'Registrar recibidas_gastos'!AE39)</f>
        <v/>
      </c>
      <c r="AF39" s="68" t="str">
        <f>IF('Registrar recibidas_gastos'!AF39="","",ROUND(AA39*AE39/100,2))</f>
        <v/>
      </c>
      <c r="AG39" s="67" t="str">
        <f>IF('Registrar recibidas_gastos'!AG39="","",'Registrar recibidas_gastos'!AG39)</f>
        <v/>
      </c>
      <c r="AH39" s="68" t="str">
        <f>IF('Registrar recibidas_gastos'!AH39="","",'Registrar recibidas_gastos'!AH39)</f>
        <v/>
      </c>
      <c r="AI39" s="61" t="str">
        <f>IF('Registrar recibidas_gastos'!AI39="","",VLOOKUP(CONCATENATE("MEDIO UTILIZADO",'Registrar recibidas_gastos'!AI39),'CODIGO-LITERAL'!$C:$D,2,FALSE))</f>
        <v/>
      </c>
      <c r="AJ39" s="61" t="str">
        <f>IF('Registrar recibidas_gastos'!AJ39="","",'Registrar recibidas_gastos'!AJ39)</f>
        <v/>
      </c>
      <c r="AK39" s="62"/>
      <c r="AL39" s="69"/>
      <c r="AM39" s="61" t="str">
        <f>IF('Registrar recibidas_gastos'!AM39="","",'Registrar recibidas_gastos'!AM39)</f>
        <v/>
      </c>
      <c r="AN39" s="61" t="str">
        <f>IF('Registrar recibidas_gastos'!AN39="","",VLOOKUP(CONCATENATE("SITUACION",'Registrar recibidas_gastos'!AN39),'CODIGO-LITERAL'!$C:$D,2,FALSE))</f>
        <v/>
      </c>
      <c r="AO39" s="61" t="str">
        <f>IF('Registrar recibidas_gastos'!AO39="","",'Registrar recibidas_gastos'!AO39)</f>
        <v/>
      </c>
      <c r="AP39" s="61" t="str">
        <f>IF('Registrar recibidas_gastos'!AP39="","",'Registrar recibidas_gastos'!AP39)</f>
        <v/>
      </c>
    </row>
    <row r="40" spans="1:42" x14ac:dyDescent="0.25">
      <c r="A40" s="66" t="str">
        <f>IF('Registrar recibidas_gastos'!A40="","",'Registrar recibidas_gastos'!A40)</f>
        <v/>
      </c>
      <c r="B40" s="61" t="str">
        <f>IF('Registrar recibidas_gastos'!B40="","",'Registrar recibidas_gastos'!B40)</f>
        <v/>
      </c>
      <c r="C40" s="61" t="str">
        <f>IF('Registrar recibidas_gastos'!C40="","",VLOOKUP(CONCATENATE("ACTIVIDAD",'Registrar recibidas_gastos'!C40),'CODIGO-LITERAL'!$C:$D,2,FALSE))</f>
        <v/>
      </c>
      <c r="D40" s="60" t="str">
        <f>IF(OR(C40="C",C40="D"),"",IF(ISERROR(VLOOKUP(CONCATENATE(C40,'Registrar recibidas_gastos'!D40),'CODIGO-LITERAL'!$C:$D,2,FALSE)),"",VLOOKUP(CONCATENATE(C40,'Registrar recibidas_gastos'!D40),'CODIGO-LITERAL'!$C:$D,2,FALSE)))</f>
        <v/>
      </c>
      <c r="E40" s="61" t="str">
        <f>IF('Registrar recibidas_gastos'!E40="","",'Registrar recibidas_gastos'!E40)</f>
        <v/>
      </c>
      <c r="F40" s="61" t="str">
        <f>IF('Registrar recibidas_gastos'!F40="","",VLOOKUP(CONCATENATE("TIPO FACTURA GASTO",'Registrar recibidas_gastos'!F40),'CODIGO-LITERAL'!$C:$D,2,FALSE))</f>
        <v/>
      </c>
      <c r="G40" s="62"/>
      <c r="H40" s="62"/>
      <c r="I40" s="67" t="str">
        <f>IF('Registrar recibidas_gastos'!I40="","",'Registrar recibidas_gastos'!I40)</f>
        <v/>
      </c>
      <c r="J40" s="67" t="str">
        <f>IF('Registrar recibidas_gastos'!J40="","",'Registrar recibidas_gastos'!J40)</f>
        <v/>
      </c>
      <c r="K40" s="61" t="str">
        <f>IF('Registrar recibidas_gastos'!K40="","",'Registrar recibidas_gastos'!K40)</f>
        <v/>
      </c>
      <c r="L40" s="61" t="str">
        <f>IF('Registrar recibidas_gastos'!L40="","",'Registrar recibidas_gastos'!L40)</f>
        <v/>
      </c>
      <c r="M40" s="67" t="str">
        <f>IF('Registrar recibidas_gastos'!M40="","",'Registrar recibidas_gastos'!M40)</f>
        <v/>
      </c>
      <c r="N40" s="61" t="str">
        <f>IF('Registrar recibidas_gastos'!N40="","",'Registrar recibidas_gastos'!N40)</f>
        <v/>
      </c>
      <c r="O40" s="61" t="str">
        <f>IF('Registrar recibidas_gastos'!O40="","",'Registrar recibidas_gastos'!O40)</f>
        <v/>
      </c>
      <c r="P40" s="61" t="str">
        <f>IF(OR(LEFT('Registrar recibidas_gastos'!P40,2)="01",'Registrar recibidas_gastos'!P40=""),"",VLOOKUP(CONCATENATE("TIPO NIF",'Registrar recibidas_gastos'!P40),'CODIGO-LITERAL'!$C:$D,2,FALSE))</f>
        <v/>
      </c>
      <c r="Q40" s="61" t="str">
        <f>IF('Registrar recibidas_gastos'!Q40="","",'Registrar recibidas_gastos'!Q40)</f>
        <v/>
      </c>
      <c r="R40" s="61" t="str">
        <f>IF('Registrar recibidas_gastos'!R40="","",'Registrar recibidas_gastos'!R40)</f>
        <v/>
      </c>
      <c r="S40" s="61" t="str">
        <f>IF('Registrar recibidas_gastos'!S40="","",'Registrar recibidas_gastos'!S40)</f>
        <v/>
      </c>
      <c r="T40" s="61" t="str">
        <f>IF('Registrar recibidas_gastos'!T40="","",VLOOKUP(CONCATENATE("CLAVE OPERACION GASTO",'Registrar recibidas_gastos'!T40),'CODIGO-LITERAL'!$C:$D,2,FALSE))</f>
        <v/>
      </c>
      <c r="U40" s="61" t="str">
        <f>IF(T40="","",IF(OR(T40="02",T40="08"),"N",IF('Registrar recibidas_gastos'!U40="","N",'Registrar recibidas_gastos'!U40)))</f>
        <v/>
      </c>
      <c r="V40" s="61" t="str">
        <f>IF(T40="","",IF(OR(T40="07",T40="08",T40="09",F40="F5",F40="LC"),"N",IF('Registrar recibidas_gastos'!V40="","N",'Registrar recibidas_gastos'!V40)))</f>
        <v/>
      </c>
      <c r="W40" s="61" t="str">
        <f>IF(AND(X40="",Y40=""),"",IF(AND(RECIBIDAS_GASTOS!$X40&lt;&gt;"",RECIBIDAS_GASTOS!$Y40&lt;&gt;""),"S",IF('Registrar recibidas_gastos'!W40="","N",'Registrar recibidas_gastos'!W40)))</f>
        <v/>
      </c>
      <c r="X40" s="67" t="str">
        <f>IF('Registrar recibidas_gastos'!X40="","",'Registrar recibidas_gastos'!X40)</f>
        <v/>
      </c>
      <c r="Y40" s="61" t="str">
        <f>IF('Registrar recibidas_gastos'!Y40="","",'Registrar recibidas_gastos'!Y40)</f>
        <v/>
      </c>
      <c r="Z40" s="68" t="str">
        <f>IF('Registrar recibidas_gastos'!Z40="","",IF(AND(F40="",T40=""),"",IF(OR(T40="03",T40="05",T40="09"),AA40,SUM(AA40,AC40,AF40))))</f>
        <v/>
      </c>
      <c r="AA40" s="68" t="str">
        <f>IF('Registrar recibidas_gastos'!AA40="","",ROUND('Registrar recibidas_gastos'!AA40,2))</f>
        <v/>
      </c>
      <c r="AB40" s="61" t="str">
        <f>IF('Registrar recibidas_gastos'!AB40="","",'Registrar recibidas_gastos'!AB40)</f>
        <v/>
      </c>
      <c r="AC40" s="68" t="str">
        <f>IF(OR(T40="03",T40="05"),0,IF('Registrar recibidas_gastos'!AC40="","",ROUND(AA40*AB40/100,2)))</f>
        <v/>
      </c>
      <c r="AD40" s="68" t="str">
        <f>IF('Registrar recibidas_gastos'!AD40="","",ROUND('Registrar recibidas_gastos'!AD40,2))</f>
        <v/>
      </c>
      <c r="AE40" s="61" t="str">
        <f>IF('Registrar recibidas_gastos'!AE40="","",'Registrar recibidas_gastos'!AE40)</f>
        <v/>
      </c>
      <c r="AF40" s="68" t="str">
        <f>IF('Registrar recibidas_gastos'!AF40="","",ROUND(AA40*AE40/100,2))</f>
        <v/>
      </c>
      <c r="AG40" s="67" t="str">
        <f>IF('Registrar recibidas_gastos'!AG40="","",'Registrar recibidas_gastos'!AG40)</f>
        <v/>
      </c>
      <c r="AH40" s="68" t="str">
        <f>IF('Registrar recibidas_gastos'!AH40="","",'Registrar recibidas_gastos'!AH40)</f>
        <v/>
      </c>
      <c r="AI40" s="61" t="str">
        <f>IF('Registrar recibidas_gastos'!AI40="","",VLOOKUP(CONCATENATE("MEDIO UTILIZADO",'Registrar recibidas_gastos'!AI40),'CODIGO-LITERAL'!$C:$D,2,FALSE))</f>
        <v/>
      </c>
      <c r="AJ40" s="61" t="str">
        <f>IF('Registrar recibidas_gastos'!AJ40="","",'Registrar recibidas_gastos'!AJ40)</f>
        <v/>
      </c>
      <c r="AK40" s="62"/>
      <c r="AL40" s="69"/>
      <c r="AM40" s="61" t="str">
        <f>IF('Registrar recibidas_gastos'!AM40="","",'Registrar recibidas_gastos'!AM40)</f>
        <v/>
      </c>
      <c r="AN40" s="61" t="str">
        <f>IF('Registrar recibidas_gastos'!AN40="","",VLOOKUP(CONCATENATE("SITUACION",'Registrar recibidas_gastos'!AN40),'CODIGO-LITERAL'!$C:$D,2,FALSE))</f>
        <v/>
      </c>
      <c r="AO40" s="61" t="str">
        <f>IF('Registrar recibidas_gastos'!AO40="","",'Registrar recibidas_gastos'!AO40)</f>
        <v/>
      </c>
      <c r="AP40" s="61" t="str">
        <f>IF('Registrar recibidas_gastos'!AP40="","",'Registrar recibidas_gastos'!AP40)</f>
        <v/>
      </c>
    </row>
    <row r="41" spans="1:42" x14ac:dyDescent="0.25">
      <c r="A41" s="66" t="str">
        <f>IF('Registrar recibidas_gastos'!A41="","",'Registrar recibidas_gastos'!A41)</f>
        <v/>
      </c>
      <c r="B41" s="61" t="str">
        <f>IF('Registrar recibidas_gastos'!B41="","",'Registrar recibidas_gastos'!B41)</f>
        <v/>
      </c>
      <c r="C41" s="61" t="str">
        <f>IF('Registrar recibidas_gastos'!C41="","",VLOOKUP(CONCATENATE("ACTIVIDAD",'Registrar recibidas_gastos'!C41),'CODIGO-LITERAL'!$C:$D,2,FALSE))</f>
        <v/>
      </c>
      <c r="D41" s="60" t="str">
        <f>IF(OR(C41="C",C41="D"),"",IF(ISERROR(VLOOKUP(CONCATENATE(C41,'Registrar recibidas_gastos'!D41),'CODIGO-LITERAL'!$C:$D,2,FALSE)),"",VLOOKUP(CONCATENATE(C41,'Registrar recibidas_gastos'!D41),'CODIGO-LITERAL'!$C:$D,2,FALSE)))</f>
        <v/>
      </c>
      <c r="E41" s="61" t="str">
        <f>IF('Registrar recibidas_gastos'!E41="","",'Registrar recibidas_gastos'!E41)</f>
        <v/>
      </c>
      <c r="F41" s="61" t="str">
        <f>IF('Registrar recibidas_gastos'!F41="","",VLOOKUP(CONCATENATE("TIPO FACTURA GASTO",'Registrar recibidas_gastos'!F41),'CODIGO-LITERAL'!$C:$D,2,FALSE))</f>
        <v/>
      </c>
      <c r="G41" s="62"/>
      <c r="H41" s="62"/>
      <c r="I41" s="67" t="str">
        <f>IF('Registrar recibidas_gastos'!I41="","",'Registrar recibidas_gastos'!I41)</f>
        <v/>
      </c>
      <c r="J41" s="67" t="str">
        <f>IF('Registrar recibidas_gastos'!J41="","",'Registrar recibidas_gastos'!J41)</f>
        <v/>
      </c>
      <c r="K41" s="61" t="str">
        <f>IF('Registrar recibidas_gastos'!K41="","",'Registrar recibidas_gastos'!K41)</f>
        <v/>
      </c>
      <c r="L41" s="61" t="str">
        <f>IF('Registrar recibidas_gastos'!L41="","",'Registrar recibidas_gastos'!L41)</f>
        <v/>
      </c>
      <c r="M41" s="67" t="str">
        <f>IF('Registrar recibidas_gastos'!M41="","",'Registrar recibidas_gastos'!M41)</f>
        <v/>
      </c>
      <c r="N41" s="61" t="str">
        <f>IF('Registrar recibidas_gastos'!N41="","",'Registrar recibidas_gastos'!N41)</f>
        <v/>
      </c>
      <c r="O41" s="61" t="str">
        <f>IF('Registrar recibidas_gastos'!O41="","",'Registrar recibidas_gastos'!O41)</f>
        <v/>
      </c>
      <c r="P41" s="61" t="str">
        <f>IF(OR(LEFT('Registrar recibidas_gastos'!P41,2)="01",'Registrar recibidas_gastos'!P41=""),"",VLOOKUP(CONCATENATE("TIPO NIF",'Registrar recibidas_gastos'!P41),'CODIGO-LITERAL'!$C:$D,2,FALSE))</f>
        <v/>
      </c>
      <c r="Q41" s="61" t="str">
        <f>IF('Registrar recibidas_gastos'!Q41="","",'Registrar recibidas_gastos'!Q41)</f>
        <v/>
      </c>
      <c r="R41" s="61" t="str">
        <f>IF('Registrar recibidas_gastos'!R41="","",'Registrar recibidas_gastos'!R41)</f>
        <v/>
      </c>
      <c r="S41" s="61" t="str">
        <f>IF('Registrar recibidas_gastos'!S41="","",'Registrar recibidas_gastos'!S41)</f>
        <v/>
      </c>
      <c r="T41" s="61" t="str">
        <f>IF('Registrar recibidas_gastos'!T41="","",VLOOKUP(CONCATENATE("CLAVE OPERACION GASTO",'Registrar recibidas_gastos'!T41),'CODIGO-LITERAL'!$C:$D,2,FALSE))</f>
        <v/>
      </c>
      <c r="U41" s="61" t="str">
        <f>IF(T41="","",IF(OR(T41="02",T41="08"),"N",IF('Registrar recibidas_gastos'!U41="","N",'Registrar recibidas_gastos'!U41)))</f>
        <v/>
      </c>
      <c r="V41" s="61" t="str">
        <f>IF(T41="","",IF(OR(T41="07",T41="08",T41="09",F41="F5",F41="LC"),"N",IF('Registrar recibidas_gastos'!V41="","N",'Registrar recibidas_gastos'!V41)))</f>
        <v/>
      </c>
      <c r="W41" s="61" t="str">
        <f>IF(AND(X41="",Y41=""),"",IF(AND(RECIBIDAS_GASTOS!$X41&lt;&gt;"",RECIBIDAS_GASTOS!$Y41&lt;&gt;""),"S",IF('Registrar recibidas_gastos'!W41="","N",'Registrar recibidas_gastos'!W41)))</f>
        <v/>
      </c>
      <c r="X41" s="67" t="str">
        <f>IF('Registrar recibidas_gastos'!X41="","",'Registrar recibidas_gastos'!X41)</f>
        <v/>
      </c>
      <c r="Y41" s="61" t="str">
        <f>IF('Registrar recibidas_gastos'!Y41="","",'Registrar recibidas_gastos'!Y41)</f>
        <v/>
      </c>
      <c r="Z41" s="68" t="str">
        <f>IF('Registrar recibidas_gastos'!Z41="","",IF(AND(F41="",T41=""),"",IF(OR(T41="03",T41="05",T41="09"),AA41,SUM(AA41,AC41,AF41))))</f>
        <v/>
      </c>
      <c r="AA41" s="68" t="str">
        <f>IF('Registrar recibidas_gastos'!AA41="","",ROUND('Registrar recibidas_gastos'!AA41,2))</f>
        <v/>
      </c>
      <c r="AB41" s="61" t="str">
        <f>IF('Registrar recibidas_gastos'!AB41="","",'Registrar recibidas_gastos'!AB41)</f>
        <v/>
      </c>
      <c r="AC41" s="68" t="str">
        <f>IF(OR(T41="03",T41="05"),0,IF('Registrar recibidas_gastos'!AC41="","",ROUND(AA41*AB41/100,2)))</f>
        <v/>
      </c>
      <c r="AD41" s="68" t="str">
        <f>IF('Registrar recibidas_gastos'!AD41="","",ROUND('Registrar recibidas_gastos'!AD41,2))</f>
        <v/>
      </c>
      <c r="AE41" s="61" t="str">
        <f>IF('Registrar recibidas_gastos'!AE41="","",'Registrar recibidas_gastos'!AE41)</f>
        <v/>
      </c>
      <c r="AF41" s="68" t="str">
        <f>IF('Registrar recibidas_gastos'!AF41="","",ROUND(AA41*AE41/100,2))</f>
        <v/>
      </c>
      <c r="AG41" s="67" t="str">
        <f>IF('Registrar recibidas_gastos'!AG41="","",'Registrar recibidas_gastos'!AG41)</f>
        <v/>
      </c>
      <c r="AH41" s="68" t="str">
        <f>IF('Registrar recibidas_gastos'!AH41="","",'Registrar recibidas_gastos'!AH41)</f>
        <v/>
      </c>
      <c r="AI41" s="61" t="str">
        <f>IF('Registrar recibidas_gastos'!AI41="","",VLOOKUP(CONCATENATE("MEDIO UTILIZADO",'Registrar recibidas_gastos'!AI41),'CODIGO-LITERAL'!$C:$D,2,FALSE))</f>
        <v/>
      </c>
      <c r="AJ41" s="61" t="str">
        <f>IF('Registrar recibidas_gastos'!AJ41="","",'Registrar recibidas_gastos'!AJ41)</f>
        <v/>
      </c>
      <c r="AK41" s="62"/>
      <c r="AL41" s="69"/>
      <c r="AM41" s="61" t="str">
        <f>IF('Registrar recibidas_gastos'!AM41="","",'Registrar recibidas_gastos'!AM41)</f>
        <v/>
      </c>
      <c r="AN41" s="61" t="str">
        <f>IF('Registrar recibidas_gastos'!AN41="","",VLOOKUP(CONCATENATE("SITUACION",'Registrar recibidas_gastos'!AN41),'CODIGO-LITERAL'!$C:$D,2,FALSE))</f>
        <v/>
      </c>
      <c r="AO41" s="61" t="str">
        <f>IF('Registrar recibidas_gastos'!AO41="","",'Registrar recibidas_gastos'!AO41)</f>
        <v/>
      </c>
      <c r="AP41" s="61" t="str">
        <f>IF('Registrar recibidas_gastos'!AP41="","",'Registrar recibidas_gastos'!AP41)</f>
        <v/>
      </c>
    </row>
    <row r="42" spans="1:42" x14ac:dyDescent="0.25">
      <c r="A42" s="66" t="str">
        <f>IF('Registrar recibidas_gastos'!A42="","",'Registrar recibidas_gastos'!A42)</f>
        <v/>
      </c>
      <c r="B42" s="61" t="str">
        <f>IF('Registrar recibidas_gastos'!B42="","",'Registrar recibidas_gastos'!B42)</f>
        <v/>
      </c>
      <c r="C42" s="61" t="str">
        <f>IF('Registrar recibidas_gastos'!C42="","",VLOOKUP(CONCATENATE("ACTIVIDAD",'Registrar recibidas_gastos'!C42),'CODIGO-LITERAL'!$C:$D,2,FALSE))</f>
        <v/>
      </c>
      <c r="D42" s="60" t="str">
        <f>IF(OR(C42="C",C42="D"),"",IF(ISERROR(VLOOKUP(CONCATENATE(C42,'Registrar recibidas_gastos'!D42),'CODIGO-LITERAL'!$C:$D,2,FALSE)),"",VLOOKUP(CONCATENATE(C42,'Registrar recibidas_gastos'!D42),'CODIGO-LITERAL'!$C:$D,2,FALSE)))</f>
        <v/>
      </c>
      <c r="E42" s="61" t="str">
        <f>IF('Registrar recibidas_gastos'!E42="","",'Registrar recibidas_gastos'!E42)</f>
        <v/>
      </c>
      <c r="F42" s="61" t="str">
        <f>IF('Registrar recibidas_gastos'!F42="","",VLOOKUP(CONCATENATE("TIPO FACTURA GASTO",'Registrar recibidas_gastos'!F42),'CODIGO-LITERAL'!$C:$D,2,FALSE))</f>
        <v/>
      </c>
      <c r="G42" s="62"/>
      <c r="H42" s="62"/>
      <c r="I42" s="67" t="str">
        <f>IF('Registrar recibidas_gastos'!I42="","",'Registrar recibidas_gastos'!I42)</f>
        <v/>
      </c>
      <c r="J42" s="67" t="str">
        <f>IF('Registrar recibidas_gastos'!J42="","",'Registrar recibidas_gastos'!J42)</f>
        <v/>
      </c>
      <c r="K42" s="61" t="str">
        <f>IF('Registrar recibidas_gastos'!K42="","",'Registrar recibidas_gastos'!K42)</f>
        <v/>
      </c>
      <c r="L42" s="61" t="str">
        <f>IF('Registrar recibidas_gastos'!L42="","",'Registrar recibidas_gastos'!L42)</f>
        <v/>
      </c>
      <c r="M42" s="67" t="str">
        <f>IF('Registrar recibidas_gastos'!M42="","",'Registrar recibidas_gastos'!M42)</f>
        <v/>
      </c>
      <c r="N42" s="61" t="str">
        <f>IF('Registrar recibidas_gastos'!N42="","",'Registrar recibidas_gastos'!N42)</f>
        <v/>
      </c>
      <c r="O42" s="61" t="str">
        <f>IF('Registrar recibidas_gastos'!O42="","",'Registrar recibidas_gastos'!O42)</f>
        <v/>
      </c>
      <c r="P42" s="61" t="str">
        <f>IF(OR(LEFT('Registrar recibidas_gastos'!P42,2)="01",'Registrar recibidas_gastos'!P42=""),"",VLOOKUP(CONCATENATE("TIPO NIF",'Registrar recibidas_gastos'!P42),'CODIGO-LITERAL'!$C:$D,2,FALSE))</f>
        <v/>
      </c>
      <c r="Q42" s="61" t="str">
        <f>IF('Registrar recibidas_gastos'!Q42="","",'Registrar recibidas_gastos'!Q42)</f>
        <v/>
      </c>
      <c r="R42" s="61" t="str">
        <f>IF('Registrar recibidas_gastos'!R42="","",'Registrar recibidas_gastos'!R42)</f>
        <v/>
      </c>
      <c r="S42" s="61" t="str">
        <f>IF('Registrar recibidas_gastos'!S42="","",'Registrar recibidas_gastos'!S42)</f>
        <v/>
      </c>
      <c r="T42" s="61" t="str">
        <f>IF('Registrar recibidas_gastos'!T42="","",VLOOKUP(CONCATENATE("CLAVE OPERACION GASTO",'Registrar recibidas_gastos'!T42),'CODIGO-LITERAL'!$C:$D,2,FALSE))</f>
        <v/>
      </c>
      <c r="U42" s="61" t="str">
        <f>IF(T42="","",IF(OR(T42="02",T42="08"),"N",IF('Registrar recibidas_gastos'!U42="","N",'Registrar recibidas_gastos'!U42)))</f>
        <v/>
      </c>
      <c r="V42" s="61" t="str">
        <f>IF(T42="","",IF(OR(T42="07",T42="08",T42="09",F42="F5",F42="LC"),"N",IF('Registrar recibidas_gastos'!V42="","N",'Registrar recibidas_gastos'!V42)))</f>
        <v/>
      </c>
      <c r="W42" s="61" t="str">
        <f>IF(AND(X42="",Y42=""),"",IF(AND(RECIBIDAS_GASTOS!$X42&lt;&gt;"",RECIBIDAS_GASTOS!$Y42&lt;&gt;""),"S",IF('Registrar recibidas_gastos'!W42="","N",'Registrar recibidas_gastos'!W42)))</f>
        <v/>
      </c>
      <c r="X42" s="67" t="str">
        <f>IF('Registrar recibidas_gastos'!X42="","",'Registrar recibidas_gastos'!X42)</f>
        <v/>
      </c>
      <c r="Y42" s="61" t="str">
        <f>IF('Registrar recibidas_gastos'!Y42="","",'Registrar recibidas_gastos'!Y42)</f>
        <v/>
      </c>
      <c r="Z42" s="68" t="str">
        <f>IF('Registrar recibidas_gastos'!Z42="","",IF(AND(F42="",T42=""),"",IF(OR(T42="03",T42="05",T42="09"),AA42,SUM(AA42,AC42,AF42))))</f>
        <v/>
      </c>
      <c r="AA42" s="68" t="str">
        <f>IF('Registrar recibidas_gastos'!AA42="","",ROUND('Registrar recibidas_gastos'!AA42,2))</f>
        <v/>
      </c>
      <c r="AB42" s="61" t="str">
        <f>IF('Registrar recibidas_gastos'!AB42="","",'Registrar recibidas_gastos'!AB42)</f>
        <v/>
      </c>
      <c r="AC42" s="68" t="str">
        <f>IF(OR(T42="03",T42="05"),0,IF('Registrar recibidas_gastos'!AC42="","",ROUND(AA42*AB42/100,2)))</f>
        <v/>
      </c>
      <c r="AD42" s="68" t="str">
        <f>IF('Registrar recibidas_gastos'!AD42="","",ROUND('Registrar recibidas_gastos'!AD42,2))</f>
        <v/>
      </c>
      <c r="AE42" s="61" t="str">
        <f>IF('Registrar recibidas_gastos'!AE42="","",'Registrar recibidas_gastos'!AE42)</f>
        <v/>
      </c>
      <c r="AF42" s="68" t="str">
        <f>IF('Registrar recibidas_gastos'!AF42="","",ROUND(AA42*AE42/100,2))</f>
        <v/>
      </c>
      <c r="AG42" s="67" t="str">
        <f>IF('Registrar recibidas_gastos'!AG42="","",'Registrar recibidas_gastos'!AG42)</f>
        <v/>
      </c>
      <c r="AH42" s="68" t="str">
        <f>IF('Registrar recibidas_gastos'!AH42="","",'Registrar recibidas_gastos'!AH42)</f>
        <v/>
      </c>
      <c r="AI42" s="61" t="str">
        <f>IF('Registrar recibidas_gastos'!AI42="","",VLOOKUP(CONCATENATE("MEDIO UTILIZADO",'Registrar recibidas_gastos'!AI42),'CODIGO-LITERAL'!$C:$D,2,FALSE))</f>
        <v/>
      </c>
      <c r="AJ42" s="61" t="str">
        <f>IF('Registrar recibidas_gastos'!AJ42="","",'Registrar recibidas_gastos'!AJ42)</f>
        <v/>
      </c>
      <c r="AK42" s="62"/>
      <c r="AL42" s="69"/>
      <c r="AM42" s="61" t="str">
        <f>IF('Registrar recibidas_gastos'!AM42="","",'Registrar recibidas_gastos'!AM42)</f>
        <v/>
      </c>
      <c r="AN42" s="61" t="str">
        <f>IF('Registrar recibidas_gastos'!AN42="","",VLOOKUP(CONCATENATE("SITUACION",'Registrar recibidas_gastos'!AN42),'CODIGO-LITERAL'!$C:$D,2,FALSE))</f>
        <v/>
      </c>
      <c r="AO42" s="61" t="str">
        <f>IF('Registrar recibidas_gastos'!AO42="","",'Registrar recibidas_gastos'!AO42)</f>
        <v/>
      </c>
      <c r="AP42" s="61" t="str">
        <f>IF('Registrar recibidas_gastos'!AP42="","",'Registrar recibidas_gastos'!AP42)</f>
        <v/>
      </c>
    </row>
    <row r="43" spans="1:42" x14ac:dyDescent="0.25">
      <c r="A43" s="66" t="str">
        <f>IF('Registrar recibidas_gastos'!A43="","",'Registrar recibidas_gastos'!A43)</f>
        <v/>
      </c>
      <c r="B43" s="61" t="str">
        <f>IF('Registrar recibidas_gastos'!B43="","",'Registrar recibidas_gastos'!B43)</f>
        <v/>
      </c>
      <c r="C43" s="61" t="str">
        <f>IF('Registrar recibidas_gastos'!C43="","",VLOOKUP(CONCATENATE("ACTIVIDAD",'Registrar recibidas_gastos'!C43),'CODIGO-LITERAL'!$C:$D,2,FALSE))</f>
        <v/>
      </c>
      <c r="D43" s="60" t="str">
        <f>IF(OR(C43="C",C43="D"),"",IF(ISERROR(VLOOKUP(CONCATENATE(C43,'Registrar recibidas_gastos'!D43),'CODIGO-LITERAL'!$C:$D,2,FALSE)),"",VLOOKUP(CONCATENATE(C43,'Registrar recibidas_gastos'!D43),'CODIGO-LITERAL'!$C:$D,2,FALSE)))</f>
        <v/>
      </c>
      <c r="E43" s="61" t="str">
        <f>IF('Registrar recibidas_gastos'!E43="","",'Registrar recibidas_gastos'!E43)</f>
        <v/>
      </c>
      <c r="F43" s="61" t="str">
        <f>IF('Registrar recibidas_gastos'!F43="","",VLOOKUP(CONCATENATE("TIPO FACTURA GASTO",'Registrar recibidas_gastos'!F43),'CODIGO-LITERAL'!$C:$D,2,FALSE))</f>
        <v/>
      </c>
      <c r="G43" s="62"/>
      <c r="H43" s="62"/>
      <c r="I43" s="67" t="str">
        <f>IF('Registrar recibidas_gastos'!I43="","",'Registrar recibidas_gastos'!I43)</f>
        <v/>
      </c>
      <c r="J43" s="67" t="str">
        <f>IF('Registrar recibidas_gastos'!J43="","",'Registrar recibidas_gastos'!J43)</f>
        <v/>
      </c>
      <c r="K43" s="61" t="str">
        <f>IF('Registrar recibidas_gastos'!K43="","",'Registrar recibidas_gastos'!K43)</f>
        <v/>
      </c>
      <c r="L43" s="61" t="str">
        <f>IF('Registrar recibidas_gastos'!L43="","",'Registrar recibidas_gastos'!L43)</f>
        <v/>
      </c>
      <c r="M43" s="67" t="str">
        <f>IF('Registrar recibidas_gastos'!M43="","",'Registrar recibidas_gastos'!M43)</f>
        <v/>
      </c>
      <c r="N43" s="61" t="str">
        <f>IF('Registrar recibidas_gastos'!N43="","",'Registrar recibidas_gastos'!N43)</f>
        <v/>
      </c>
      <c r="O43" s="61" t="str">
        <f>IF('Registrar recibidas_gastos'!O43="","",'Registrar recibidas_gastos'!O43)</f>
        <v/>
      </c>
      <c r="P43" s="61" t="str">
        <f>IF(OR(LEFT('Registrar recibidas_gastos'!P43,2)="01",'Registrar recibidas_gastos'!P43=""),"",VLOOKUP(CONCATENATE("TIPO NIF",'Registrar recibidas_gastos'!P43),'CODIGO-LITERAL'!$C:$D,2,FALSE))</f>
        <v/>
      </c>
      <c r="Q43" s="61" t="str">
        <f>IF('Registrar recibidas_gastos'!Q43="","",'Registrar recibidas_gastos'!Q43)</f>
        <v/>
      </c>
      <c r="R43" s="61" t="str">
        <f>IF('Registrar recibidas_gastos'!R43="","",'Registrar recibidas_gastos'!R43)</f>
        <v/>
      </c>
      <c r="S43" s="61" t="str">
        <f>IF('Registrar recibidas_gastos'!S43="","",'Registrar recibidas_gastos'!S43)</f>
        <v/>
      </c>
      <c r="T43" s="61" t="str">
        <f>IF('Registrar recibidas_gastos'!T43="","",VLOOKUP(CONCATENATE("CLAVE OPERACION GASTO",'Registrar recibidas_gastos'!T43),'CODIGO-LITERAL'!$C:$D,2,FALSE))</f>
        <v/>
      </c>
      <c r="U43" s="61" t="str">
        <f>IF(T43="","",IF(OR(T43="02",T43="08"),"N",IF('Registrar recibidas_gastos'!U43="","N",'Registrar recibidas_gastos'!U43)))</f>
        <v/>
      </c>
      <c r="V43" s="61" t="str">
        <f>IF(T43="","",IF(OR(T43="07",T43="08",T43="09",F43="F5",F43="LC"),"N",IF('Registrar recibidas_gastos'!V43="","N",'Registrar recibidas_gastos'!V43)))</f>
        <v/>
      </c>
      <c r="W43" s="61" t="str">
        <f>IF(AND(X43="",Y43=""),"",IF(AND(RECIBIDAS_GASTOS!$X43&lt;&gt;"",RECIBIDAS_GASTOS!$Y43&lt;&gt;""),"S",IF('Registrar recibidas_gastos'!W43="","N",'Registrar recibidas_gastos'!W43)))</f>
        <v/>
      </c>
      <c r="X43" s="67" t="str">
        <f>IF('Registrar recibidas_gastos'!X43="","",'Registrar recibidas_gastos'!X43)</f>
        <v/>
      </c>
      <c r="Y43" s="61" t="str">
        <f>IF('Registrar recibidas_gastos'!Y43="","",'Registrar recibidas_gastos'!Y43)</f>
        <v/>
      </c>
      <c r="Z43" s="68" t="str">
        <f>IF('Registrar recibidas_gastos'!Z43="","",IF(AND(F43="",T43=""),"",IF(OR(T43="03",T43="05",T43="09"),AA43,SUM(AA43,AC43,AF43))))</f>
        <v/>
      </c>
      <c r="AA43" s="68" t="str">
        <f>IF('Registrar recibidas_gastos'!AA43="","",ROUND('Registrar recibidas_gastos'!AA43,2))</f>
        <v/>
      </c>
      <c r="AB43" s="61" t="str">
        <f>IF('Registrar recibidas_gastos'!AB43="","",'Registrar recibidas_gastos'!AB43)</f>
        <v/>
      </c>
      <c r="AC43" s="68" t="str">
        <f>IF(OR(T43="03",T43="05"),0,IF('Registrar recibidas_gastos'!AC43="","",ROUND(AA43*AB43/100,2)))</f>
        <v/>
      </c>
      <c r="AD43" s="68" t="str">
        <f>IF('Registrar recibidas_gastos'!AD43="","",ROUND('Registrar recibidas_gastos'!AD43,2))</f>
        <v/>
      </c>
      <c r="AE43" s="61" t="str">
        <f>IF('Registrar recibidas_gastos'!AE43="","",'Registrar recibidas_gastos'!AE43)</f>
        <v/>
      </c>
      <c r="AF43" s="68" t="str">
        <f>IF('Registrar recibidas_gastos'!AF43="","",ROUND(AA43*AE43/100,2))</f>
        <v/>
      </c>
      <c r="AG43" s="67" t="str">
        <f>IF('Registrar recibidas_gastos'!AG43="","",'Registrar recibidas_gastos'!AG43)</f>
        <v/>
      </c>
      <c r="AH43" s="68" t="str">
        <f>IF('Registrar recibidas_gastos'!AH43="","",'Registrar recibidas_gastos'!AH43)</f>
        <v/>
      </c>
      <c r="AI43" s="61" t="str">
        <f>IF('Registrar recibidas_gastos'!AI43="","",VLOOKUP(CONCATENATE("MEDIO UTILIZADO",'Registrar recibidas_gastos'!AI43),'CODIGO-LITERAL'!$C:$D,2,FALSE))</f>
        <v/>
      </c>
      <c r="AJ43" s="61" t="str">
        <f>IF('Registrar recibidas_gastos'!AJ43="","",'Registrar recibidas_gastos'!AJ43)</f>
        <v/>
      </c>
      <c r="AK43" s="62"/>
      <c r="AL43" s="69"/>
      <c r="AM43" s="61" t="str">
        <f>IF('Registrar recibidas_gastos'!AM43="","",'Registrar recibidas_gastos'!AM43)</f>
        <v/>
      </c>
      <c r="AN43" s="61" t="str">
        <f>IF('Registrar recibidas_gastos'!AN43="","",VLOOKUP(CONCATENATE("SITUACION",'Registrar recibidas_gastos'!AN43),'CODIGO-LITERAL'!$C:$D,2,FALSE))</f>
        <v/>
      </c>
      <c r="AO43" s="61" t="str">
        <f>IF('Registrar recibidas_gastos'!AO43="","",'Registrar recibidas_gastos'!AO43)</f>
        <v/>
      </c>
      <c r="AP43" s="61" t="str">
        <f>IF('Registrar recibidas_gastos'!AP43="","",'Registrar recibidas_gastos'!AP43)</f>
        <v/>
      </c>
    </row>
    <row r="44" spans="1:42" x14ac:dyDescent="0.25">
      <c r="A44" s="66" t="str">
        <f>IF('Registrar recibidas_gastos'!A44="","",'Registrar recibidas_gastos'!A44)</f>
        <v/>
      </c>
      <c r="B44" s="61" t="str">
        <f>IF('Registrar recibidas_gastos'!B44="","",'Registrar recibidas_gastos'!B44)</f>
        <v/>
      </c>
      <c r="C44" s="61" t="str">
        <f>IF('Registrar recibidas_gastos'!C44="","",VLOOKUP(CONCATENATE("ACTIVIDAD",'Registrar recibidas_gastos'!C44),'CODIGO-LITERAL'!$C:$D,2,FALSE))</f>
        <v/>
      </c>
      <c r="D44" s="60" t="str">
        <f>IF(OR(C44="C",C44="D"),"",IF(ISERROR(VLOOKUP(CONCATENATE(C44,'Registrar recibidas_gastos'!D44),'CODIGO-LITERAL'!$C:$D,2,FALSE)),"",VLOOKUP(CONCATENATE(C44,'Registrar recibidas_gastos'!D44),'CODIGO-LITERAL'!$C:$D,2,FALSE)))</f>
        <v/>
      </c>
      <c r="E44" s="61" t="str">
        <f>IF('Registrar recibidas_gastos'!E44="","",'Registrar recibidas_gastos'!E44)</f>
        <v/>
      </c>
      <c r="F44" s="61" t="str">
        <f>IF('Registrar recibidas_gastos'!F44="","",VLOOKUP(CONCATENATE("TIPO FACTURA GASTO",'Registrar recibidas_gastos'!F44),'CODIGO-LITERAL'!$C:$D,2,FALSE))</f>
        <v/>
      </c>
      <c r="G44" s="62"/>
      <c r="H44" s="62"/>
      <c r="I44" s="67" t="str">
        <f>IF('Registrar recibidas_gastos'!I44="","",'Registrar recibidas_gastos'!I44)</f>
        <v/>
      </c>
      <c r="J44" s="67" t="str">
        <f>IF('Registrar recibidas_gastos'!J44="","",'Registrar recibidas_gastos'!J44)</f>
        <v/>
      </c>
      <c r="K44" s="61" t="str">
        <f>IF('Registrar recibidas_gastos'!K44="","",'Registrar recibidas_gastos'!K44)</f>
        <v/>
      </c>
      <c r="L44" s="61" t="str">
        <f>IF('Registrar recibidas_gastos'!L44="","",'Registrar recibidas_gastos'!L44)</f>
        <v/>
      </c>
      <c r="M44" s="67" t="str">
        <f>IF('Registrar recibidas_gastos'!M44="","",'Registrar recibidas_gastos'!M44)</f>
        <v/>
      </c>
      <c r="N44" s="61" t="str">
        <f>IF('Registrar recibidas_gastos'!N44="","",'Registrar recibidas_gastos'!N44)</f>
        <v/>
      </c>
      <c r="O44" s="61" t="str">
        <f>IF('Registrar recibidas_gastos'!O44="","",'Registrar recibidas_gastos'!O44)</f>
        <v/>
      </c>
      <c r="P44" s="61" t="str">
        <f>IF(OR(LEFT('Registrar recibidas_gastos'!P44,2)="01",'Registrar recibidas_gastos'!P44=""),"",VLOOKUP(CONCATENATE("TIPO NIF",'Registrar recibidas_gastos'!P44),'CODIGO-LITERAL'!$C:$D,2,FALSE))</f>
        <v/>
      </c>
      <c r="Q44" s="61" t="str">
        <f>IF('Registrar recibidas_gastos'!Q44="","",'Registrar recibidas_gastos'!Q44)</f>
        <v/>
      </c>
      <c r="R44" s="61" t="str">
        <f>IF('Registrar recibidas_gastos'!R44="","",'Registrar recibidas_gastos'!R44)</f>
        <v/>
      </c>
      <c r="S44" s="61" t="str">
        <f>IF('Registrar recibidas_gastos'!S44="","",'Registrar recibidas_gastos'!S44)</f>
        <v/>
      </c>
      <c r="T44" s="61" t="str">
        <f>IF('Registrar recibidas_gastos'!T44="","",VLOOKUP(CONCATENATE("CLAVE OPERACION GASTO",'Registrar recibidas_gastos'!T44),'CODIGO-LITERAL'!$C:$D,2,FALSE))</f>
        <v/>
      </c>
      <c r="U44" s="61" t="str">
        <f>IF(T44="","",IF(OR(T44="02",T44="08"),"N",IF('Registrar recibidas_gastos'!U44="","N",'Registrar recibidas_gastos'!U44)))</f>
        <v/>
      </c>
      <c r="V44" s="61" t="str">
        <f>IF(T44="","",IF(OR(T44="07",T44="08",T44="09",F44="F5",F44="LC"),"N",IF('Registrar recibidas_gastos'!V44="","N",'Registrar recibidas_gastos'!V44)))</f>
        <v/>
      </c>
      <c r="W44" s="61" t="str">
        <f>IF(AND(X44="",Y44=""),"",IF(AND(RECIBIDAS_GASTOS!$X44&lt;&gt;"",RECIBIDAS_GASTOS!$Y44&lt;&gt;""),"S",IF('Registrar recibidas_gastos'!W44="","N",'Registrar recibidas_gastos'!W44)))</f>
        <v/>
      </c>
      <c r="X44" s="67" t="str">
        <f>IF('Registrar recibidas_gastos'!X44="","",'Registrar recibidas_gastos'!X44)</f>
        <v/>
      </c>
      <c r="Y44" s="61" t="str">
        <f>IF('Registrar recibidas_gastos'!Y44="","",'Registrar recibidas_gastos'!Y44)</f>
        <v/>
      </c>
      <c r="Z44" s="68" t="str">
        <f>IF('Registrar recibidas_gastos'!Z44="","",IF(AND(F44="",T44=""),"",IF(OR(T44="03",T44="05",T44="09"),AA44,SUM(AA44,AC44,AF44))))</f>
        <v/>
      </c>
      <c r="AA44" s="68" t="str">
        <f>IF('Registrar recibidas_gastos'!AA44="","",ROUND('Registrar recibidas_gastos'!AA44,2))</f>
        <v/>
      </c>
      <c r="AB44" s="61" t="str">
        <f>IF('Registrar recibidas_gastos'!AB44="","",'Registrar recibidas_gastos'!AB44)</f>
        <v/>
      </c>
      <c r="AC44" s="68" t="str">
        <f>IF(OR(T44="03",T44="05"),0,IF('Registrar recibidas_gastos'!AC44="","",ROUND(AA44*AB44/100,2)))</f>
        <v/>
      </c>
      <c r="AD44" s="68" t="str">
        <f>IF('Registrar recibidas_gastos'!AD44="","",ROUND('Registrar recibidas_gastos'!AD44,2))</f>
        <v/>
      </c>
      <c r="AE44" s="61" t="str">
        <f>IF('Registrar recibidas_gastos'!AE44="","",'Registrar recibidas_gastos'!AE44)</f>
        <v/>
      </c>
      <c r="AF44" s="68" t="str">
        <f>IF('Registrar recibidas_gastos'!AF44="","",ROUND(AA44*AE44/100,2))</f>
        <v/>
      </c>
      <c r="AG44" s="67" t="str">
        <f>IF('Registrar recibidas_gastos'!AG44="","",'Registrar recibidas_gastos'!AG44)</f>
        <v/>
      </c>
      <c r="AH44" s="68" t="str">
        <f>IF('Registrar recibidas_gastos'!AH44="","",'Registrar recibidas_gastos'!AH44)</f>
        <v/>
      </c>
      <c r="AI44" s="61" t="str">
        <f>IF('Registrar recibidas_gastos'!AI44="","",VLOOKUP(CONCATENATE("MEDIO UTILIZADO",'Registrar recibidas_gastos'!AI44),'CODIGO-LITERAL'!$C:$D,2,FALSE))</f>
        <v/>
      </c>
      <c r="AJ44" s="61" t="str">
        <f>IF('Registrar recibidas_gastos'!AJ44="","",'Registrar recibidas_gastos'!AJ44)</f>
        <v/>
      </c>
      <c r="AK44" s="62"/>
      <c r="AL44" s="69"/>
      <c r="AM44" s="61" t="str">
        <f>IF('Registrar recibidas_gastos'!AM44="","",'Registrar recibidas_gastos'!AM44)</f>
        <v/>
      </c>
      <c r="AN44" s="61" t="str">
        <f>IF('Registrar recibidas_gastos'!AN44="","",VLOOKUP(CONCATENATE("SITUACION",'Registrar recibidas_gastos'!AN44),'CODIGO-LITERAL'!$C:$D,2,FALSE))</f>
        <v/>
      </c>
      <c r="AO44" s="61" t="str">
        <f>IF('Registrar recibidas_gastos'!AO44="","",'Registrar recibidas_gastos'!AO44)</f>
        <v/>
      </c>
      <c r="AP44" s="61" t="str">
        <f>IF('Registrar recibidas_gastos'!AP44="","",'Registrar recibidas_gastos'!AP44)</f>
        <v/>
      </c>
    </row>
    <row r="45" spans="1:42" x14ac:dyDescent="0.25">
      <c r="A45" s="66" t="str">
        <f>IF('Registrar recibidas_gastos'!A45="","",'Registrar recibidas_gastos'!A45)</f>
        <v/>
      </c>
      <c r="B45" s="61" t="str">
        <f>IF('Registrar recibidas_gastos'!B45="","",'Registrar recibidas_gastos'!B45)</f>
        <v/>
      </c>
      <c r="C45" s="61" t="str">
        <f>IF('Registrar recibidas_gastos'!C45="","",VLOOKUP(CONCATENATE("ACTIVIDAD",'Registrar recibidas_gastos'!C45),'CODIGO-LITERAL'!$C:$D,2,FALSE))</f>
        <v/>
      </c>
      <c r="D45" s="60" t="str">
        <f>IF(OR(C45="C",C45="D"),"",IF(ISERROR(VLOOKUP(CONCATENATE(C45,'Registrar recibidas_gastos'!D45),'CODIGO-LITERAL'!$C:$D,2,FALSE)),"",VLOOKUP(CONCATENATE(C45,'Registrar recibidas_gastos'!D45),'CODIGO-LITERAL'!$C:$D,2,FALSE)))</f>
        <v/>
      </c>
      <c r="E45" s="61" t="str">
        <f>IF('Registrar recibidas_gastos'!E45="","",'Registrar recibidas_gastos'!E45)</f>
        <v/>
      </c>
      <c r="F45" s="61" t="str">
        <f>IF('Registrar recibidas_gastos'!F45="","",VLOOKUP(CONCATENATE("TIPO FACTURA GASTO",'Registrar recibidas_gastos'!F45),'CODIGO-LITERAL'!$C:$D,2,FALSE))</f>
        <v/>
      </c>
      <c r="G45" s="62"/>
      <c r="H45" s="62"/>
      <c r="I45" s="67" t="str">
        <f>IF('Registrar recibidas_gastos'!I45="","",'Registrar recibidas_gastos'!I45)</f>
        <v/>
      </c>
      <c r="J45" s="67" t="str">
        <f>IF('Registrar recibidas_gastos'!J45="","",'Registrar recibidas_gastos'!J45)</f>
        <v/>
      </c>
      <c r="K45" s="61" t="str">
        <f>IF('Registrar recibidas_gastos'!K45="","",'Registrar recibidas_gastos'!K45)</f>
        <v/>
      </c>
      <c r="L45" s="61" t="str">
        <f>IF('Registrar recibidas_gastos'!L45="","",'Registrar recibidas_gastos'!L45)</f>
        <v/>
      </c>
      <c r="M45" s="67" t="str">
        <f>IF('Registrar recibidas_gastos'!M45="","",'Registrar recibidas_gastos'!M45)</f>
        <v/>
      </c>
      <c r="N45" s="61" t="str">
        <f>IF('Registrar recibidas_gastos'!N45="","",'Registrar recibidas_gastos'!N45)</f>
        <v/>
      </c>
      <c r="O45" s="61" t="str">
        <f>IF('Registrar recibidas_gastos'!O45="","",'Registrar recibidas_gastos'!O45)</f>
        <v/>
      </c>
      <c r="P45" s="61" t="str">
        <f>IF(OR(LEFT('Registrar recibidas_gastos'!P45,2)="01",'Registrar recibidas_gastos'!P45=""),"",VLOOKUP(CONCATENATE("TIPO NIF",'Registrar recibidas_gastos'!P45),'CODIGO-LITERAL'!$C:$D,2,FALSE))</f>
        <v/>
      </c>
      <c r="Q45" s="61" t="str">
        <f>IF('Registrar recibidas_gastos'!Q45="","",'Registrar recibidas_gastos'!Q45)</f>
        <v/>
      </c>
      <c r="R45" s="61" t="str">
        <f>IF('Registrar recibidas_gastos'!R45="","",'Registrar recibidas_gastos'!R45)</f>
        <v/>
      </c>
      <c r="S45" s="61" t="str">
        <f>IF('Registrar recibidas_gastos'!S45="","",'Registrar recibidas_gastos'!S45)</f>
        <v/>
      </c>
      <c r="T45" s="61" t="str">
        <f>IF('Registrar recibidas_gastos'!T45="","",VLOOKUP(CONCATENATE("CLAVE OPERACION GASTO",'Registrar recibidas_gastos'!T45),'CODIGO-LITERAL'!$C:$D,2,FALSE))</f>
        <v/>
      </c>
      <c r="U45" s="61" t="str">
        <f>IF(T45="","",IF(OR(T45="02",T45="08"),"N",IF('Registrar recibidas_gastos'!U45="","N",'Registrar recibidas_gastos'!U45)))</f>
        <v/>
      </c>
      <c r="V45" s="61" t="str">
        <f>IF(T45="","",IF(OR(T45="07",T45="08",T45="09",F45="F5",F45="LC"),"N",IF('Registrar recibidas_gastos'!V45="","N",'Registrar recibidas_gastos'!V45)))</f>
        <v/>
      </c>
      <c r="W45" s="61" t="str">
        <f>IF(AND(X45="",Y45=""),"",IF(AND(RECIBIDAS_GASTOS!$X45&lt;&gt;"",RECIBIDAS_GASTOS!$Y45&lt;&gt;""),"S",IF('Registrar recibidas_gastos'!W45="","N",'Registrar recibidas_gastos'!W45)))</f>
        <v/>
      </c>
      <c r="X45" s="67" t="str">
        <f>IF('Registrar recibidas_gastos'!X45="","",'Registrar recibidas_gastos'!X45)</f>
        <v/>
      </c>
      <c r="Y45" s="61" t="str">
        <f>IF('Registrar recibidas_gastos'!Y45="","",'Registrar recibidas_gastos'!Y45)</f>
        <v/>
      </c>
      <c r="Z45" s="68" t="str">
        <f>IF('Registrar recibidas_gastos'!Z45="","",IF(AND(F45="",T45=""),"",IF(OR(T45="03",T45="05",T45="09"),AA45,SUM(AA45,AC45,AF45))))</f>
        <v/>
      </c>
      <c r="AA45" s="68" t="str">
        <f>IF('Registrar recibidas_gastos'!AA45="","",ROUND('Registrar recibidas_gastos'!AA45,2))</f>
        <v/>
      </c>
      <c r="AB45" s="61" t="str">
        <f>IF('Registrar recibidas_gastos'!AB45="","",'Registrar recibidas_gastos'!AB45)</f>
        <v/>
      </c>
      <c r="AC45" s="68" t="str">
        <f>IF(OR(T45="03",T45="05"),0,IF('Registrar recibidas_gastos'!AC45="","",ROUND(AA45*AB45/100,2)))</f>
        <v/>
      </c>
      <c r="AD45" s="68" t="str">
        <f>IF('Registrar recibidas_gastos'!AD45="","",ROUND('Registrar recibidas_gastos'!AD45,2))</f>
        <v/>
      </c>
      <c r="AE45" s="61" t="str">
        <f>IF('Registrar recibidas_gastos'!AE45="","",'Registrar recibidas_gastos'!AE45)</f>
        <v/>
      </c>
      <c r="AF45" s="68" t="str">
        <f>IF('Registrar recibidas_gastos'!AF45="","",ROUND(AA45*AE45/100,2))</f>
        <v/>
      </c>
      <c r="AG45" s="67" t="str">
        <f>IF('Registrar recibidas_gastos'!AG45="","",'Registrar recibidas_gastos'!AG45)</f>
        <v/>
      </c>
      <c r="AH45" s="68" t="str">
        <f>IF('Registrar recibidas_gastos'!AH45="","",'Registrar recibidas_gastos'!AH45)</f>
        <v/>
      </c>
      <c r="AI45" s="61" t="str">
        <f>IF('Registrar recibidas_gastos'!AI45="","",VLOOKUP(CONCATENATE("MEDIO UTILIZADO",'Registrar recibidas_gastos'!AI45),'CODIGO-LITERAL'!$C:$D,2,FALSE))</f>
        <v/>
      </c>
      <c r="AJ45" s="61" t="str">
        <f>IF('Registrar recibidas_gastos'!AJ45="","",'Registrar recibidas_gastos'!AJ45)</f>
        <v/>
      </c>
      <c r="AK45" s="62"/>
      <c r="AL45" s="69"/>
      <c r="AM45" s="61" t="str">
        <f>IF('Registrar recibidas_gastos'!AM45="","",'Registrar recibidas_gastos'!AM45)</f>
        <v/>
      </c>
      <c r="AN45" s="61" t="str">
        <f>IF('Registrar recibidas_gastos'!AN45="","",VLOOKUP(CONCATENATE("SITUACION",'Registrar recibidas_gastos'!AN45),'CODIGO-LITERAL'!$C:$D,2,FALSE))</f>
        <v/>
      </c>
      <c r="AO45" s="61" t="str">
        <f>IF('Registrar recibidas_gastos'!AO45="","",'Registrar recibidas_gastos'!AO45)</f>
        <v/>
      </c>
      <c r="AP45" s="61" t="str">
        <f>IF('Registrar recibidas_gastos'!AP45="","",'Registrar recibidas_gastos'!AP45)</f>
        <v/>
      </c>
    </row>
    <row r="46" spans="1:42" x14ac:dyDescent="0.25">
      <c r="A46" s="66" t="str">
        <f>IF('Registrar recibidas_gastos'!A46="","",'Registrar recibidas_gastos'!A46)</f>
        <v/>
      </c>
      <c r="B46" s="61" t="str">
        <f>IF('Registrar recibidas_gastos'!B46="","",'Registrar recibidas_gastos'!B46)</f>
        <v/>
      </c>
      <c r="C46" s="61" t="str">
        <f>IF('Registrar recibidas_gastos'!C46="","",VLOOKUP(CONCATENATE("ACTIVIDAD",'Registrar recibidas_gastos'!C46),'CODIGO-LITERAL'!$C:$D,2,FALSE))</f>
        <v/>
      </c>
      <c r="D46" s="60" t="str">
        <f>IF(OR(C46="C",C46="D"),"",IF(ISERROR(VLOOKUP(CONCATENATE(C46,'Registrar recibidas_gastos'!D46),'CODIGO-LITERAL'!$C:$D,2,FALSE)),"",VLOOKUP(CONCATENATE(C46,'Registrar recibidas_gastos'!D46),'CODIGO-LITERAL'!$C:$D,2,FALSE)))</f>
        <v/>
      </c>
      <c r="E46" s="61" t="str">
        <f>IF('Registrar recibidas_gastos'!E46="","",'Registrar recibidas_gastos'!E46)</f>
        <v/>
      </c>
      <c r="F46" s="61" t="str">
        <f>IF('Registrar recibidas_gastos'!F46="","",VLOOKUP(CONCATENATE("TIPO FACTURA GASTO",'Registrar recibidas_gastos'!F46),'CODIGO-LITERAL'!$C:$D,2,FALSE))</f>
        <v/>
      </c>
      <c r="G46" s="62"/>
      <c r="H46" s="62"/>
      <c r="I46" s="67" t="str">
        <f>IF('Registrar recibidas_gastos'!I46="","",'Registrar recibidas_gastos'!I46)</f>
        <v/>
      </c>
      <c r="J46" s="67" t="str">
        <f>IF('Registrar recibidas_gastos'!J46="","",'Registrar recibidas_gastos'!J46)</f>
        <v/>
      </c>
      <c r="K46" s="61" t="str">
        <f>IF('Registrar recibidas_gastos'!K46="","",'Registrar recibidas_gastos'!K46)</f>
        <v/>
      </c>
      <c r="L46" s="61" t="str">
        <f>IF('Registrar recibidas_gastos'!L46="","",'Registrar recibidas_gastos'!L46)</f>
        <v/>
      </c>
      <c r="M46" s="67" t="str">
        <f>IF('Registrar recibidas_gastos'!M46="","",'Registrar recibidas_gastos'!M46)</f>
        <v/>
      </c>
      <c r="N46" s="61" t="str">
        <f>IF('Registrar recibidas_gastos'!N46="","",'Registrar recibidas_gastos'!N46)</f>
        <v/>
      </c>
      <c r="O46" s="61" t="str">
        <f>IF('Registrar recibidas_gastos'!O46="","",'Registrar recibidas_gastos'!O46)</f>
        <v/>
      </c>
      <c r="P46" s="61" t="str">
        <f>IF(OR(LEFT('Registrar recibidas_gastos'!P46,2)="01",'Registrar recibidas_gastos'!P46=""),"",VLOOKUP(CONCATENATE("TIPO NIF",'Registrar recibidas_gastos'!P46),'CODIGO-LITERAL'!$C:$D,2,FALSE))</f>
        <v/>
      </c>
      <c r="Q46" s="61" t="str">
        <f>IF('Registrar recibidas_gastos'!Q46="","",'Registrar recibidas_gastos'!Q46)</f>
        <v/>
      </c>
      <c r="R46" s="61" t="str">
        <f>IF('Registrar recibidas_gastos'!R46="","",'Registrar recibidas_gastos'!R46)</f>
        <v/>
      </c>
      <c r="S46" s="61" t="str">
        <f>IF('Registrar recibidas_gastos'!S46="","",'Registrar recibidas_gastos'!S46)</f>
        <v/>
      </c>
      <c r="T46" s="61" t="str">
        <f>IF('Registrar recibidas_gastos'!T46="","",VLOOKUP(CONCATENATE("CLAVE OPERACION GASTO",'Registrar recibidas_gastos'!T46),'CODIGO-LITERAL'!$C:$D,2,FALSE))</f>
        <v/>
      </c>
      <c r="U46" s="61" t="str">
        <f>IF(T46="","",IF(OR(T46="02",T46="08"),"N",IF('Registrar recibidas_gastos'!U46="","N",'Registrar recibidas_gastos'!U46)))</f>
        <v/>
      </c>
      <c r="V46" s="61" t="str">
        <f>IF(T46="","",IF(OR(T46="07",T46="08",T46="09",F46="F5",F46="LC"),"N",IF('Registrar recibidas_gastos'!V46="","N",'Registrar recibidas_gastos'!V46)))</f>
        <v/>
      </c>
      <c r="W46" s="61" t="str">
        <f>IF(AND(X46="",Y46=""),"",IF(AND(RECIBIDAS_GASTOS!$X46&lt;&gt;"",RECIBIDAS_GASTOS!$Y46&lt;&gt;""),"S",IF('Registrar recibidas_gastos'!W46="","N",'Registrar recibidas_gastos'!W46)))</f>
        <v/>
      </c>
      <c r="X46" s="67" t="str">
        <f>IF('Registrar recibidas_gastos'!X46="","",'Registrar recibidas_gastos'!X46)</f>
        <v/>
      </c>
      <c r="Y46" s="61" t="str">
        <f>IF('Registrar recibidas_gastos'!Y46="","",'Registrar recibidas_gastos'!Y46)</f>
        <v/>
      </c>
      <c r="Z46" s="68" t="str">
        <f>IF('Registrar recibidas_gastos'!Z46="","",IF(AND(F46="",T46=""),"",IF(OR(T46="03",T46="05",T46="09"),AA46,SUM(AA46,AC46,AF46))))</f>
        <v/>
      </c>
      <c r="AA46" s="68" t="str">
        <f>IF('Registrar recibidas_gastos'!AA46="","",ROUND('Registrar recibidas_gastos'!AA46,2))</f>
        <v/>
      </c>
      <c r="AB46" s="61" t="str">
        <f>IF('Registrar recibidas_gastos'!AB46="","",'Registrar recibidas_gastos'!AB46)</f>
        <v/>
      </c>
      <c r="AC46" s="68" t="str">
        <f>IF(OR(T46="03",T46="05"),0,IF('Registrar recibidas_gastos'!AC46="","",ROUND(AA46*AB46/100,2)))</f>
        <v/>
      </c>
      <c r="AD46" s="68" t="str">
        <f>IF('Registrar recibidas_gastos'!AD46="","",ROUND('Registrar recibidas_gastos'!AD46,2))</f>
        <v/>
      </c>
      <c r="AE46" s="61" t="str">
        <f>IF('Registrar recibidas_gastos'!AE46="","",'Registrar recibidas_gastos'!AE46)</f>
        <v/>
      </c>
      <c r="AF46" s="68" t="str">
        <f>IF('Registrar recibidas_gastos'!AF46="","",ROUND(AA46*AE46/100,2))</f>
        <v/>
      </c>
      <c r="AG46" s="67" t="str">
        <f>IF('Registrar recibidas_gastos'!AG46="","",'Registrar recibidas_gastos'!AG46)</f>
        <v/>
      </c>
      <c r="AH46" s="68" t="str">
        <f>IF('Registrar recibidas_gastos'!AH46="","",'Registrar recibidas_gastos'!AH46)</f>
        <v/>
      </c>
      <c r="AI46" s="61" t="str">
        <f>IF('Registrar recibidas_gastos'!AI46="","",VLOOKUP(CONCATENATE("MEDIO UTILIZADO",'Registrar recibidas_gastos'!AI46),'CODIGO-LITERAL'!$C:$D,2,FALSE))</f>
        <v/>
      </c>
      <c r="AJ46" s="61" t="str">
        <f>IF('Registrar recibidas_gastos'!AJ46="","",'Registrar recibidas_gastos'!AJ46)</f>
        <v/>
      </c>
      <c r="AK46" s="62"/>
      <c r="AL46" s="69"/>
      <c r="AM46" s="61" t="str">
        <f>IF('Registrar recibidas_gastos'!AM46="","",'Registrar recibidas_gastos'!AM46)</f>
        <v/>
      </c>
      <c r="AN46" s="61" t="str">
        <f>IF('Registrar recibidas_gastos'!AN46="","",VLOOKUP(CONCATENATE("SITUACION",'Registrar recibidas_gastos'!AN46),'CODIGO-LITERAL'!$C:$D,2,FALSE))</f>
        <v/>
      </c>
      <c r="AO46" s="61" t="str">
        <f>IF('Registrar recibidas_gastos'!AO46="","",'Registrar recibidas_gastos'!AO46)</f>
        <v/>
      </c>
      <c r="AP46" s="61" t="str">
        <f>IF('Registrar recibidas_gastos'!AP46="","",'Registrar recibidas_gastos'!AP46)</f>
        <v/>
      </c>
    </row>
    <row r="47" spans="1:42" x14ac:dyDescent="0.25">
      <c r="A47" s="66" t="str">
        <f>IF('Registrar recibidas_gastos'!A47="","",'Registrar recibidas_gastos'!A47)</f>
        <v/>
      </c>
      <c r="B47" s="61" t="str">
        <f>IF('Registrar recibidas_gastos'!B47="","",'Registrar recibidas_gastos'!B47)</f>
        <v/>
      </c>
      <c r="C47" s="61" t="str">
        <f>IF('Registrar recibidas_gastos'!C47="","",VLOOKUP(CONCATENATE("ACTIVIDAD",'Registrar recibidas_gastos'!C47),'CODIGO-LITERAL'!$C:$D,2,FALSE))</f>
        <v/>
      </c>
      <c r="D47" s="60" t="str">
        <f>IF(OR(C47="C",C47="D"),"",IF(ISERROR(VLOOKUP(CONCATENATE(C47,'Registrar recibidas_gastos'!D47),'CODIGO-LITERAL'!$C:$D,2,FALSE)),"",VLOOKUP(CONCATENATE(C47,'Registrar recibidas_gastos'!D47),'CODIGO-LITERAL'!$C:$D,2,FALSE)))</f>
        <v/>
      </c>
      <c r="E47" s="61" t="str">
        <f>IF('Registrar recibidas_gastos'!E47="","",'Registrar recibidas_gastos'!E47)</f>
        <v/>
      </c>
      <c r="F47" s="61" t="str">
        <f>IF('Registrar recibidas_gastos'!F47="","",VLOOKUP(CONCATENATE("TIPO FACTURA GASTO",'Registrar recibidas_gastos'!F47),'CODIGO-LITERAL'!$C:$D,2,FALSE))</f>
        <v/>
      </c>
      <c r="G47" s="62"/>
      <c r="H47" s="62"/>
      <c r="I47" s="67" t="str">
        <f>IF('Registrar recibidas_gastos'!I47="","",'Registrar recibidas_gastos'!I47)</f>
        <v/>
      </c>
      <c r="J47" s="67" t="str">
        <f>IF('Registrar recibidas_gastos'!J47="","",'Registrar recibidas_gastos'!J47)</f>
        <v/>
      </c>
      <c r="K47" s="61" t="str">
        <f>IF('Registrar recibidas_gastos'!K47="","",'Registrar recibidas_gastos'!K47)</f>
        <v/>
      </c>
      <c r="L47" s="61" t="str">
        <f>IF('Registrar recibidas_gastos'!L47="","",'Registrar recibidas_gastos'!L47)</f>
        <v/>
      </c>
      <c r="M47" s="67" t="str">
        <f>IF('Registrar recibidas_gastos'!M47="","",'Registrar recibidas_gastos'!M47)</f>
        <v/>
      </c>
      <c r="N47" s="61" t="str">
        <f>IF('Registrar recibidas_gastos'!N47="","",'Registrar recibidas_gastos'!N47)</f>
        <v/>
      </c>
      <c r="O47" s="61" t="str">
        <f>IF('Registrar recibidas_gastos'!O47="","",'Registrar recibidas_gastos'!O47)</f>
        <v/>
      </c>
      <c r="P47" s="61" t="str">
        <f>IF(OR(LEFT('Registrar recibidas_gastos'!P47,2)="01",'Registrar recibidas_gastos'!P47=""),"",VLOOKUP(CONCATENATE("TIPO NIF",'Registrar recibidas_gastos'!P47),'CODIGO-LITERAL'!$C:$D,2,FALSE))</f>
        <v/>
      </c>
      <c r="Q47" s="61" t="str">
        <f>IF('Registrar recibidas_gastos'!Q47="","",'Registrar recibidas_gastos'!Q47)</f>
        <v/>
      </c>
      <c r="R47" s="61" t="str">
        <f>IF('Registrar recibidas_gastos'!R47="","",'Registrar recibidas_gastos'!R47)</f>
        <v/>
      </c>
      <c r="S47" s="61" t="str">
        <f>IF('Registrar recibidas_gastos'!S47="","",'Registrar recibidas_gastos'!S47)</f>
        <v/>
      </c>
      <c r="T47" s="61" t="str">
        <f>IF('Registrar recibidas_gastos'!T47="","",VLOOKUP(CONCATENATE("CLAVE OPERACION GASTO",'Registrar recibidas_gastos'!T47),'CODIGO-LITERAL'!$C:$D,2,FALSE))</f>
        <v/>
      </c>
      <c r="U47" s="61" t="str">
        <f>IF(T47="","",IF(OR(T47="02",T47="08"),"N",IF('Registrar recibidas_gastos'!U47="","N",'Registrar recibidas_gastos'!U47)))</f>
        <v/>
      </c>
      <c r="V47" s="61" t="str">
        <f>IF(T47="","",IF(OR(T47="07",T47="08",T47="09",F47="F5",F47="LC"),"N",IF('Registrar recibidas_gastos'!V47="","N",'Registrar recibidas_gastos'!V47)))</f>
        <v/>
      </c>
      <c r="W47" s="61" t="str">
        <f>IF(AND(X47="",Y47=""),"",IF(AND(RECIBIDAS_GASTOS!$X47&lt;&gt;"",RECIBIDAS_GASTOS!$Y47&lt;&gt;""),"S",IF('Registrar recibidas_gastos'!W47="","N",'Registrar recibidas_gastos'!W47)))</f>
        <v/>
      </c>
      <c r="X47" s="67" t="str">
        <f>IF('Registrar recibidas_gastos'!X47="","",'Registrar recibidas_gastos'!X47)</f>
        <v/>
      </c>
      <c r="Y47" s="61" t="str">
        <f>IF('Registrar recibidas_gastos'!Y47="","",'Registrar recibidas_gastos'!Y47)</f>
        <v/>
      </c>
      <c r="Z47" s="68" t="str">
        <f>IF('Registrar recibidas_gastos'!Z47="","",IF(AND(F47="",T47=""),"",IF(OR(T47="03",T47="05",T47="09"),AA47,SUM(AA47,AC47,AF47))))</f>
        <v/>
      </c>
      <c r="AA47" s="68" t="str">
        <f>IF('Registrar recibidas_gastos'!AA47="","",ROUND('Registrar recibidas_gastos'!AA47,2))</f>
        <v/>
      </c>
      <c r="AB47" s="61" t="str">
        <f>IF('Registrar recibidas_gastos'!AB47="","",'Registrar recibidas_gastos'!AB47)</f>
        <v/>
      </c>
      <c r="AC47" s="68" t="str">
        <f>IF(OR(T47="03",T47="05"),0,IF('Registrar recibidas_gastos'!AC47="","",ROUND(AA47*AB47/100,2)))</f>
        <v/>
      </c>
      <c r="AD47" s="68" t="str">
        <f>IF('Registrar recibidas_gastos'!AD47="","",ROUND('Registrar recibidas_gastos'!AD47,2))</f>
        <v/>
      </c>
      <c r="AE47" s="61" t="str">
        <f>IF('Registrar recibidas_gastos'!AE47="","",'Registrar recibidas_gastos'!AE47)</f>
        <v/>
      </c>
      <c r="AF47" s="68" t="str">
        <f>IF('Registrar recibidas_gastos'!AF47="","",ROUND(AA47*AE47/100,2))</f>
        <v/>
      </c>
      <c r="AG47" s="67" t="str">
        <f>IF('Registrar recibidas_gastos'!AG47="","",'Registrar recibidas_gastos'!AG47)</f>
        <v/>
      </c>
      <c r="AH47" s="68" t="str">
        <f>IF('Registrar recibidas_gastos'!AH47="","",'Registrar recibidas_gastos'!AH47)</f>
        <v/>
      </c>
      <c r="AI47" s="61" t="str">
        <f>IF('Registrar recibidas_gastos'!AI47="","",VLOOKUP(CONCATENATE("MEDIO UTILIZADO",'Registrar recibidas_gastos'!AI47),'CODIGO-LITERAL'!$C:$D,2,FALSE))</f>
        <v/>
      </c>
      <c r="AJ47" s="61" t="str">
        <f>IF('Registrar recibidas_gastos'!AJ47="","",'Registrar recibidas_gastos'!AJ47)</f>
        <v/>
      </c>
      <c r="AK47" s="62"/>
      <c r="AL47" s="69"/>
      <c r="AM47" s="61" t="str">
        <f>IF('Registrar recibidas_gastos'!AM47="","",'Registrar recibidas_gastos'!AM47)</f>
        <v/>
      </c>
      <c r="AN47" s="61" t="str">
        <f>IF('Registrar recibidas_gastos'!AN47="","",VLOOKUP(CONCATENATE("SITUACION",'Registrar recibidas_gastos'!AN47),'CODIGO-LITERAL'!$C:$D,2,FALSE))</f>
        <v/>
      </c>
      <c r="AO47" s="61" t="str">
        <f>IF('Registrar recibidas_gastos'!AO47="","",'Registrar recibidas_gastos'!AO47)</f>
        <v/>
      </c>
      <c r="AP47" s="61" t="str">
        <f>IF('Registrar recibidas_gastos'!AP47="","",'Registrar recibidas_gastos'!AP47)</f>
        <v/>
      </c>
    </row>
    <row r="48" spans="1:42" x14ac:dyDescent="0.25">
      <c r="A48" s="66" t="str">
        <f>IF('Registrar recibidas_gastos'!A48="","",'Registrar recibidas_gastos'!A48)</f>
        <v/>
      </c>
      <c r="B48" s="61" t="str">
        <f>IF('Registrar recibidas_gastos'!B48="","",'Registrar recibidas_gastos'!B48)</f>
        <v/>
      </c>
      <c r="C48" s="61" t="str">
        <f>IF('Registrar recibidas_gastos'!C48="","",VLOOKUP(CONCATENATE("ACTIVIDAD",'Registrar recibidas_gastos'!C48),'CODIGO-LITERAL'!$C:$D,2,FALSE))</f>
        <v/>
      </c>
      <c r="D48" s="60" t="str">
        <f>IF(OR(C48="C",C48="D"),"",IF(ISERROR(VLOOKUP(CONCATENATE(C48,'Registrar recibidas_gastos'!D48),'CODIGO-LITERAL'!$C:$D,2,FALSE)),"",VLOOKUP(CONCATENATE(C48,'Registrar recibidas_gastos'!D48),'CODIGO-LITERAL'!$C:$D,2,FALSE)))</f>
        <v/>
      </c>
      <c r="E48" s="61" t="str">
        <f>IF('Registrar recibidas_gastos'!E48="","",'Registrar recibidas_gastos'!E48)</f>
        <v/>
      </c>
      <c r="F48" s="61" t="str">
        <f>IF('Registrar recibidas_gastos'!F48="","",VLOOKUP(CONCATENATE("TIPO FACTURA GASTO",'Registrar recibidas_gastos'!F48),'CODIGO-LITERAL'!$C:$D,2,FALSE))</f>
        <v/>
      </c>
      <c r="G48" s="62"/>
      <c r="H48" s="62"/>
      <c r="I48" s="67" t="str">
        <f>IF('Registrar recibidas_gastos'!I48="","",'Registrar recibidas_gastos'!I48)</f>
        <v/>
      </c>
      <c r="J48" s="67" t="str">
        <f>IF('Registrar recibidas_gastos'!J48="","",'Registrar recibidas_gastos'!J48)</f>
        <v/>
      </c>
      <c r="K48" s="61" t="str">
        <f>IF('Registrar recibidas_gastos'!K48="","",'Registrar recibidas_gastos'!K48)</f>
        <v/>
      </c>
      <c r="L48" s="61" t="str">
        <f>IF('Registrar recibidas_gastos'!L48="","",'Registrar recibidas_gastos'!L48)</f>
        <v/>
      </c>
      <c r="M48" s="67" t="str">
        <f>IF('Registrar recibidas_gastos'!M48="","",'Registrar recibidas_gastos'!M48)</f>
        <v/>
      </c>
      <c r="N48" s="61" t="str">
        <f>IF('Registrar recibidas_gastos'!N48="","",'Registrar recibidas_gastos'!N48)</f>
        <v/>
      </c>
      <c r="O48" s="61" t="str">
        <f>IF('Registrar recibidas_gastos'!O48="","",'Registrar recibidas_gastos'!O48)</f>
        <v/>
      </c>
      <c r="P48" s="61" t="str">
        <f>IF(OR(LEFT('Registrar recibidas_gastos'!P48,2)="01",'Registrar recibidas_gastos'!P48=""),"",VLOOKUP(CONCATENATE("TIPO NIF",'Registrar recibidas_gastos'!P48),'CODIGO-LITERAL'!$C:$D,2,FALSE))</f>
        <v/>
      </c>
      <c r="Q48" s="61" t="str">
        <f>IF('Registrar recibidas_gastos'!Q48="","",'Registrar recibidas_gastos'!Q48)</f>
        <v/>
      </c>
      <c r="R48" s="61" t="str">
        <f>IF('Registrar recibidas_gastos'!R48="","",'Registrar recibidas_gastos'!R48)</f>
        <v/>
      </c>
      <c r="S48" s="61" t="str">
        <f>IF('Registrar recibidas_gastos'!S48="","",'Registrar recibidas_gastos'!S48)</f>
        <v/>
      </c>
      <c r="T48" s="61" t="str">
        <f>IF('Registrar recibidas_gastos'!T48="","",VLOOKUP(CONCATENATE("CLAVE OPERACION GASTO",'Registrar recibidas_gastos'!T48),'CODIGO-LITERAL'!$C:$D,2,FALSE))</f>
        <v/>
      </c>
      <c r="U48" s="61" t="str">
        <f>IF(T48="","",IF(OR(T48="02",T48="08"),"N",IF('Registrar recibidas_gastos'!U48="","N",'Registrar recibidas_gastos'!U48)))</f>
        <v/>
      </c>
      <c r="V48" s="61" t="str">
        <f>IF(T48="","",IF(OR(T48="07",T48="08",T48="09",F48="F5",F48="LC"),"N",IF('Registrar recibidas_gastos'!V48="","N",'Registrar recibidas_gastos'!V48)))</f>
        <v/>
      </c>
      <c r="W48" s="61" t="str">
        <f>IF(AND(X48="",Y48=""),"",IF(AND(RECIBIDAS_GASTOS!$X48&lt;&gt;"",RECIBIDAS_GASTOS!$Y48&lt;&gt;""),"S",IF('Registrar recibidas_gastos'!W48="","N",'Registrar recibidas_gastos'!W48)))</f>
        <v/>
      </c>
      <c r="X48" s="67" t="str">
        <f>IF('Registrar recibidas_gastos'!X48="","",'Registrar recibidas_gastos'!X48)</f>
        <v/>
      </c>
      <c r="Y48" s="61" t="str">
        <f>IF('Registrar recibidas_gastos'!Y48="","",'Registrar recibidas_gastos'!Y48)</f>
        <v/>
      </c>
      <c r="Z48" s="68" t="str">
        <f>IF('Registrar recibidas_gastos'!Z48="","",IF(AND(F48="",T48=""),"",IF(OR(T48="03",T48="05",T48="09"),AA48,SUM(AA48,AC48,AF48))))</f>
        <v/>
      </c>
      <c r="AA48" s="68" t="str">
        <f>IF('Registrar recibidas_gastos'!AA48="","",ROUND('Registrar recibidas_gastos'!AA48,2))</f>
        <v/>
      </c>
      <c r="AB48" s="61" t="str">
        <f>IF('Registrar recibidas_gastos'!AB48="","",'Registrar recibidas_gastos'!AB48)</f>
        <v/>
      </c>
      <c r="AC48" s="68" t="str">
        <f>IF(OR(T48="03",T48="05"),0,IF('Registrar recibidas_gastos'!AC48="","",ROUND(AA48*AB48/100,2)))</f>
        <v/>
      </c>
      <c r="AD48" s="68" t="str">
        <f>IF('Registrar recibidas_gastos'!AD48="","",ROUND('Registrar recibidas_gastos'!AD48,2))</f>
        <v/>
      </c>
      <c r="AE48" s="61" t="str">
        <f>IF('Registrar recibidas_gastos'!AE48="","",'Registrar recibidas_gastos'!AE48)</f>
        <v/>
      </c>
      <c r="AF48" s="68" t="str">
        <f>IF('Registrar recibidas_gastos'!AF48="","",ROUND(AA48*AE48/100,2))</f>
        <v/>
      </c>
      <c r="AG48" s="67" t="str">
        <f>IF('Registrar recibidas_gastos'!AG48="","",'Registrar recibidas_gastos'!AG48)</f>
        <v/>
      </c>
      <c r="AH48" s="68" t="str">
        <f>IF('Registrar recibidas_gastos'!AH48="","",'Registrar recibidas_gastos'!AH48)</f>
        <v/>
      </c>
      <c r="AI48" s="61" t="str">
        <f>IF('Registrar recibidas_gastos'!AI48="","",VLOOKUP(CONCATENATE("MEDIO UTILIZADO",'Registrar recibidas_gastos'!AI48),'CODIGO-LITERAL'!$C:$D,2,FALSE))</f>
        <v/>
      </c>
      <c r="AJ48" s="61" t="str">
        <f>IF('Registrar recibidas_gastos'!AJ48="","",'Registrar recibidas_gastos'!AJ48)</f>
        <v/>
      </c>
      <c r="AK48" s="62"/>
      <c r="AL48" s="69"/>
      <c r="AM48" s="61" t="str">
        <f>IF('Registrar recibidas_gastos'!AM48="","",'Registrar recibidas_gastos'!AM48)</f>
        <v/>
      </c>
      <c r="AN48" s="61" t="str">
        <f>IF('Registrar recibidas_gastos'!AN48="","",VLOOKUP(CONCATENATE("SITUACION",'Registrar recibidas_gastos'!AN48),'CODIGO-LITERAL'!$C:$D,2,FALSE))</f>
        <v/>
      </c>
      <c r="AO48" s="61" t="str">
        <f>IF('Registrar recibidas_gastos'!AO48="","",'Registrar recibidas_gastos'!AO48)</f>
        <v/>
      </c>
      <c r="AP48" s="61" t="str">
        <f>IF('Registrar recibidas_gastos'!AP48="","",'Registrar recibidas_gastos'!AP48)</f>
        <v/>
      </c>
    </row>
    <row r="49" spans="1:42" x14ac:dyDescent="0.25">
      <c r="A49" s="66" t="str">
        <f>IF('Registrar recibidas_gastos'!A49="","",'Registrar recibidas_gastos'!A49)</f>
        <v/>
      </c>
      <c r="B49" s="61" t="str">
        <f>IF('Registrar recibidas_gastos'!B49="","",'Registrar recibidas_gastos'!B49)</f>
        <v/>
      </c>
      <c r="C49" s="61" t="str">
        <f>IF('Registrar recibidas_gastos'!C49="","",VLOOKUP(CONCATENATE("ACTIVIDAD",'Registrar recibidas_gastos'!C49),'CODIGO-LITERAL'!$C:$D,2,FALSE))</f>
        <v/>
      </c>
      <c r="D49" s="60" t="str">
        <f>IF(OR(C49="C",C49="D"),"",IF(ISERROR(VLOOKUP(CONCATENATE(C49,'Registrar recibidas_gastos'!D49),'CODIGO-LITERAL'!$C:$D,2,FALSE)),"",VLOOKUP(CONCATENATE(C49,'Registrar recibidas_gastos'!D49),'CODIGO-LITERAL'!$C:$D,2,FALSE)))</f>
        <v/>
      </c>
      <c r="E49" s="61" t="str">
        <f>IF('Registrar recibidas_gastos'!E49="","",'Registrar recibidas_gastos'!E49)</f>
        <v/>
      </c>
      <c r="F49" s="61" t="str">
        <f>IF('Registrar recibidas_gastos'!F49="","",VLOOKUP(CONCATENATE("TIPO FACTURA GASTO",'Registrar recibidas_gastos'!F49),'CODIGO-LITERAL'!$C:$D,2,FALSE))</f>
        <v/>
      </c>
      <c r="G49" s="62"/>
      <c r="H49" s="62"/>
      <c r="I49" s="67" t="str">
        <f>IF('Registrar recibidas_gastos'!I49="","",'Registrar recibidas_gastos'!I49)</f>
        <v/>
      </c>
      <c r="J49" s="67" t="str">
        <f>IF('Registrar recibidas_gastos'!J49="","",'Registrar recibidas_gastos'!J49)</f>
        <v/>
      </c>
      <c r="K49" s="61" t="str">
        <f>IF('Registrar recibidas_gastos'!K49="","",'Registrar recibidas_gastos'!K49)</f>
        <v/>
      </c>
      <c r="L49" s="61" t="str">
        <f>IF('Registrar recibidas_gastos'!L49="","",'Registrar recibidas_gastos'!L49)</f>
        <v/>
      </c>
      <c r="M49" s="67" t="str">
        <f>IF('Registrar recibidas_gastos'!M49="","",'Registrar recibidas_gastos'!M49)</f>
        <v/>
      </c>
      <c r="N49" s="61" t="str">
        <f>IF('Registrar recibidas_gastos'!N49="","",'Registrar recibidas_gastos'!N49)</f>
        <v/>
      </c>
      <c r="O49" s="61" t="str">
        <f>IF('Registrar recibidas_gastos'!O49="","",'Registrar recibidas_gastos'!O49)</f>
        <v/>
      </c>
      <c r="P49" s="61" t="str">
        <f>IF(OR(LEFT('Registrar recibidas_gastos'!P49,2)="01",'Registrar recibidas_gastos'!P49=""),"",VLOOKUP(CONCATENATE("TIPO NIF",'Registrar recibidas_gastos'!P49),'CODIGO-LITERAL'!$C:$D,2,FALSE))</f>
        <v/>
      </c>
      <c r="Q49" s="61" t="str">
        <f>IF('Registrar recibidas_gastos'!Q49="","",'Registrar recibidas_gastos'!Q49)</f>
        <v/>
      </c>
      <c r="R49" s="61" t="str">
        <f>IF('Registrar recibidas_gastos'!R49="","",'Registrar recibidas_gastos'!R49)</f>
        <v/>
      </c>
      <c r="S49" s="61" t="str">
        <f>IF('Registrar recibidas_gastos'!S49="","",'Registrar recibidas_gastos'!S49)</f>
        <v/>
      </c>
      <c r="T49" s="61" t="str">
        <f>IF('Registrar recibidas_gastos'!T49="","",VLOOKUP(CONCATENATE("CLAVE OPERACION GASTO",'Registrar recibidas_gastos'!T49),'CODIGO-LITERAL'!$C:$D,2,FALSE))</f>
        <v/>
      </c>
      <c r="U49" s="61" t="str">
        <f>IF(T49="","",IF(OR(T49="02",T49="08"),"N",IF('Registrar recibidas_gastos'!U49="","N",'Registrar recibidas_gastos'!U49)))</f>
        <v/>
      </c>
      <c r="V49" s="61" t="str">
        <f>IF(T49="","",IF(OR(T49="07",T49="08",T49="09",F49="F5",F49="LC"),"N",IF('Registrar recibidas_gastos'!V49="","N",'Registrar recibidas_gastos'!V49)))</f>
        <v/>
      </c>
      <c r="W49" s="61" t="str">
        <f>IF(AND(X49="",Y49=""),"",IF(AND(RECIBIDAS_GASTOS!$X49&lt;&gt;"",RECIBIDAS_GASTOS!$Y49&lt;&gt;""),"S",IF('Registrar recibidas_gastos'!W49="","N",'Registrar recibidas_gastos'!W49)))</f>
        <v/>
      </c>
      <c r="X49" s="67" t="str">
        <f>IF('Registrar recibidas_gastos'!X49="","",'Registrar recibidas_gastos'!X49)</f>
        <v/>
      </c>
      <c r="Y49" s="61" t="str">
        <f>IF('Registrar recibidas_gastos'!Y49="","",'Registrar recibidas_gastos'!Y49)</f>
        <v/>
      </c>
      <c r="Z49" s="68" t="str">
        <f>IF('Registrar recibidas_gastos'!Z49="","",IF(AND(F49="",T49=""),"",IF(OR(T49="03",T49="05",T49="09"),AA49,SUM(AA49,AC49,AF49))))</f>
        <v/>
      </c>
      <c r="AA49" s="68" t="str">
        <f>IF('Registrar recibidas_gastos'!AA49="","",ROUND('Registrar recibidas_gastos'!AA49,2))</f>
        <v/>
      </c>
      <c r="AB49" s="61" t="str">
        <f>IF('Registrar recibidas_gastos'!AB49="","",'Registrar recibidas_gastos'!AB49)</f>
        <v/>
      </c>
      <c r="AC49" s="68" t="str">
        <f>IF(OR(T49="03",T49="05"),0,IF('Registrar recibidas_gastos'!AC49="","",ROUND(AA49*AB49/100,2)))</f>
        <v/>
      </c>
      <c r="AD49" s="68" t="str">
        <f>IF('Registrar recibidas_gastos'!AD49="","",ROUND('Registrar recibidas_gastos'!AD49,2))</f>
        <v/>
      </c>
      <c r="AE49" s="61" t="str">
        <f>IF('Registrar recibidas_gastos'!AE49="","",'Registrar recibidas_gastos'!AE49)</f>
        <v/>
      </c>
      <c r="AF49" s="68" t="str">
        <f>IF('Registrar recibidas_gastos'!AF49="","",ROUND(AA49*AE49/100,2))</f>
        <v/>
      </c>
      <c r="AG49" s="67" t="str">
        <f>IF('Registrar recibidas_gastos'!AG49="","",'Registrar recibidas_gastos'!AG49)</f>
        <v/>
      </c>
      <c r="AH49" s="68" t="str">
        <f>IF('Registrar recibidas_gastos'!AH49="","",'Registrar recibidas_gastos'!AH49)</f>
        <v/>
      </c>
      <c r="AI49" s="61" t="str">
        <f>IF('Registrar recibidas_gastos'!AI49="","",VLOOKUP(CONCATENATE("MEDIO UTILIZADO",'Registrar recibidas_gastos'!AI49),'CODIGO-LITERAL'!$C:$D,2,FALSE))</f>
        <v/>
      </c>
      <c r="AJ49" s="61" t="str">
        <f>IF('Registrar recibidas_gastos'!AJ49="","",'Registrar recibidas_gastos'!AJ49)</f>
        <v/>
      </c>
      <c r="AK49" s="62"/>
      <c r="AL49" s="69"/>
      <c r="AM49" s="61" t="str">
        <f>IF('Registrar recibidas_gastos'!AM49="","",'Registrar recibidas_gastos'!AM49)</f>
        <v/>
      </c>
      <c r="AN49" s="61" t="str">
        <f>IF('Registrar recibidas_gastos'!AN49="","",VLOOKUP(CONCATENATE("SITUACION",'Registrar recibidas_gastos'!AN49),'CODIGO-LITERAL'!$C:$D,2,FALSE))</f>
        <v/>
      </c>
      <c r="AO49" s="61" t="str">
        <f>IF('Registrar recibidas_gastos'!AO49="","",'Registrar recibidas_gastos'!AO49)</f>
        <v/>
      </c>
      <c r="AP49" s="61" t="str">
        <f>IF('Registrar recibidas_gastos'!AP49="","",'Registrar recibidas_gastos'!AP49)</f>
        <v/>
      </c>
    </row>
    <row r="50" spans="1:42" x14ac:dyDescent="0.25">
      <c r="A50" s="66" t="str">
        <f>IF('Registrar recibidas_gastos'!A50="","",'Registrar recibidas_gastos'!A50)</f>
        <v/>
      </c>
      <c r="B50" s="61" t="str">
        <f>IF('Registrar recibidas_gastos'!B50="","",'Registrar recibidas_gastos'!B50)</f>
        <v/>
      </c>
      <c r="C50" s="61" t="str">
        <f>IF('Registrar recibidas_gastos'!C50="","",VLOOKUP(CONCATENATE("ACTIVIDAD",'Registrar recibidas_gastos'!C50),'CODIGO-LITERAL'!$C:$D,2,FALSE))</f>
        <v/>
      </c>
      <c r="D50" s="60" t="str">
        <f>IF(OR(C50="C",C50="D"),"",IF(ISERROR(VLOOKUP(CONCATENATE(C50,'Registrar recibidas_gastos'!D50),'CODIGO-LITERAL'!$C:$D,2,FALSE)),"",VLOOKUP(CONCATENATE(C50,'Registrar recibidas_gastos'!D50),'CODIGO-LITERAL'!$C:$D,2,FALSE)))</f>
        <v/>
      </c>
      <c r="E50" s="61" t="str">
        <f>IF('Registrar recibidas_gastos'!E50="","",'Registrar recibidas_gastos'!E50)</f>
        <v/>
      </c>
      <c r="F50" s="61" t="str">
        <f>IF('Registrar recibidas_gastos'!F50="","",VLOOKUP(CONCATENATE("TIPO FACTURA GASTO",'Registrar recibidas_gastos'!F50),'CODIGO-LITERAL'!$C:$D,2,FALSE))</f>
        <v/>
      </c>
      <c r="G50" s="62"/>
      <c r="H50" s="62"/>
      <c r="I50" s="67" t="str">
        <f>IF('Registrar recibidas_gastos'!I50="","",'Registrar recibidas_gastos'!I50)</f>
        <v/>
      </c>
      <c r="J50" s="67" t="str">
        <f>IF('Registrar recibidas_gastos'!J50="","",'Registrar recibidas_gastos'!J50)</f>
        <v/>
      </c>
      <c r="K50" s="61" t="str">
        <f>IF('Registrar recibidas_gastos'!K50="","",'Registrar recibidas_gastos'!K50)</f>
        <v/>
      </c>
      <c r="L50" s="61" t="str">
        <f>IF('Registrar recibidas_gastos'!L50="","",'Registrar recibidas_gastos'!L50)</f>
        <v/>
      </c>
      <c r="M50" s="67" t="str">
        <f>IF('Registrar recibidas_gastos'!M50="","",'Registrar recibidas_gastos'!M50)</f>
        <v/>
      </c>
      <c r="N50" s="61" t="str">
        <f>IF('Registrar recibidas_gastos'!N50="","",'Registrar recibidas_gastos'!N50)</f>
        <v/>
      </c>
      <c r="O50" s="61" t="str">
        <f>IF('Registrar recibidas_gastos'!O50="","",'Registrar recibidas_gastos'!O50)</f>
        <v/>
      </c>
      <c r="P50" s="61" t="str">
        <f>IF(OR(LEFT('Registrar recibidas_gastos'!P50,2)="01",'Registrar recibidas_gastos'!P50=""),"",VLOOKUP(CONCATENATE("TIPO NIF",'Registrar recibidas_gastos'!P50),'CODIGO-LITERAL'!$C:$D,2,FALSE))</f>
        <v/>
      </c>
      <c r="Q50" s="61" t="str">
        <f>IF('Registrar recibidas_gastos'!Q50="","",'Registrar recibidas_gastos'!Q50)</f>
        <v/>
      </c>
      <c r="R50" s="61" t="str">
        <f>IF('Registrar recibidas_gastos'!R50="","",'Registrar recibidas_gastos'!R50)</f>
        <v/>
      </c>
      <c r="S50" s="61" t="str">
        <f>IF('Registrar recibidas_gastos'!S50="","",'Registrar recibidas_gastos'!S50)</f>
        <v/>
      </c>
      <c r="T50" s="61" t="str">
        <f>IF('Registrar recibidas_gastos'!T50="","",VLOOKUP(CONCATENATE("CLAVE OPERACION GASTO",'Registrar recibidas_gastos'!T50),'CODIGO-LITERAL'!$C:$D,2,FALSE))</f>
        <v/>
      </c>
      <c r="U50" s="61" t="str">
        <f>IF(T50="","",IF(OR(T50="02",T50="08"),"N",IF('Registrar recibidas_gastos'!U50="","N",'Registrar recibidas_gastos'!U50)))</f>
        <v/>
      </c>
      <c r="V50" s="61" t="str">
        <f>IF(T50="","",IF(OR(T50="07",T50="08",T50="09",F50="F5",F50="LC"),"N",IF('Registrar recibidas_gastos'!V50="","N",'Registrar recibidas_gastos'!V50)))</f>
        <v/>
      </c>
      <c r="W50" s="61" t="str">
        <f>IF(AND(X50="",Y50=""),"",IF(AND(RECIBIDAS_GASTOS!$X50&lt;&gt;"",RECIBIDAS_GASTOS!$Y50&lt;&gt;""),"S",IF('Registrar recibidas_gastos'!W50="","N",'Registrar recibidas_gastos'!W50)))</f>
        <v/>
      </c>
      <c r="X50" s="67" t="str">
        <f>IF('Registrar recibidas_gastos'!X50="","",'Registrar recibidas_gastos'!X50)</f>
        <v/>
      </c>
      <c r="Y50" s="61" t="str">
        <f>IF('Registrar recibidas_gastos'!Y50="","",'Registrar recibidas_gastos'!Y50)</f>
        <v/>
      </c>
      <c r="Z50" s="68" t="str">
        <f>IF('Registrar recibidas_gastos'!Z50="","",IF(AND(F50="",T50=""),"",IF(OR(T50="03",T50="05",T50="09"),AA50,SUM(AA50,AC50,AF50))))</f>
        <v/>
      </c>
      <c r="AA50" s="68" t="str">
        <f>IF('Registrar recibidas_gastos'!AA50="","",ROUND('Registrar recibidas_gastos'!AA50,2))</f>
        <v/>
      </c>
      <c r="AB50" s="61" t="str">
        <f>IF('Registrar recibidas_gastos'!AB50="","",'Registrar recibidas_gastos'!AB50)</f>
        <v/>
      </c>
      <c r="AC50" s="68" t="str">
        <f>IF(OR(T50="03",T50="05"),0,IF('Registrar recibidas_gastos'!AC50="","",ROUND(AA50*AB50/100,2)))</f>
        <v/>
      </c>
      <c r="AD50" s="68" t="str">
        <f>IF('Registrar recibidas_gastos'!AD50="","",ROUND('Registrar recibidas_gastos'!AD50,2))</f>
        <v/>
      </c>
      <c r="AE50" s="61" t="str">
        <f>IF('Registrar recibidas_gastos'!AE50="","",'Registrar recibidas_gastos'!AE50)</f>
        <v/>
      </c>
      <c r="AF50" s="68" t="str">
        <f>IF('Registrar recibidas_gastos'!AF50="","",ROUND(AA50*AE50/100,2))</f>
        <v/>
      </c>
      <c r="AG50" s="67" t="str">
        <f>IF('Registrar recibidas_gastos'!AG50="","",'Registrar recibidas_gastos'!AG50)</f>
        <v/>
      </c>
      <c r="AH50" s="68" t="str">
        <f>IF('Registrar recibidas_gastos'!AH50="","",'Registrar recibidas_gastos'!AH50)</f>
        <v/>
      </c>
      <c r="AI50" s="61" t="str">
        <f>IF('Registrar recibidas_gastos'!AI50="","",VLOOKUP(CONCATENATE("MEDIO UTILIZADO",'Registrar recibidas_gastos'!AI50),'CODIGO-LITERAL'!$C:$D,2,FALSE))</f>
        <v/>
      </c>
      <c r="AJ50" s="61" t="str">
        <f>IF('Registrar recibidas_gastos'!AJ50="","",'Registrar recibidas_gastos'!AJ50)</f>
        <v/>
      </c>
      <c r="AK50" s="62"/>
      <c r="AL50" s="69"/>
      <c r="AM50" s="61" t="str">
        <f>IF('Registrar recibidas_gastos'!AM50="","",'Registrar recibidas_gastos'!AM50)</f>
        <v/>
      </c>
      <c r="AN50" s="61" t="str">
        <f>IF('Registrar recibidas_gastos'!AN50="","",VLOOKUP(CONCATENATE("SITUACION",'Registrar recibidas_gastos'!AN50),'CODIGO-LITERAL'!$C:$D,2,FALSE))</f>
        <v/>
      </c>
      <c r="AO50" s="61" t="str">
        <f>IF('Registrar recibidas_gastos'!AO50="","",'Registrar recibidas_gastos'!AO50)</f>
        <v/>
      </c>
      <c r="AP50" s="61" t="str">
        <f>IF('Registrar recibidas_gastos'!AP50="","",'Registrar recibidas_gastos'!AP50)</f>
        <v/>
      </c>
    </row>
    <row r="51" spans="1:42" x14ac:dyDescent="0.25">
      <c r="A51" s="66" t="str">
        <f>IF('Registrar recibidas_gastos'!A51="","",'Registrar recibidas_gastos'!A51)</f>
        <v/>
      </c>
      <c r="B51" s="61" t="str">
        <f>IF('Registrar recibidas_gastos'!B51="","",'Registrar recibidas_gastos'!B51)</f>
        <v/>
      </c>
      <c r="C51" s="61" t="str">
        <f>IF('Registrar recibidas_gastos'!C51="","",VLOOKUP(CONCATENATE("ACTIVIDAD",'Registrar recibidas_gastos'!C51),'CODIGO-LITERAL'!$C:$D,2,FALSE))</f>
        <v/>
      </c>
      <c r="D51" s="60" t="str">
        <f>IF(OR(C51="C",C51="D"),"",IF(ISERROR(VLOOKUP(CONCATENATE(C51,'Registrar recibidas_gastos'!D51),'CODIGO-LITERAL'!$C:$D,2,FALSE)),"",VLOOKUP(CONCATENATE(C51,'Registrar recibidas_gastos'!D51),'CODIGO-LITERAL'!$C:$D,2,FALSE)))</f>
        <v/>
      </c>
      <c r="E51" s="61" t="str">
        <f>IF('Registrar recibidas_gastos'!E51="","",'Registrar recibidas_gastos'!E51)</f>
        <v/>
      </c>
      <c r="F51" s="61" t="str">
        <f>IF('Registrar recibidas_gastos'!F51="","",VLOOKUP(CONCATENATE("TIPO FACTURA GASTO",'Registrar recibidas_gastos'!F51),'CODIGO-LITERAL'!$C:$D,2,FALSE))</f>
        <v/>
      </c>
      <c r="G51" s="62"/>
      <c r="H51" s="62"/>
      <c r="I51" s="67" t="str">
        <f>IF('Registrar recibidas_gastos'!I51="","",'Registrar recibidas_gastos'!I51)</f>
        <v/>
      </c>
      <c r="J51" s="67" t="str">
        <f>IF('Registrar recibidas_gastos'!J51="","",'Registrar recibidas_gastos'!J51)</f>
        <v/>
      </c>
      <c r="K51" s="61" t="str">
        <f>IF('Registrar recibidas_gastos'!K51="","",'Registrar recibidas_gastos'!K51)</f>
        <v/>
      </c>
      <c r="L51" s="61" t="str">
        <f>IF('Registrar recibidas_gastos'!L51="","",'Registrar recibidas_gastos'!L51)</f>
        <v/>
      </c>
      <c r="M51" s="67" t="str">
        <f>IF('Registrar recibidas_gastos'!M51="","",'Registrar recibidas_gastos'!M51)</f>
        <v/>
      </c>
      <c r="N51" s="61" t="str">
        <f>IF('Registrar recibidas_gastos'!N51="","",'Registrar recibidas_gastos'!N51)</f>
        <v/>
      </c>
      <c r="O51" s="61" t="str">
        <f>IF('Registrar recibidas_gastos'!O51="","",'Registrar recibidas_gastos'!O51)</f>
        <v/>
      </c>
      <c r="P51" s="61" t="str">
        <f>IF(OR(LEFT('Registrar recibidas_gastos'!P51,2)="01",'Registrar recibidas_gastos'!P51=""),"",VLOOKUP(CONCATENATE("TIPO NIF",'Registrar recibidas_gastos'!P51),'CODIGO-LITERAL'!$C:$D,2,FALSE))</f>
        <v/>
      </c>
      <c r="Q51" s="61" t="str">
        <f>IF('Registrar recibidas_gastos'!Q51="","",'Registrar recibidas_gastos'!Q51)</f>
        <v/>
      </c>
      <c r="R51" s="61" t="str">
        <f>IF('Registrar recibidas_gastos'!R51="","",'Registrar recibidas_gastos'!R51)</f>
        <v/>
      </c>
      <c r="S51" s="61" t="str">
        <f>IF('Registrar recibidas_gastos'!S51="","",'Registrar recibidas_gastos'!S51)</f>
        <v/>
      </c>
      <c r="T51" s="61" t="str">
        <f>IF('Registrar recibidas_gastos'!T51="","",VLOOKUP(CONCATENATE("CLAVE OPERACION GASTO",'Registrar recibidas_gastos'!T51),'CODIGO-LITERAL'!$C:$D,2,FALSE))</f>
        <v/>
      </c>
      <c r="U51" s="61" t="str">
        <f>IF(T51="","",IF(OR(T51="02",T51="08"),"N",IF('Registrar recibidas_gastos'!U51="","N",'Registrar recibidas_gastos'!U51)))</f>
        <v/>
      </c>
      <c r="V51" s="61" t="str">
        <f>IF(T51="","",IF(OR(T51="07",T51="08",T51="09",F51="F5",F51="LC"),"N",IF('Registrar recibidas_gastos'!V51="","N",'Registrar recibidas_gastos'!V51)))</f>
        <v/>
      </c>
      <c r="W51" s="61" t="str">
        <f>IF(AND(X51="",Y51=""),"",IF(AND(RECIBIDAS_GASTOS!$X51&lt;&gt;"",RECIBIDAS_GASTOS!$Y51&lt;&gt;""),"S",IF('Registrar recibidas_gastos'!W51="","N",'Registrar recibidas_gastos'!W51)))</f>
        <v/>
      </c>
      <c r="X51" s="67" t="str">
        <f>IF('Registrar recibidas_gastos'!X51="","",'Registrar recibidas_gastos'!X51)</f>
        <v/>
      </c>
      <c r="Y51" s="61" t="str">
        <f>IF('Registrar recibidas_gastos'!Y51="","",'Registrar recibidas_gastos'!Y51)</f>
        <v/>
      </c>
      <c r="Z51" s="68" t="str">
        <f>IF('Registrar recibidas_gastos'!Z51="","",IF(AND(F51="",T51=""),"",IF(OR(T51="03",T51="05",T51="09"),AA51,SUM(AA51,AC51,AF51))))</f>
        <v/>
      </c>
      <c r="AA51" s="68" t="str">
        <f>IF('Registrar recibidas_gastos'!AA51="","",ROUND('Registrar recibidas_gastos'!AA51,2))</f>
        <v/>
      </c>
      <c r="AB51" s="61" t="str">
        <f>IF('Registrar recibidas_gastos'!AB51="","",'Registrar recibidas_gastos'!AB51)</f>
        <v/>
      </c>
      <c r="AC51" s="68" t="str">
        <f>IF(OR(T51="03",T51="05"),0,IF('Registrar recibidas_gastos'!AC51="","",ROUND(AA51*AB51/100,2)))</f>
        <v/>
      </c>
      <c r="AD51" s="68" t="str">
        <f>IF('Registrar recibidas_gastos'!AD51="","",ROUND('Registrar recibidas_gastos'!AD51,2))</f>
        <v/>
      </c>
      <c r="AE51" s="61" t="str">
        <f>IF('Registrar recibidas_gastos'!AE51="","",'Registrar recibidas_gastos'!AE51)</f>
        <v/>
      </c>
      <c r="AF51" s="68" t="str">
        <f>IF('Registrar recibidas_gastos'!AF51="","",ROUND(AA51*AE51/100,2))</f>
        <v/>
      </c>
      <c r="AG51" s="67" t="str">
        <f>IF('Registrar recibidas_gastos'!AG51="","",'Registrar recibidas_gastos'!AG51)</f>
        <v/>
      </c>
      <c r="AH51" s="68" t="str">
        <f>IF('Registrar recibidas_gastos'!AH51="","",'Registrar recibidas_gastos'!AH51)</f>
        <v/>
      </c>
      <c r="AI51" s="61" t="str">
        <f>IF('Registrar recibidas_gastos'!AI51="","",VLOOKUP(CONCATENATE("MEDIO UTILIZADO",'Registrar recibidas_gastos'!AI51),'CODIGO-LITERAL'!$C:$D,2,FALSE))</f>
        <v/>
      </c>
      <c r="AJ51" s="61" t="str">
        <f>IF('Registrar recibidas_gastos'!AJ51="","",'Registrar recibidas_gastos'!AJ51)</f>
        <v/>
      </c>
      <c r="AK51" s="62"/>
      <c r="AL51" s="69"/>
      <c r="AM51" s="61" t="str">
        <f>IF('Registrar recibidas_gastos'!AM51="","",'Registrar recibidas_gastos'!AM51)</f>
        <v/>
      </c>
      <c r="AN51" s="61" t="str">
        <f>IF('Registrar recibidas_gastos'!AN51="","",VLOOKUP(CONCATENATE("SITUACION",'Registrar recibidas_gastos'!AN51),'CODIGO-LITERAL'!$C:$D,2,FALSE))</f>
        <v/>
      </c>
      <c r="AO51" s="61" t="str">
        <f>IF('Registrar recibidas_gastos'!AO51="","",'Registrar recibidas_gastos'!AO51)</f>
        <v/>
      </c>
      <c r="AP51" s="61" t="str">
        <f>IF('Registrar recibidas_gastos'!AP51="","",'Registrar recibidas_gastos'!AP51)</f>
        <v/>
      </c>
    </row>
    <row r="52" spans="1:42" x14ac:dyDescent="0.25">
      <c r="A52" s="66" t="str">
        <f>IF('Registrar recibidas_gastos'!A52="","",'Registrar recibidas_gastos'!A52)</f>
        <v/>
      </c>
      <c r="B52" s="61" t="str">
        <f>IF('Registrar recibidas_gastos'!B52="","",'Registrar recibidas_gastos'!B52)</f>
        <v/>
      </c>
      <c r="C52" s="61" t="str">
        <f>IF('Registrar recibidas_gastos'!C52="","",VLOOKUP(CONCATENATE("ACTIVIDAD",'Registrar recibidas_gastos'!C52),'CODIGO-LITERAL'!$C:$D,2,FALSE))</f>
        <v/>
      </c>
      <c r="D52" s="60" t="str">
        <f>IF(OR(C52="C",C52="D"),"",IF(ISERROR(VLOOKUP(CONCATENATE(C52,'Registrar recibidas_gastos'!D52),'CODIGO-LITERAL'!$C:$D,2,FALSE)),"",VLOOKUP(CONCATENATE(C52,'Registrar recibidas_gastos'!D52),'CODIGO-LITERAL'!$C:$D,2,FALSE)))</f>
        <v/>
      </c>
      <c r="E52" s="61" t="str">
        <f>IF('Registrar recibidas_gastos'!E52="","",'Registrar recibidas_gastos'!E52)</f>
        <v/>
      </c>
      <c r="F52" s="61" t="str">
        <f>IF('Registrar recibidas_gastos'!F52="","",VLOOKUP(CONCATENATE("TIPO FACTURA GASTO",'Registrar recibidas_gastos'!F52),'CODIGO-LITERAL'!$C:$D,2,FALSE))</f>
        <v/>
      </c>
      <c r="G52" s="62"/>
      <c r="H52" s="62"/>
      <c r="I52" s="67" t="str">
        <f>IF('Registrar recibidas_gastos'!I52="","",'Registrar recibidas_gastos'!I52)</f>
        <v/>
      </c>
      <c r="J52" s="67" t="str">
        <f>IF('Registrar recibidas_gastos'!J52="","",'Registrar recibidas_gastos'!J52)</f>
        <v/>
      </c>
      <c r="K52" s="61" t="str">
        <f>IF('Registrar recibidas_gastos'!K52="","",'Registrar recibidas_gastos'!K52)</f>
        <v/>
      </c>
      <c r="L52" s="61" t="str">
        <f>IF('Registrar recibidas_gastos'!L52="","",'Registrar recibidas_gastos'!L52)</f>
        <v/>
      </c>
      <c r="M52" s="67" t="str">
        <f>IF('Registrar recibidas_gastos'!M52="","",'Registrar recibidas_gastos'!M52)</f>
        <v/>
      </c>
      <c r="N52" s="61" t="str">
        <f>IF('Registrar recibidas_gastos'!N52="","",'Registrar recibidas_gastos'!N52)</f>
        <v/>
      </c>
      <c r="O52" s="61" t="str">
        <f>IF('Registrar recibidas_gastos'!O52="","",'Registrar recibidas_gastos'!O52)</f>
        <v/>
      </c>
      <c r="P52" s="61" t="str">
        <f>IF(OR(LEFT('Registrar recibidas_gastos'!P52,2)="01",'Registrar recibidas_gastos'!P52=""),"",VLOOKUP(CONCATENATE("TIPO NIF",'Registrar recibidas_gastos'!P52),'CODIGO-LITERAL'!$C:$D,2,FALSE))</f>
        <v/>
      </c>
      <c r="Q52" s="61" t="str">
        <f>IF('Registrar recibidas_gastos'!Q52="","",'Registrar recibidas_gastos'!Q52)</f>
        <v/>
      </c>
      <c r="R52" s="61" t="str">
        <f>IF('Registrar recibidas_gastos'!R52="","",'Registrar recibidas_gastos'!R52)</f>
        <v/>
      </c>
      <c r="S52" s="61" t="str">
        <f>IF('Registrar recibidas_gastos'!S52="","",'Registrar recibidas_gastos'!S52)</f>
        <v/>
      </c>
      <c r="T52" s="61" t="str">
        <f>IF('Registrar recibidas_gastos'!T52="","",VLOOKUP(CONCATENATE("CLAVE OPERACION GASTO",'Registrar recibidas_gastos'!T52),'CODIGO-LITERAL'!$C:$D,2,FALSE))</f>
        <v/>
      </c>
      <c r="U52" s="61" t="str">
        <f>IF(T52="","",IF(OR(T52="02",T52="08"),"N",IF('Registrar recibidas_gastos'!U52="","N",'Registrar recibidas_gastos'!U52)))</f>
        <v/>
      </c>
      <c r="V52" s="61" t="str">
        <f>IF(T52="","",IF(OR(T52="07",T52="08",T52="09",F52="F5",F52="LC"),"N",IF('Registrar recibidas_gastos'!V52="","N",'Registrar recibidas_gastos'!V52)))</f>
        <v/>
      </c>
      <c r="W52" s="61" t="str">
        <f>IF(AND(X52="",Y52=""),"",IF(AND(RECIBIDAS_GASTOS!$X52&lt;&gt;"",RECIBIDAS_GASTOS!$Y52&lt;&gt;""),"S",IF('Registrar recibidas_gastos'!W52="","N",'Registrar recibidas_gastos'!W52)))</f>
        <v/>
      </c>
      <c r="X52" s="67" t="str">
        <f>IF('Registrar recibidas_gastos'!X52="","",'Registrar recibidas_gastos'!X52)</f>
        <v/>
      </c>
      <c r="Y52" s="61" t="str">
        <f>IF('Registrar recibidas_gastos'!Y52="","",'Registrar recibidas_gastos'!Y52)</f>
        <v/>
      </c>
      <c r="Z52" s="68" t="str">
        <f>IF('Registrar recibidas_gastos'!Z52="","",IF(AND(F52="",T52=""),"",IF(OR(T52="03",T52="05",T52="09"),AA52,SUM(AA52,AC52,AF52))))</f>
        <v/>
      </c>
      <c r="AA52" s="68" t="str">
        <f>IF('Registrar recibidas_gastos'!AA52="","",ROUND('Registrar recibidas_gastos'!AA52,2))</f>
        <v/>
      </c>
      <c r="AB52" s="61" t="str">
        <f>IF('Registrar recibidas_gastos'!AB52="","",'Registrar recibidas_gastos'!AB52)</f>
        <v/>
      </c>
      <c r="AC52" s="68" t="str">
        <f>IF(OR(T52="03",T52="05"),0,IF('Registrar recibidas_gastos'!AC52="","",ROUND(AA52*AB52/100,2)))</f>
        <v/>
      </c>
      <c r="AD52" s="68" t="str">
        <f>IF('Registrar recibidas_gastos'!AD52="","",ROUND('Registrar recibidas_gastos'!AD52,2))</f>
        <v/>
      </c>
      <c r="AE52" s="61" t="str">
        <f>IF('Registrar recibidas_gastos'!AE52="","",'Registrar recibidas_gastos'!AE52)</f>
        <v/>
      </c>
      <c r="AF52" s="68" t="str">
        <f>IF('Registrar recibidas_gastos'!AF52="","",ROUND(AA52*AE52/100,2))</f>
        <v/>
      </c>
      <c r="AG52" s="67" t="str">
        <f>IF('Registrar recibidas_gastos'!AG52="","",'Registrar recibidas_gastos'!AG52)</f>
        <v/>
      </c>
      <c r="AH52" s="68" t="str">
        <f>IF('Registrar recibidas_gastos'!AH52="","",'Registrar recibidas_gastos'!AH52)</f>
        <v/>
      </c>
      <c r="AI52" s="61" t="str">
        <f>IF('Registrar recibidas_gastos'!AI52="","",VLOOKUP(CONCATENATE("MEDIO UTILIZADO",'Registrar recibidas_gastos'!AI52),'CODIGO-LITERAL'!$C:$D,2,FALSE))</f>
        <v/>
      </c>
      <c r="AJ52" s="61" t="str">
        <f>IF('Registrar recibidas_gastos'!AJ52="","",'Registrar recibidas_gastos'!AJ52)</f>
        <v/>
      </c>
      <c r="AK52" s="62"/>
      <c r="AL52" s="69"/>
      <c r="AM52" s="61" t="str">
        <f>IF('Registrar recibidas_gastos'!AM52="","",'Registrar recibidas_gastos'!AM52)</f>
        <v/>
      </c>
      <c r="AN52" s="61" t="str">
        <f>IF('Registrar recibidas_gastos'!AN52="","",VLOOKUP(CONCATENATE("SITUACION",'Registrar recibidas_gastos'!AN52),'CODIGO-LITERAL'!$C:$D,2,FALSE))</f>
        <v/>
      </c>
      <c r="AO52" s="61" t="str">
        <f>IF('Registrar recibidas_gastos'!AO52="","",'Registrar recibidas_gastos'!AO52)</f>
        <v/>
      </c>
      <c r="AP52" s="61" t="str">
        <f>IF('Registrar recibidas_gastos'!AP52="","",'Registrar recibidas_gastos'!AP52)</f>
        <v/>
      </c>
    </row>
    <row r="53" spans="1:42" x14ac:dyDescent="0.25">
      <c r="A53" s="66" t="str">
        <f>IF('Registrar recibidas_gastos'!A53="","",'Registrar recibidas_gastos'!A53)</f>
        <v/>
      </c>
      <c r="B53" s="61" t="str">
        <f>IF('Registrar recibidas_gastos'!B53="","",'Registrar recibidas_gastos'!B53)</f>
        <v/>
      </c>
      <c r="C53" s="61" t="str">
        <f>IF('Registrar recibidas_gastos'!C53="","",VLOOKUP(CONCATENATE("ACTIVIDAD",'Registrar recibidas_gastos'!C53),'CODIGO-LITERAL'!$C:$D,2,FALSE))</f>
        <v/>
      </c>
      <c r="D53" s="60" t="str">
        <f>IF(OR(C53="C",C53="D"),"",IF(ISERROR(VLOOKUP(CONCATENATE(C53,'Registrar recibidas_gastos'!D53),'CODIGO-LITERAL'!$C:$D,2,FALSE)),"",VLOOKUP(CONCATENATE(C53,'Registrar recibidas_gastos'!D53),'CODIGO-LITERAL'!$C:$D,2,FALSE)))</f>
        <v/>
      </c>
      <c r="E53" s="61" t="str">
        <f>IF('Registrar recibidas_gastos'!E53="","",'Registrar recibidas_gastos'!E53)</f>
        <v/>
      </c>
      <c r="F53" s="61" t="str">
        <f>IF('Registrar recibidas_gastos'!F53="","",VLOOKUP(CONCATENATE("TIPO FACTURA GASTO",'Registrar recibidas_gastos'!F53),'CODIGO-LITERAL'!$C:$D,2,FALSE))</f>
        <v/>
      </c>
      <c r="G53" s="62"/>
      <c r="H53" s="62"/>
      <c r="I53" s="67" t="str">
        <f>IF('Registrar recibidas_gastos'!I53="","",'Registrar recibidas_gastos'!I53)</f>
        <v/>
      </c>
      <c r="J53" s="67" t="str">
        <f>IF('Registrar recibidas_gastos'!J53="","",'Registrar recibidas_gastos'!J53)</f>
        <v/>
      </c>
      <c r="K53" s="61" t="str">
        <f>IF('Registrar recibidas_gastos'!K53="","",'Registrar recibidas_gastos'!K53)</f>
        <v/>
      </c>
      <c r="L53" s="61" t="str">
        <f>IF('Registrar recibidas_gastos'!L53="","",'Registrar recibidas_gastos'!L53)</f>
        <v/>
      </c>
      <c r="M53" s="67" t="str">
        <f>IF('Registrar recibidas_gastos'!M53="","",'Registrar recibidas_gastos'!M53)</f>
        <v/>
      </c>
      <c r="N53" s="61" t="str">
        <f>IF('Registrar recibidas_gastos'!N53="","",'Registrar recibidas_gastos'!N53)</f>
        <v/>
      </c>
      <c r="O53" s="61" t="str">
        <f>IF('Registrar recibidas_gastos'!O53="","",'Registrar recibidas_gastos'!O53)</f>
        <v/>
      </c>
      <c r="P53" s="61" t="str">
        <f>IF(OR(LEFT('Registrar recibidas_gastos'!P53,2)="01",'Registrar recibidas_gastos'!P53=""),"",VLOOKUP(CONCATENATE("TIPO NIF",'Registrar recibidas_gastos'!P53),'CODIGO-LITERAL'!$C:$D,2,FALSE))</f>
        <v/>
      </c>
      <c r="Q53" s="61" t="str">
        <f>IF('Registrar recibidas_gastos'!Q53="","",'Registrar recibidas_gastos'!Q53)</f>
        <v/>
      </c>
      <c r="R53" s="61" t="str">
        <f>IF('Registrar recibidas_gastos'!R53="","",'Registrar recibidas_gastos'!R53)</f>
        <v/>
      </c>
      <c r="S53" s="61" t="str">
        <f>IF('Registrar recibidas_gastos'!S53="","",'Registrar recibidas_gastos'!S53)</f>
        <v/>
      </c>
      <c r="T53" s="61" t="str">
        <f>IF('Registrar recibidas_gastos'!T53="","",VLOOKUP(CONCATENATE("CLAVE OPERACION GASTO",'Registrar recibidas_gastos'!T53),'CODIGO-LITERAL'!$C:$D,2,FALSE))</f>
        <v/>
      </c>
      <c r="U53" s="61" t="str">
        <f>IF(T53="","",IF(OR(T53="02",T53="08"),"N",IF('Registrar recibidas_gastos'!U53="","N",'Registrar recibidas_gastos'!U53)))</f>
        <v/>
      </c>
      <c r="V53" s="61" t="str">
        <f>IF(T53="","",IF(OR(T53="07",T53="08",T53="09",F53="F5",F53="LC"),"N",IF('Registrar recibidas_gastos'!V53="","N",'Registrar recibidas_gastos'!V53)))</f>
        <v/>
      </c>
      <c r="W53" s="61" t="str">
        <f>IF(AND(X53="",Y53=""),"",IF(AND(RECIBIDAS_GASTOS!$X53&lt;&gt;"",RECIBIDAS_GASTOS!$Y53&lt;&gt;""),"S",IF('Registrar recibidas_gastos'!W53="","N",'Registrar recibidas_gastos'!W53)))</f>
        <v/>
      </c>
      <c r="X53" s="67" t="str">
        <f>IF('Registrar recibidas_gastos'!X53="","",'Registrar recibidas_gastos'!X53)</f>
        <v/>
      </c>
      <c r="Y53" s="61" t="str">
        <f>IF('Registrar recibidas_gastos'!Y53="","",'Registrar recibidas_gastos'!Y53)</f>
        <v/>
      </c>
      <c r="Z53" s="68" t="str">
        <f>IF('Registrar recibidas_gastos'!Z53="","",IF(AND(F53="",T53=""),"",IF(OR(T53="03",T53="05",T53="09"),AA53,SUM(AA53,AC53,AF53))))</f>
        <v/>
      </c>
      <c r="AA53" s="68" t="str">
        <f>IF('Registrar recibidas_gastos'!AA53="","",ROUND('Registrar recibidas_gastos'!AA53,2))</f>
        <v/>
      </c>
      <c r="AB53" s="61" t="str">
        <f>IF('Registrar recibidas_gastos'!AB53="","",'Registrar recibidas_gastos'!AB53)</f>
        <v/>
      </c>
      <c r="AC53" s="68" t="str">
        <f>IF(OR(T53="03",T53="05"),0,IF('Registrar recibidas_gastos'!AC53="","",ROUND(AA53*AB53/100,2)))</f>
        <v/>
      </c>
      <c r="AD53" s="68" t="str">
        <f>IF('Registrar recibidas_gastos'!AD53="","",ROUND('Registrar recibidas_gastos'!AD53,2))</f>
        <v/>
      </c>
      <c r="AE53" s="61" t="str">
        <f>IF('Registrar recibidas_gastos'!AE53="","",'Registrar recibidas_gastos'!AE53)</f>
        <v/>
      </c>
      <c r="AF53" s="68" t="str">
        <f>IF('Registrar recibidas_gastos'!AF53="","",ROUND(AA53*AE53/100,2))</f>
        <v/>
      </c>
      <c r="AG53" s="67" t="str">
        <f>IF('Registrar recibidas_gastos'!AG53="","",'Registrar recibidas_gastos'!AG53)</f>
        <v/>
      </c>
      <c r="AH53" s="68" t="str">
        <f>IF('Registrar recibidas_gastos'!AH53="","",'Registrar recibidas_gastos'!AH53)</f>
        <v/>
      </c>
      <c r="AI53" s="61" t="str">
        <f>IF('Registrar recibidas_gastos'!AI53="","",VLOOKUP(CONCATENATE("MEDIO UTILIZADO",'Registrar recibidas_gastos'!AI53),'CODIGO-LITERAL'!$C:$D,2,FALSE))</f>
        <v/>
      </c>
      <c r="AJ53" s="61" t="str">
        <f>IF('Registrar recibidas_gastos'!AJ53="","",'Registrar recibidas_gastos'!AJ53)</f>
        <v/>
      </c>
      <c r="AK53" s="62"/>
      <c r="AL53" s="69"/>
      <c r="AM53" s="61" t="str">
        <f>IF('Registrar recibidas_gastos'!AM53="","",'Registrar recibidas_gastos'!AM53)</f>
        <v/>
      </c>
      <c r="AN53" s="61" t="str">
        <f>IF('Registrar recibidas_gastos'!AN53="","",VLOOKUP(CONCATENATE("SITUACION",'Registrar recibidas_gastos'!AN53),'CODIGO-LITERAL'!$C:$D,2,FALSE))</f>
        <v/>
      </c>
      <c r="AO53" s="61" t="str">
        <f>IF('Registrar recibidas_gastos'!AO53="","",'Registrar recibidas_gastos'!AO53)</f>
        <v/>
      </c>
      <c r="AP53" s="61" t="str">
        <f>IF('Registrar recibidas_gastos'!AP53="","",'Registrar recibidas_gastos'!AP53)</f>
        <v/>
      </c>
    </row>
    <row r="54" spans="1:42" x14ac:dyDescent="0.25">
      <c r="A54" s="66" t="str">
        <f>IF('Registrar recibidas_gastos'!A54="","",'Registrar recibidas_gastos'!A54)</f>
        <v/>
      </c>
      <c r="B54" s="61" t="str">
        <f>IF('Registrar recibidas_gastos'!B54="","",'Registrar recibidas_gastos'!B54)</f>
        <v/>
      </c>
      <c r="C54" s="61" t="str">
        <f>IF('Registrar recibidas_gastos'!C54="","",VLOOKUP(CONCATENATE("ACTIVIDAD",'Registrar recibidas_gastos'!C54),'CODIGO-LITERAL'!$C:$D,2,FALSE))</f>
        <v/>
      </c>
      <c r="D54" s="60" t="str">
        <f>IF(OR(C54="C",C54="D"),"",IF(ISERROR(VLOOKUP(CONCATENATE(C54,'Registrar recibidas_gastos'!D54),'CODIGO-LITERAL'!$C:$D,2,FALSE)),"",VLOOKUP(CONCATENATE(C54,'Registrar recibidas_gastos'!D54),'CODIGO-LITERAL'!$C:$D,2,FALSE)))</f>
        <v/>
      </c>
      <c r="E54" s="61" t="str">
        <f>IF('Registrar recibidas_gastos'!E54="","",'Registrar recibidas_gastos'!E54)</f>
        <v/>
      </c>
      <c r="F54" s="61" t="str">
        <f>IF('Registrar recibidas_gastos'!F54="","",VLOOKUP(CONCATENATE("TIPO FACTURA GASTO",'Registrar recibidas_gastos'!F54),'CODIGO-LITERAL'!$C:$D,2,FALSE))</f>
        <v/>
      </c>
      <c r="G54" s="62"/>
      <c r="H54" s="62"/>
      <c r="I54" s="67" t="str">
        <f>IF('Registrar recibidas_gastos'!I54="","",'Registrar recibidas_gastos'!I54)</f>
        <v/>
      </c>
      <c r="J54" s="67" t="str">
        <f>IF('Registrar recibidas_gastos'!J54="","",'Registrar recibidas_gastos'!J54)</f>
        <v/>
      </c>
      <c r="K54" s="61" t="str">
        <f>IF('Registrar recibidas_gastos'!K54="","",'Registrar recibidas_gastos'!K54)</f>
        <v/>
      </c>
      <c r="L54" s="61" t="str">
        <f>IF('Registrar recibidas_gastos'!L54="","",'Registrar recibidas_gastos'!L54)</f>
        <v/>
      </c>
      <c r="M54" s="67" t="str">
        <f>IF('Registrar recibidas_gastos'!M54="","",'Registrar recibidas_gastos'!M54)</f>
        <v/>
      </c>
      <c r="N54" s="61" t="str">
        <f>IF('Registrar recibidas_gastos'!N54="","",'Registrar recibidas_gastos'!N54)</f>
        <v/>
      </c>
      <c r="O54" s="61" t="str">
        <f>IF('Registrar recibidas_gastos'!O54="","",'Registrar recibidas_gastos'!O54)</f>
        <v/>
      </c>
      <c r="P54" s="61" t="str">
        <f>IF(OR(LEFT('Registrar recibidas_gastos'!P54,2)="01",'Registrar recibidas_gastos'!P54=""),"",VLOOKUP(CONCATENATE("TIPO NIF",'Registrar recibidas_gastos'!P54),'CODIGO-LITERAL'!$C:$D,2,FALSE))</f>
        <v/>
      </c>
      <c r="Q54" s="61" t="str">
        <f>IF('Registrar recibidas_gastos'!Q54="","",'Registrar recibidas_gastos'!Q54)</f>
        <v/>
      </c>
      <c r="R54" s="61" t="str">
        <f>IF('Registrar recibidas_gastos'!R54="","",'Registrar recibidas_gastos'!R54)</f>
        <v/>
      </c>
      <c r="S54" s="61" t="str">
        <f>IF('Registrar recibidas_gastos'!S54="","",'Registrar recibidas_gastos'!S54)</f>
        <v/>
      </c>
      <c r="T54" s="61" t="str">
        <f>IF('Registrar recibidas_gastos'!T54="","",VLOOKUP(CONCATENATE("CLAVE OPERACION GASTO",'Registrar recibidas_gastos'!T54),'CODIGO-LITERAL'!$C:$D,2,FALSE))</f>
        <v/>
      </c>
      <c r="U54" s="61" t="str">
        <f>IF(T54="","",IF(OR(T54="02",T54="08"),"N",IF('Registrar recibidas_gastos'!U54="","N",'Registrar recibidas_gastos'!U54)))</f>
        <v/>
      </c>
      <c r="V54" s="61" t="str">
        <f>IF(T54="","",IF(OR(T54="07",T54="08",T54="09",F54="F5",F54="LC"),"N",IF('Registrar recibidas_gastos'!V54="","N",'Registrar recibidas_gastos'!V54)))</f>
        <v/>
      </c>
      <c r="W54" s="61" t="str">
        <f>IF(AND(X54="",Y54=""),"",IF(AND(RECIBIDAS_GASTOS!$X54&lt;&gt;"",RECIBIDAS_GASTOS!$Y54&lt;&gt;""),"S",IF('Registrar recibidas_gastos'!W54="","N",'Registrar recibidas_gastos'!W54)))</f>
        <v/>
      </c>
      <c r="X54" s="67" t="str">
        <f>IF('Registrar recibidas_gastos'!X54="","",'Registrar recibidas_gastos'!X54)</f>
        <v/>
      </c>
      <c r="Y54" s="61" t="str">
        <f>IF('Registrar recibidas_gastos'!Y54="","",'Registrar recibidas_gastos'!Y54)</f>
        <v/>
      </c>
      <c r="Z54" s="68" t="str">
        <f>IF('Registrar recibidas_gastos'!Z54="","",IF(AND(F54="",T54=""),"",IF(OR(T54="03",T54="05",T54="09"),AA54,SUM(AA54,AC54,AF54))))</f>
        <v/>
      </c>
      <c r="AA54" s="68" t="str">
        <f>IF('Registrar recibidas_gastos'!AA54="","",ROUND('Registrar recibidas_gastos'!AA54,2))</f>
        <v/>
      </c>
      <c r="AB54" s="61" t="str">
        <f>IF('Registrar recibidas_gastos'!AB54="","",'Registrar recibidas_gastos'!AB54)</f>
        <v/>
      </c>
      <c r="AC54" s="68" t="str">
        <f>IF(OR(T54="03",T54="05"),0,IF('Registrar recibidas_gastos'!AC54="","",ROUND(AA54*AB54/100,2)))</f>
        <v/>
      </c>
      <c r="AD54" s="68" t="str">
        <f>IF('Registrar recibidas_gastos'!AD54="","",ROUND('Registrar recibidas_gastos'!AD54,2))</f>
        <v/>
      </c>
      <c r="AE54" s="61" t="str">
        <f>IF('Registrar recibidas_gastos'!AE54="","",'Registrar recibidas_gastos'!AE54)</f>
        <v/>
      </c>
      <c r="AF54" s="68" t="str">
        <f>IF('Registrar recibidas_gastos'!AF54="","",ROUND(AA54*AE54/100,2))</f>
        <v/>
      </c>
      <c r="AG54" s="67" t="str">
        <f>IF('Registrar recibidas_gastos'!AG54="","",'Registrar recibidas_gastos'!AG54)</f>
        <v/>
      </c>
      <c r="AH54" s="68" t="str">
        <f>IF('Registrar recibidas_gastos'!AH54="","",'Registrar recibidas_gastos'!AH54)</f>
        <v/>
      </c>
      <c r="AI54" s="61" t="str">
        <f>IF('Registrar recibidas_gastos'!AI54="","",VLOOKUP(CONCATENATE("MEDIO UTILIZADO",'Registrar recibidas_gastos'!AI54),'CODIGO-LITERAL'!$C:$D,2,FALSE))</f>
        <v/>
      </c>
      <c r="AJ54" s="61" t="str">
        <f>IF('Registrar recibidas_gastos'!AJ54="","",'Registrar recibidas_gastos'!AJ54)</f>
        <v/>
      </c>
      <c r="AK54" s="62"/>
      <c r="AL54" s="69"/>
      <c r="AM54" s="61" t="str">
        <f>IF('Registrar recibidas_gastos'!AM54="","",'Registrar recibidas_gastos'!AM54)</f>
        <v/>
      </c>
      <c r="AN54" s="61" t="str">
        <f>IF('Registrar recibidas_gastos'!AN54="","",VLOOKUP(CONCATENATE("SITUACION",'Registrar recibidas_gastos'!AN54),'CODIGO-LITERAL'!$C:$D,2,FALSE))</f>
        <v/>
      </c>
      <c r="AO54" s="61" t="str">
        <f>IF('Registrar recibidas_gastos'!AO54="","",'Registrar recibidas_gastos'!AO54)</f>
        <v/>
      </c>
      <c r="AP54" s="61" t="str">
        <f>IF('Registrar recibidas_gastos'!AP54="","",'Registrar recibidas_gastos'!AP54)</f>
        <v/>
      </c>
    </row>
    <row r="55" spans="1:42" x14ac:dyDescent="0.25">
      <c r="A55" s="66" t="str">
        <f>IF('Registrar recibidas_gastos'!A55="","",'Registrar recibidas_gastos'!A55)</f>
        <v/>
      </c>
      <c r="B55" s="61" t="str">
        <f>IF('Registrar recibidas_gastos'!B55="","",'Registrar recibidas_gastos'!B55)</f>
        <v/>
      </c>
      <c r="C55" s="61" t="str">
        <f>IF('Registrar recibidas_gastos'!C55="","",VLOOKUP(CONCATENATE("ACTIVIDAD",'Registrar recibidas_gastos'!C55),'CODIGO-LITERAL'!$C:$D,2,FALSE))</f>
        <v/>
      </c>
      <c r="D55" s="60" t="str">
        <f>IF(OR(C55="C",C55="D"),"",IF(ISERROR(VLOOKUP(CONCATENATE(C55,'Registrar recibidas_gastos'!D55),'CODIGO-LITERAL'!$C:$D,2,FALSE)),"",VLOOKUP(CONCATENATE(C55,'Registrar recibidas_gastos'!D55),'CODIGO-LITERAL'!$C:$D,2,FALSE)))</f>
        <v/>
      </c>
      <c r="E55" s="61" t="str">
        <f>IF('Registrar recibidas_gastos'!E55="","",'Registrar recibidas_gastos'!E55)</f>
        <v/>
      </c>
      <c r="F55" s="61" t="str">
        <f>IF('Registrar recibidas_gastos'!F55="","",VLOOKUP(CONCATENATE("TIPO FACTURA GASTO",'Registrar recibidas_gastos'!F55),'CODIGO-LITERAL'!$C:$D,2,FALSE))</f>
        <v/>
      </c>
      <c r="G55" s="62"/>
      <c r="H55" s="62"/>
      <c r="I55" s="67" t="str">
        <f>IF('Registrar recibidas_gastos'!I55="","",'Registrar recibidas_gastos'!I55)</f>
        <v/>
      </c>
      <c r="J55" s="67" t="str">
        <f>IF('Registrar recibidas_gastos'!J55="","",'Registrar recibidas_gastos'!J55)</f>
        <v/>
      </c>
      <c r="K55" s="61" t="str">
        <f>IF('Registrar recibidas_gastos'!K55="","",'Registrar recibidas_gastos'!K55)</f>
        <v/>
      </c>
      <c r="L55" s="61" t="str">
        <f>IF('Registrar recibidas_gastos'!L55="","",'Registrar recibidas_gastos'!L55)</f>
        <v/>
      </c>
      <c r="M55" s="67" t="str">
        <f>IF('Registrar recibidas_gastos'!M55="","",'Registrar recibidas_gastos'!M55)</f>
        <v/>
      </c>
      <c r="N55" s="61" t="str">
        <f>IF('Registrar recibidas_gastos'!N55="","",'Registrar recibidas_gastos'!N55)</f>
        <v/>
      </c>
      <c r="O55" s="61" t="str">
        <f>IF('Registrar recibidas_gastos'!O55="","",'Registrar recibidas_gastos'!O55)</f>
        <v/>
      </c>
      <c r="P55" s="61" t="str">
        <f>IF(OR(LEFT('Registrar recibidas_gastos'!P55,2)="01",'Registrar recibidas_gastos'!P55=""),"",VLOOKUP(CONCATENATE("TIPO NIF",'Registrar recibidas_gastos'!P55),'CODIGO-LITERAL'!$C:$D,2,FALSE))</f>
        <v/>
      </c>
      <c r="Q55" s="61" t="str">
        <f>IF('Registrar recibidas_gastos'!Q55="","",'Registrar recibidas_gastos'!Q55)</f>
        <v/>
      </c>
      <c r="R55" s="61" t="str">
        <f>IF('Registrar recibidas_gastos'!R55="","",'Registrar recibidas_gastos'!R55)</f>
        <v/>
      </c>
      <c r="S55" s="61" t="str">
        <f>IF('Registrar recibidas_gastos'!S55="","",'Registrar recibidas_gastos'!S55)</f>
        <v/>
      </c>
      <c r="T55" s="61" t="str">
        <f>IF('Registrar recibidas_gastos'!T55="","",VLOOKUP(CONCATENATE("CLAVE OPERACION GASTO",'Registrar recibidas_gastos'!T55),'CODIGO-LITERAL'!$C:$D,2,FALSE))</f>
        <v/>
      </c>
      <c r="U55" s="61" t="str">
        <f>IF(T55="","",IF(OR(T55="02",T55="08"),"N",IF('Registrar recibidas_gastos'!U55="","N",'Registrar recibidas_gastos'!U55)))</f>
        <v/>
      </c>
      <c r="V55" s="61" t="str">
        <f>IF(T55="","",IF(OR(T55="07",T55="08",T55="09",F55="F5",F55="LC"),"N",IF('Registrar recibidas_gastos'!V55="","N",'Registrar recibidas_gastos'!V55)))</f>
        <v/>
      </c>
      <c r="W55" s="61" t="str">
        <f>IF(AND(X55="",Y55=""),"",IF(AND(RECIBIDAS_GASTOS!$X55&lt;&gt;"",RECIBIDAS_GASTOS!$Y55&lt;&gt;""),"S",IF('Registrar recibidas_gastos'!W55="","N",'Registrar recibidas_gastos'!W55)))</f>
        <v/>
      </c>
      <c r="X55" s="67" t="str">
        <f>IF('Registrar recibidas_gastos'!X55="","",'Registrar recibidas_gastos'!X55)</f>
        <v/>
      </c>
      <c r="Y55" s="61" t="str">
        <f>IF('Registrar recibidas_gastos'!Y55="","",'Registrar recibidas_gastos'!Y55)</f>
        <v/>
      </c>
      <c r="Z55" s="68" t="str">
        <f>IF('Registrar recibidas_gastos'!Z55="","",IF(AND(F55="",T55=""),"",IF(OR(T55="03",T55="05",T55="09"),AA55,SUM(AA55,AC55,AF55))))</f>
        <v/>
      </c>
      <c r="AA55" s="68" t="str">
        <f>IF('Registrar recibidas_gastos'!AA55="","",ROUND('Registrar recibidas_gastos'!AA55,2))</f>
        <v/>
      </c>
      <c r="AB55" s="61" t="str">
        <f>IF('Registrar recibidas_gastos'!AB55="","",'Registrar recibidas_gastos'!AB55)</f>
        <v/>
      </c>
      <c r="AC55" s="68" t="str">
        <f>IF(OR(T55="03",T55="05"),0,IF('Registrar recibidas_gastos'!AC55="","",ROUND(AA55*AB55/100,2)))</f>
        <v/>
      </c>
      <c r="AD55" s="68" t="str">
        <f>IF('Registrar recibidas_gastos'!AD55="","",ROUND('Registrar recibidas_gastos'!AD55,2))</f>
        <v/>
      </c>
      <c r="AE55" s="61" t="str">
        <f>IF('Registrar recibidas_gastos'!AE55="","",'Registrar recibidas_gastos'!AE55)</f>
        <v/>
      </c>
      <c r="AF55" s="68" t="str">
        <f>IF('Registrar recibidas_gastos'!AF55="","",ROUND(AA55*AE55/100,2))</f>
        <v/>
      </c>
      <c r="AG55" s="67" t="str">
        <f>IF('Registrar recibidas_gastos'!AG55="","",'Registrar recibidas_gastos'!AG55)</f>
        <v/>
      </c>
      <c r="AH55" s="68" t="str">
        <f>IF('Registrar recibidas_gastos'!AH55="","",'Registrar recibidas_gastos'!AH55)</f>
        <v/>
      </c>
      <c r="AI55" s="61" t="str">
        <f>IF('Registrar recibidas_gastos'!AI55="","",VLOOKUP(CONCATENATE("MEDIO UTILIZADO",'Registrar recibidas_gastos'!AI55),'CODIGO-LITERAL'!$C:$D,2,FALSE))</f>
        <v/>
      </c>
      <c r="AJ55" s="61" t="str">
        <f>IF('Registrar recibidas_gastos'!AJ55="","",'Registrar recibidas_gastos'!AJ55)</f>
        <v/>
      </c>
      <c r="AK55" s="62"/>
      <c r="AL55" s="69"/>
      <c r="AM55" s="61" t="str">
        <f>IF('Registrar recibidas_gastos'!AM55="","",'Registrar recibidas_gastos'!AM55)</f>
        <v/>
      </c>
      <c r="AN55" s="61" t="str">
        <f>IF('Registrar recibidas_gastos'!AN55="","",VLOOKUP(CONCATENATE("SITUACION",'Registrar recibidas_gastos'!AN55),'CODIGO-LITERAL'!$C:$D,2,FALSE))</f>
        <v/>
      </c>
      <c r="AO55" s="61" t="str">
        <f>IF('Registrar recibidas_gastos'!AO55="","",'Registrar recibidas_gastos'!AO55)</f>
        <v/>
      </c>
      <c r="AP55" s="61" t="str">
        <f>IF('Registrar recibidas_gastos'!AP55="","",'Registrar recibidas_gastos'!AP55)</f>
        <v/>
      </c>
    </row>
    <row r="56" spans="1:42" x14ac:dyDescent="0.25">
      <c r="A56" s="66" t="str">
        <f>IF('Registrar recibidas_gastos'!A56="","",'Registrar recibidas_gastos'!A56)</f>
        <v/>
      </c>
      <c r="B56" s="61" t="str">
        <f>IF('Registrar recibidas_gastos'!B56="","",'Registrar recibidas_gastos'!B56)</f>
        <v/>
      </c>
      <c r="C56" s="61" t="str">
        <f>IF('Registrar recibidas_gastos'!C56="","",VLOOKUP(CONCATENATE("ACTIVIDAD",'Registrar recibidas_gastos'!C56),'CODIGO-LITERAL'!$C:$D,2,FALSE))</f>
        <v/>
      </c>
      <c r="D56" s="60" t="str">
        <f>IF(OR(C56="C",C56="D"),"",IF(ISERROR(VLOOKUP(CONCATENATE(C56,'Registrar recibidas_gastos'!D56),'CODIGO-LITERAL'!$C:$D,2,FALSE)),"",VLOOKUP(CONCATENATE(C56,'Registrar recibidas_gastos'!D56),'CODIGO-LITERAL'!$C:$D,2,FALSE)))</f>
        <v/>
      </c>
      <c r="E56" s="61" t="str">
        <f>IF('Registrar recibidas_gastos'!E56="","",'Registrar recibidas_gastos'!E56)</f>
        <v/>
      </c>
      <c r="F56" s="61" t="str">
        <f>IF('Registrar recibidas_gastos'!F56="","",VLOOKUP(CONCATENATE("TIPO FACTURA GASTO",'Registrar recibidas_gastos'!F56),'CODIGO-LITERAL'!$C:$D,2,FALSE))</f>
        <v/>
      </c>
      <c r="G56" s="62"/>
      <c r="H56" s="62"/>
      <c r="I56" s="67" t="str">
        <f>IF('Registrar recibidas_gastos'!I56="","",'Registrar recibidas_gastos'!I56)</f>
        <v/>
      </c>
      <c r="J56" s="67" t="str">
        <f>IF('Registrar recibidas_gastos'!J56="","",'Registrar recibidas_gastos'!J56)</f>
        <v/>
      </c>
      <c r="K56" s="61" t="str">
        <f>IF('Registrar recibidas_gastos'!K56="","",'Registrar recibidas_gastos'!K56)</f>
        <v/>
      </c>
      <c r="L56" s="61" t="str">
        <f>IF('Registrar recibidas_gastos'!L56="","",'Registrar recibidas_gastos'!L56)</f>
        <v/>
      </c>
      <c r="M56" s="67" t="str">
        <f>IF('Registrar recibidas_gastos'!M56="","",'Registrar recibidas_gastos'!M56)</f>
        <v/>
      </c>
      <c r="N56" s="61" t="str">
        <f>IF('Registrar recibidas_gastos'!N56="","",'Registrar recibidas_gastos'!N56)</f>
        <v/>
      </c>
      <c r="O56" s="61" t="str">
        <f>IF('Registrar recibidas_gastos'!O56="","",'Registrar recibidas_gastos'!O56)</f>
        <v/>
      </c>
      <c r="P56" s="61" t="str">
        <f>IF(OR(LEFT('Registrar recibidas_gastos'!P56,2)="01",'Registrar recibidas_gastos'!P56=""),"",VLOOKUP(CONCATENATE("TIPO NIF",'Registrar recibidas_gastos'!P56),'CODIGO-LITERAL'!$C:$D,2,FALSE))</f>
        <v/>
      </c>
      <c r="Q56" s="61" t="str">
        <f>IF('Registrar recibidas_gastos'!Q56="","",'Registrar recibidas_gastos'!Q56)</f>
        <v/>
      </c>
      <c r="R56" s="61" t="str">
        <f>IF('Registrar recibidas_gastos'!R56="","",'Registrar recibidas_gastos'!R56)</f>
        <v/>
      </c>
      <c r="S56" s="61" t="str">
        <f>IF('Registrar recibidas_gastos'!S56="","",'Registrar recibidas_gastos'!S56)</f>
        <v/>
      </c>
      <c r="T56" s="61" t="str">
        <f>IF('Registrar recibidas_gastos'!T56="","",VLOOKUP(CONCATENATE("CLAVE OPERACION GASTO",'Registrar recibidas_gastos'!T56),'CODIGO-LITERAL'!$C:$D,2,FALSE))</f>
        <v/>
      </c>
      <c r="U56" s="61" t="str">
        <f>IF(T56="","",IF(OR(T56="02",T56="08"),"N",IF('Registrar recibidas_gastos'!U56="","N",'Registrar recibidas_gastos'!U56)))</f>
        <v/>
      </c>
      <c r="V56" s="61" t="str">
        <f>IF(T56="","",IF(OR(T56="07",T56="08",T56="09",F56="F5",F56="LC"),"N",IF('Registrar recibidas_gastos'!V56="","N",'Registrar recibidas_gastos'!V56)))</f>
        <v/>
      </c>
      <c r="W56" s="61" t="str">
        <f>IF(AND(X56="",Y56=""),"",IF(AND(RECIBIDAS_GASTOS!$X56&lt;&gt;"",RECIBIDAS_GASTOS!$Y56&lt;&gt;""),"S",IF('Registrar recibidas_gastos'!W56="","N",'Registrar recibidas_gastos'!W56)))</f>
        <v/>
      </c>
      <c r="X56" s="67" t="str">
        <f>IF('Registrar recibidas_gastos'!X56="","",'Registrar recibidas_gastos'!X56)</f>
        <v/>
      </c>
      <c r="Y56" s="61" t="str">
        <f>IF('Registrar recibidas_gastos'!Y56="","",'Registrar recibidas_gastos'!Y56)</f>
        <v/>
      </c>
      <c r="Z56" s="68" t="str">
        <f>IF('Registrar recibidas_gastos'!Z56="","",IF(AND(F56="",T56=""),"",IF(OR(T56="03",T56="05",T56="09"),AA56,SUM(AA56,AC56,AF56))))</f>
        <v/>
      </c>
      <c r="AA56" s="68" t="str">
        <f>IF('Registrar recibidas_gastos'!AA56="","",ROUND('Registrar recibidas_gastos'!AA56,2))</f>
        <v/>
      </c>
      <c r="AB56" s="61" t="str">
        <f>IF('Registrar recibidas_gastos'!AB56="","",'Registrar recibidas_gastos'!AB56)</f>
        <v/>
      </c>
      <c r="AC56" s="68" t="str">
        <f>IF(OR(T56="03",T56="05"),0,IF('Registrar recibidas_gastos'!AC56="","",ROUND(AA56*AB56/100,2)))</f>
        <v/>
      </c>
      <c r="AD56" s="68" t="str">
        <f>IF('Registrar recibidas_gastos'!AD56="","",ROUND('Registrar recibidas_gastos'!AD56,2))</f>
        <v/>
      </c>
      <c r="AE56" s="61" t="str">
        <f>IF('Registrar recibidas_gastos'!AE56="","",'Registrar recibidas_gastos'!AE56)</f>
        <v/>
      </c>
      <c r="AF56" s="68" t="str">
        <f>IF('Registrar recibidas_gastos'!AF56="","",ROUND(AA56*AE56/100,2))</f>
        <v/>
      </c>
      <c r="AG56" s="67" t="str">
        <f>IF('Registrar recibidas_gastos'!AG56="","",'Registrar recibidas_gastos'!AG56)</f>
        <v/>
      </c>
      <c r="AH56" s="68" t="str">
        <f>IF('Registrar recibidas_gastos'!AH56="","",'Registrar recibidas_gastos'!AH56)</f>
        <v/>
      </c>
      <c r="AI56" s="61" t="str">
        <f>IF('Registrar recibidas_gastos'!AI56="","",VLOOKUP(CONCATENATE("MEDIO UTILIZADO",'Registrar recibidas_gastos'!AI56),'CODIGO-LITERAL'!$C:$D,2,FALSE))</f>
        <v/>
      </c>
      <c r="AJ56" s="61" t="str">
        <f>IF('Registrar recibidas_gastos'!AJ56="","",'Registrar recibidas_gastos'!AJ56)</f>
        <v/>
      </c>
      <c r="AK56" s="62"/>
      <c r="AL56" s="69"/>
      <c r="AM56" s="61" t="str">
        <f>IF('Registrar recibidas_gastos'!AM56="","",'Registrar recibidas_gastos'!AM56)</f>
        <v/>
      </c>
      <c r="AN56" s="61" t="str">
        <f>IF('Registrar recibidas_gastos'!AN56="","",VLOOKUP(CONCATENATE("SITUACION",'Registrar recibidas_gastos'!AN56),'CODIGO-LITERAL'!$C:$D,2,FALSE))</f>
        <v/>
      </c>
      <c r="AO56" s="61" t="str">
        <f>IF('Registrar recibidas_gastos'!AO56="","",'Registrar recibidas_gastos'!AO56)</f>
        <v/>
      </c>
      <c r="AP56" s="61" t="str">
        <f>IF('Registrar recibidas_gastos'!AP56="","",'Registrar recibidas_gastos'!AP56)</f>
        <v/>
      </c>
    </row>
    <row r="57" spans="1:42" x14ac:dyDescent="0.25">
      <c r="A57" s="66" t="str">
        <f>IF('Registrar recibidas_gastos'!A57="","",'Registrar recibidas_gastos'!A57)</f>
        <v/>
      </c>
      <c r="B57" s="61" t="str">
        <f>IF('Registrar recibidas_gastos'!B57="","",'Registrar recibidas_gastos'!B57)</f>
        <v/>
      </c>
      <c r="C57" s="61" t="str">
        <f>IF('Registrar recibidas_gastos'!C57="","",VLOOKUP(CONCATENATE("ACTIVIDAD",'Registrar recibidas_gastos'!C57),'CODIGO-LITERAL'!$C:$D,2,FALSE))</f>
        <v/>
      </c>
      <c r="D57" s="60" t="str">
        <f>IF(OR(C57="C",C57="D"),"",IF(ISERROR(VLOOKUP(CONCATENATE(C57,'Registrar recibidas_gastos'!D57),'CODIGO-LITERAL'!$C:$D,2,FALSE)),"",VLOOKUP(CONCATENATE(C57,'Registrar recibidas_gastos'!D57),'CODIGO-LITERAL'!$C:$D,2,FALSE)))</f>
        <v/>
      </c>
      <c r="E57" s="61" t="str">
        <f>IF('Registrar recibidas_gastos'!E57="","",'Registrar recibidas_gastos'!E57)</f>
        <v/>
      </c>
      <c r="F57" s="61" t="str">
        <f>IF('Registrar recibidas_gastos'!F57="","",VLOOKUP(CONCATENATE("TIPO FACTURA GASTO",'Registrar recibidas_gastos'!F57),'CODIGO-LITERAL'!$C:$D,2,FALSE))</f>
        <v/>
      </c>
      <c r="G57" s="62"/>
      <c r="H57" s="62"/>
      <c r="I57" s="67" t="str">
        <f>IF('Registrar recibidas_gastos'!I57="","",'Registrar recibidas_gastos'!I57)</f>
        <v/>
      </c>
      <c r="J57" s="67" t="str">
        <f>IF('Registrar recibidas_gastos'!J57="","",'Registrar recibidas_gastos'!J57)</f>
        <v/>
      </c>
      <c r="K57" s="61" t="str">
        <f>IF('Registrar recibidas_gastos'!K57="","",'Registrar recibidas_gastos'!K57)</f>
        <v/>
      </c>
      <c r="L57" s="61" t="str">
        <f>IF('Registrar recibidas_gastos'!L57="","",'Registrar recibidas_gastos'!L57)</f>
        <v/>
      </c>
      <c r="M57" s="67" t="str">
        <f>IF('Registrar recibidas_gastos'!M57="","",'Registrar recibidas_gastos'!M57)</f>
        <v/>
      </c>
      <c r="N57" s="61" t="str">
        <f>IF('Registrar recibidas_gastos'!N57="","",'Registrar recibidas_gastos'!N57)</f>
        <v/>
      </c>
      <c r="O57" s="61" t="str">
        <f>IF('Registrar recibidas_gastos'!O57="","",'Registrar recibidas_gastos'!O57)</f>
        <v/>
      </c>
      <c r="P57" s="61" t="str">
        <f>IF(OR(LEFT('Registrar recibidas_gastos'!P57,2)="01",'Registrar recibidas_gastos'!P57=""),"",VLOOKUP(CONCATENATE("TIPO NIF",'Registrar recibidas_gastos'!P57),'CODIGO-LITERAL'!$C:$D,2,FALSE))</f>
        <v/>
      </c>
      <c r="Q57" s="61" t="str">
        <f>IF('Registrar recibidas_gastos'!Q57="","",'Registrar recibidas_gastos'!Q57)</f>
        <v/>
      </c>
      <c r="R57" s="61" t="str">
        <f>IF('Registrar recibidas_gastos'!R57="","",'Registrar recibidas_gastos'!R57)</f>
        <v/>
      </c>
      <c r="S57" s="61" t="str">
        <f>IF('Registrar recibidas_gastos'!S57="","",'Registrar recibidas_gastos'!S57)</f>
        <v/>
      </c>
      <c r="T57" s="61" t="str">
        <f>IF('Registrar recibidas_gastos'!T57="","",VLOOKUP(CONCATENATE("CLAVE OPERACION GASTO",'Registrar recibidas_gastos'!T57),'CODIGO-LITERAL'!$C:$D,2,FALSE))</f>
        <v/>
      </c>
      <c r="U57" s="61" t="str">
        <f>IF(T57="","",IF(OR(T57="02",T57="08"),"N",IF('Registrar recibidas_gastos'!U57="","N",'Registrar recibidas_gastos'!U57)))</f>
        <v/>
      </c>
      <c r="V57" s="61" t="str">
        <f>IF(T57="","",IF(OR(T57="07",T57="08",T57="09",F57="F5",F57="LC"),"N",IF('Registrar recibidas_gastos'!V57="","N",'Registrar recibidas_gastos'!V57)))</f>
        <v/>
      </c>
      <c r="W57" s="61" t="str">
        <f>IF(AND(X57="",Y57=""),"",IF(AND(RECIBIDAS_GASTOS!$X57&lt;&gt;"",RECIBIDAS_GASTOS!$Y57&lt;&gt;""),"S",IF('Registrar recibidas_gastos'!W57="","N",'Registrar recibidas_gastos'!W57)))</f>
        <v/>
      </c>
      <c r="X57" s="67" t="str">
        <f>IF('Registrar recibidas_gastos'!X57="","",'Registrar recibidas_gastos'!X57)</f>
        <v/>
      </c>
      <c r="Y57" s="61" t="str">
        <f>IF('Registrar recibidas_gastos'!Y57="","",'Registrar recibidas_gastos'!Y57)</f>
        <v/>
      </c>
      <c r="Z57" s="68" t="str">
        <f>IF('Registrar recibidas_gastos'!Z57="","",IF(AND(F57="",T57=""),"",IF(OR(T57="03",T57="05",T57="09"),AA57,SUM(AA57,AC57,AF57))))</f>
        <v/>
      </c>
      <c r="AA57" s="68" t="str">
        <f>IF('Registrar recibidas_gastos'!AA57="","",ROUND('Registrar recibidas_gastos'!AA57,2))</f>
        <v/>
      </c>
      <c r="AB57" s="61" t="str">
        <f>IF('Registrar recibidas_gastos'!AB57="","",'Registrar recibidas_gastos'!AB57)</f>
        <v/>
      </c>
      <c r="AC57" s="68" t="str">
        <f>IF(OR(T57="03",T57="05"),0,IF('Registrar recibidas_gastos'!AC57="","",ROUND(AA57*AB57/100,2)))</f>
        <v/>
      </c>
      <c r="AD57" s="68" t="str">
        <f>IF('Registrar recibidas_gastos'!AD57="","",ROUND('Registrar recibidas_gastos'!AD57,2))</f>
        <v/>
      </c>
      <c r="AE57" s="61" t="str">
        <f>IF('Registrar recibidas_gastos'!AE57="","",'Registrar recibidas_gastos'!AE57)</f>
        <v/>
      </c>
      <c r="AF57" s="68" t="str">
        <f>IF('Registrar recibidas_gastos'!AF57="","",ROUND(AA57*AE57/100,2))</f>
        <v/>
      </c>
      <c r="AG57" s="67" t="str">
        <f>IF('Registrar recibidas_gastos'!AG57="","",'Registrar recibidas_gastos'!AG57)</f>
        <v/>
      </c>
      <c r="AH57" s="68" t="str">
        <f>IF('Registrar recibidas_gastos'!AH57="","",'Registrar recibidas_gastos'!AH57)</f>
        <v/>
      </c>
      <c r="AI57" s="61" t="str">
        <f>IF('Registrar recibidas_gastos'!AI57="","",VLOOKUP(CONCATENATE("MEDIO UTILIZADO",'Registrar recibidas_gastos'!AI57),'CODIGO-LITERAL'!$C:$D,2,FALSE))</f>
        <v/>
      </c>
      <c r="AJ57" s="61" t="str">
        <f>IF('Registrar recibidas_gastos'!AJ57="","",'Registrar recibidas_gastos'!AJ57)</f>
        <v/>
      </c>
      <c r="AK57" s="62"/>
      <c r="AL57" s="69"/>
      <c r="AM57" s="61" t="str">
        <f>IF('Registrar recibidas_gastos'!AM57="","",'Registrar recibidas_gastos'!AM57)</f>
        <v/>
      </c>
      <c r="AN57" s="61" t="str">
        <f>IF('Registrar recibidas_gastos'!AN57="","",VLOOKUP(CONCATENATE("SITUACION",'Registrar recibidas_gastos'!AN57),'CODIGO-LITERAL'!$C:$D,2,FALSE))</f>
        <v/>
      </c>
      <c r="AO57" s="61" t="str">
        <f>IF('Registrar recibidas_gastos'!AO57="","",'Registrar recibidas_gastos'!AO57)</f>
        <v/>
      </c>
      <c r="AP57" s="61" t="str">
        <f>IF('Registrar recibidas_gastos'!AP57="","",'Registrar recibidas_gastos'!AP57)</f>
        <v/>
      </c>
    </row>
    <row r="58" spans="1:42" x14ac:dyDescent="0.25">
      <c r="A58" s="66" t="str">
        <f>IF('Registrar recibidas_gastos'!A58="","",'Registrar recibidas_gastos'!A58)</f>
        <v/>
      </c>
      <c r="B58" s="61" t="str">
        <f>IF('Registrar recibidas_gastos'!B58="","",'Registrar recibidas_gastos'!B58)</f>
        <v/>
      </c>
      <c r="C58" s="61" t="str">
        <f>IF('Registrar recibidas_gastos'!C58="","",VLOOKUP(CONCATENATE("ACTIVIDAD",'Registrar recibidas_gastos'!C58),'CODIGO-LITERAL'!$C:$D,2,FALSE))</f>
        <v/>
      </c>
      <c r="D58" s="60" t="str">
        <f>IF(OR(C58="C",C58="D"),"",IF(ISERROR(VLOOKUP(CONCATENATE(C58,'Registrar recibidas_gastos'!D58),'CODIGO-LITERAL'!$C:$D,2,FALSE)),"",VLOOKUP(CONCATENATE(C58,'Registrar recibidas_gastos'!D58),'CODIGO-LITERAL'!$C:$D,2,FALSE)))</f>
        <v/>
      </c>
      <c r="E58" s="61" t="str">
        <f>IF('Registrar recibidas_gastos'!E58="","",'Registrar recibidas_gastos'!E58)</f>
        <v/>
      </c>
      <c r="F58" s="61" t="str">
        <f>IF('Registrar recibidas_gastos'!F58="","",VLOOKUP(CONCATENATE("TIPO FACTURA GASTO",'Registrar recibidas_gastos'!F58),'CODIGO-LITERAL'!$C:$D,2,FALSE))</f>
        <v/>
      </c>
      <c r="G58" s="62"/>
      <c r="H58" s="62"/>
      <c r="I58" s="67" t="str">
        <f>IF('Registrar recibidas_gastos'!I58="","",'Registrar recibidas_gastos'!I58)</f>
        <v/>
      </c>
      <c r="J58" s="67" t="str">
        <f>IF('Registrar recibidas_gastos'!J58="","",'Registrar recibidas_gastos'!J58)</f>
        <v/>
      </c>
      <c r="K58" s="61" t="str">
        <f>IF('Registrar recibidas_gastos'!K58="","",'Registrar recibidas_gastos'!K58)</f>
        <v/>
      </c>
      <c r="L58" s="61" t="str">
        <f>IF('Registrar recibidas_gastos'!L58="","",'Registrar recibidas_gastos'!L58)</f>
        <v/>
      </c>
      <c r="M58" s="67" t="str">
        <f>IF('Registrar recibidas_gastos'!M58="","",'Registrar recibidas_gastos'!M58)</f>
        <v/>
      </c>
      <c r="N58" s="61" t="str">
        <f>IF('Registrar recibidas_gastos'!N58="","",'Registrar recibidas_gastos'!N58)</f>
        <v/>
      </c>
      <c r="O58" s="61" t="str">
        <f>IF('Registrar recibidas_gastos'!O58="","",'Registrar recibidas_gastos'!O58)</f>
        <v/>
      </c>
      <c r="P58" s="61" t="str">
        <f>IF(OR(LEFT('Registrar recibidas_gastos'!P58,2)="01",'Registrar recibidas_gastos'!P58=""),"",VLOOKUP(CONCATENATE("TIPO NIF",'Registrar recibidas_gastos'!P58),'CODIGO-LITERAL'!$C:$D,2,FALSE))</f>
        <v/>
      </c>
      <c r="Q58" s="61" t="str">
        <f>IF('Registrar recibidas_gastos'!Q58="","",'Registrar recibidas_gastos'!Q58)</f>
        <v/>
      </c>
      <c r="R58" s="61" t="str">
        <f>IF('Registrar recibidas_gastos'!R58="","",'Registrar recibidas_gastos'!R58)</f>
        <v/>
      </c>
      <c r="S58" s="61" t="str">
        <f>IF('Registrar recibidas_gastos'!S58="","",'Registrar recibidas_gastos'!S58)</f>
        <v/>
      </c>
      <c r="T58" s="61" t="str">
        <f>IF('Registrar recibidas_gastos'!T58="","",VLOOKUP(CONCATENATE("CLAVE OPERACION GASTO",'Registrar recibidas_gastos'!T58),'CODIGO-LITERAL'!$C:$D,2,FALSE))</f>
        <v/>
      </c>
      <c r="U58" s="61" t="str">
        <f>IF(T58="","",IF(OR(T58="02",T58="08"),"N",IF('Registrar recibidas_gastos'!U58="","N",'Registrar recibidas_gastos'!U58)))</f>
        <v/>
      </c>
      <c r="V58" s="61" t="str">
        <f>IF(T58="","",IF(OR(T58="07",T58="08",T58="09",F58="F5",F58="LC"),"N",IF('Registrar recibidas_gastos'!V58="","N",'Registrar recibidas_gastos'!V58)))</f>
        <v/>
      </c>
      <c r="W58" s="61" t="str">
        <f>IF(AND(X58="",Y58=""),"",IF(AND(RECIBIDAS_GASTOS!$X58&lt;&gt;"",RECIBIDAS_GASTOS!$Y58&lt;&gt;""),"S",IF('Registrar recibidas_gastos'!W58="","N",'Registrar recibidas_gastos'!W58)))</f>
        <v/>
      </c>
      <c r="X58" s="67" t="str">
        <f>IF('Registrar recibidas_gastos'!X58="","",'Registrar recibidas_gastos'!X58)</f>
        <v/>
      </c>
      <c r="Y58" s="61" t="str">
        <f>IF('Registrar recibidas_gastos'!Y58="","",'Registrar recibidas_gastos'!Y58)</f>
        <v/>
      </c>
      <c r="Z58" s="68" t="str">
        <f>IF('Registrar recibidas_gastos'!Z58="","",IF(AND(F58="",T58=""),"",IF(OR(T58="03",T58="05",T58="09"),AA58,SUM(AA58,AC58,AF58))))</f>
        <v/>
      </c>
      <c r="AA58" s="68" t="str">
        <f>IF('Registrar recibidas_gastos'!AA58="","",ROUND('Registrar recibidas_gastos'!AA58,2))</f>
        <v/>
      </c>
      <c r="AB58" s="61" t="str">
        <f>IF('Registrar recibidas_gastos'!AB58="","",'Registrar recibidas_gastos'!AB58)</f>
        <v/>
      </c>
      <c r="AC58" s="68" t="str">
        <f>IF(OR(T58="03",T58="05"),0,IF('Registrar recibidas_gastos'!AC58="","",ROUND(AA58*AB58/100,2)))</f>
        <v/>
      </c>
      <c r="AD58" s="68" t="str">
        <f>IF('Registrar recibidas_gastos'!AD58="","",ROUND('Registrar recibidas_gastos'!AD58,2))</f>
        <v/>
      </c>
      <c r="AE58" s="61" t="str">
        <f>IF('Registrar recibidas_gastos'!AE58="","",'Registrar recibidas_gastos'!AE58)</f>
        <v/>
      </c>
      <c r="AF58" s="68" t="str">
        <f>IF('Registrar recibidas_gastos'!AF58="","",ROUND(AA58*AE58/100,2))</f>
        <v/>
      </c>
      <c r="AG58" s="67" t="str">
        <f>IF('Registrar recibidas_gastos'!AG58="","",'Registrar recibidas_gastos'!AG58)</f>
        <v/>
      </c>
      <c r="AH58" s="68" t="str">
        <f>IF('Registrar recibidas_gastos'!AH58="","",'Registrar recibidas_gastos'!AH58)</f>
        <v/>
      </c>
      <c r="AI58" s="61" t="str">
        <f>IF('Registrar recibidas_gastos'!AI58="","",VLOOKUP(CONCATENATE("MEDIO UTILIZADO",'Registrar recibidas_gastos'!AI58),'CODIGO-LITERAL'!$C:$D,2,FALSE))</f>
        <v/>
      </c>
      <c r="AJ58" s="61" t="str">
        <f>IF('Registrar recibidas_gastos'!AJ58="","",'Registrar recibidas_gastos'!AJ58)</f>
        <v/>
      </c>
      <c r="AK58" s="62"/>
      <c r="AL58" s="69"/>
      <c r="AM58" s="61" t="str">
        <f>IF('Registrar recibidas_gastos'!AM58="","",'Registrar recibidas_gastos'!AM58)</f>
        <v/>
      </c>
      <c r="AN58" s="61" t="str">
        <f>IF('Registrar recibidas_gastos'!AN58="","",VLOOKUP(CONCATENATE("SITUACION",'Registrar recibidas_gastos'!AN58),'CODIGO-LITERAL'!$C:$D,2,FALSE))</f>
        <v/>
      </c>
      <c r="AO58" s="61" t="str">
        <f>IF('Registrar recibidas_gastos'!AO58="","",'Registrar recibidas_gastos'!AO58)</f>
        <v/>
      </c>
      <c r="AP58" s="61" t="str">
        <f>IF('Registrar recibidas_gastos'!AP58="","",'Registrar recibidas_gastos'!AP58)</f>
        <v/>
      </c>
    </row>
    <row r="59" spans="1:42" x14ac:dyDescent="0.25">
      <c r="A59" s="66" t="str">
        <f>IF('Registrar recibidas_gastos'!A59="","",'Registrar recibidas_gastos'!A59)</f>
        <v/>
      </c>
      <c r="B59" s="61" t="str">
        <f>IF('Registrar recibidas_gastos'!B59="","",'Registrar recibidas_gastos'!B59)</f>
        <v/>
      </c>
      <c r="C59" s="61" t="str">
        <f>IF('Registrar recibidas_gastos'!C59="","",VLOOKUP(CONCATENATE("ACTIVIDAD",'Registrar recibidas_gastos'!C59),'CODIGO-LITERAL'!$C:$D,2,FALSE))</f>
        <v/>
      </c>
      <c r="D59" s="60" t="str">
        <f>IF(OR(C59="C",C59="D"),"",IF(ISERROR(VLOOKUP(CONCATENATE(C59,'Registrar recibidas_gastos'!D59),'CODIGO-LITERAL'!$C:$D,2,FALSE)),"",VLOOKUP(CONCATENATE(C59,'Registrar recibidas_gastos'!D59),'CODIGO-LITERAL'!$C:$D,2,FALSE)))</f>
        <v/>
      </c>
      <c r="E59" s="61" t="str">
        <f>IF('Registrar recibidas_gastos'!E59="","",'Registrar recibidas_gastos'!E59)</f>
        <v/>
      </c>
      <c r="F59" s="61" t="str">
        <f>IF('Registrar recibidas_gastos'!F59="","",VLOOKUP(CONCATENATE("TIPO FACTURA GASTO",'Registrar recibidas_gastos'!F59),'CODIGO-LITERAL'!$C:$D,2,FALSE))</f>
        <v/>
      </c>
      <c r="G59" s="62"/>
      <c r="H59" s="62"/>
      <c r="I59" s="67" t="str">
        <f>IF('Registrar recibidas_gastos'!I59="","",'Registrar recibidas_gastos'!I59)</f>
        <v/>
      </c>
      <c r="J59" s="67" t="str">
        <f>IF('Registrar recibidas_gastos'!J59="","",'Registrar recibidas_gastos'!J59)</f>
        <v/>
      </c>
      <c r="K59" s="61" t="str">
        <f>IF('Registrar recibidas_gastos'!K59="","",'Registrar recibidas_gastos'!K59)</f>
        <v/>
      </c>
      <c r="L59" s="61" t="str">
        <f>IF('Registrar recibidas_gastos'!L59="","",'Registrar recibidas_gastos'!L59)</f>
        <v/>
      </c>
      <c r="M59" s="67" t="str">
        <f>IF('Registrar recibidas_gastos'!M59="","",'Registrar recibidas_gastos'!M59)</f>
        <v/>
      </c>
      <c r="N59" s="61" t="str">
        <f>IF('Registrar recibidas_gastos'!N59="","",'Registrar recibidas_gastos'!N59)</f>
        <v/>
      </c>
      <c r="O59" s="61" t="str">
        <f>IF('Registrar recibidas_gastos'!O59="","",'Registrar recibidas_gastos'!O59)</f>
        <v/>
      </c>
      <c r="P59" s="61" t="str">
        <f>IF(OR(LEFT('Registrar recibidas_gastos'!P59,2)="01",'Registrar recibidas_gastos'!P59=""),"",VLOOKUP(CONCATENATE("TIPO NIF",'Registrar recibidas_gastos'!P59),'CODIGO-LITERAL'!$C:$D,2,FALSE))</f>
        <v/>
      </c>
      <c r="Q59" s="61" t="str">
        <f>IF('Registrar recibidas_gastos'!Q59="","",'Registrar recibidas_gastos'!Q59)</f>
        <v/>
      </c>
      <c r="R59" s="61" t="str">
        <f>IF('Registrar recibidas_gastos'!R59="","",'Registrar recibidas_gastos'!R59)</f>
        <v/>
      </c>
      <c r="S59" s="61" t="str">
        <f>IF('Registrar recibidas_gastos'!S59="","",'Registrar recibidas_gastos'!S59)</f>
        <v/>
      </c>
      <c r="T59" s="61" t="str">
        <f>IF('Registrar recibidas_gastos'!T59="","",VLOOKUP(CONCATENATE("CLAVE OPERACION GASTO",'Registrar recibidas_gastos'!T59),'CODIGO-LITERAL'!$C:$D,2,FALSE))</f>
        <v/>
      </c>
      <c r="U59" s="61" t="str">
        <f>IF(T59="","",IF(OR(T59="02",T59="08"),"N",IF('Registrar recibidas_gastos'!U59="","N",'Registrar recibidas_gastos'!U59)))</f>
        <v/>
      </c>
      <c r="V59" s="61" t="str">
        <f>IF(T59="","",IF(OR(T59="07",T59="08",T59="09",F59="F5",F59="LC"),"N",IF('Registrar recibidas_gastos'!V59="","N",'Registrar recibidas_gastos'!V59)))</f>
        <v/>
      </c>
      <c r="W59" s="61" t="str">
        <f>IF(AND(X59="",Y59=""),"",IF(AND(RECIBIDAS_GASTOS!$X59&lt;&gt;"",RECIBIDAS_GASTOS!$Y59&lt;&gt;""),"S",IF('Registrar recibidas_gastos'!W59="","N",'Registrar recibidas_gastos'!W59)))</f>
        <v/>
      </c>
      <c r="X59" s="67" t="str">
        <f>IF('Registrar recibidas_gastos'!X59="","",'Registrar recibidas_gastos'!X59)</f>
        <v/>
      </c>
      <c r="Y59" s="61" t="str">
        <f>IF('Registrar recibidas_gastos'!Y59="","",'Registrar recibidas_gastos'!Y59)</f>
        <v/>
      </c>
      <c r="Z59" s="68" t="str">
        <f>IF('Registrar recibidas_gastos'!Z59="","",IF(AND(F59="",T59=""),"",IF(OR(T59="03",T59="05",T59="09"),AA59,SUM(AA59,AC59,AF59))))</f>
        <v/>
      </c>
      <c r="AA59" s="68" t="str">
        <f>IF('Registrar recibidas_gastos'!AA59="","",ROUND('Registrar recibidas_gastos'!AA59,2))</f>
        <v/>
      </c>
      <c r="AB59" s="61" t="str">
        <f>IF('Registrar recibidas_gastos'!AB59="","",'Registrar recibidas_gastos'!AB59)</f>
        <v/>
      </c>
      <c r="AC59" s="68" t="str">
        <f>IF(OR(T59="03",T59="05"),0,IF('Registrar recibidas_gastos'!AC59="","",ROUND(AA59*AB59/100,2)))</f>
        <v/>
      </c>
      <c r="AD59" s="68" t="str">
        <f>IF('Registrar recibidas_gastos'!AD59="","",ROUND('Registrar recibidas_gastos'!AD59,2))</f>
        <v/>
      </c>
      <c r="AE59" s="61" t="str">
        <f>IF('Registrar recibidas_gastos'!AE59="","",'Registrar recibidas_gastos'!AE59)</f>
        <v/>
      </c>
      <c r="AF59" s="68" t="str">
        <f>IF('Registrar recibidas_gastos'!AF59="","",ROUND(AA59*AE59/100,2))</f>
        <v/>
      </c>
      <c r="AG59" s="67" t="str">
        <f>IF('Registrar recibidas_gastos'!AG59="","",'Registrar recibidas_gastos'!AG59)</f>
        <v/>
      </c>
      <c r="AH59" s="68" t="str">
        <f>IF('Registrar recibidas_gastos'!AH59="","",'Registrar recibidas_gastos'!AH59)</f>
        <v/>
      </c>
      <c r="AI59" s="61" t="str">
        <f>IF('Registrar recibidas_gastos'!AI59="","",VLOOKUP(CONCATENATE("MEDIO UTILIZADO",'Registrar recibidas_gastos'!AI59),'CODIGO-LITERAL'!$C:$D,2,FALSE))</f>
        <v/>
      </c>
      <c r="AJ59" s="61" t="str">
        <f>IF('Registrar recibidas_gastos'!AJ59="","",'Registrar recibidas_gastos'!AJ59)</f>
        <v/>
      </c>
      <c r="AK59" s="62"/>
      <c r="AL59" s="69"/>
      <c r="AM59" s="61" t="str">
        <f>IF('Registrar recibidas_gastos'!AM59="","",'Registrar recibidas_gastos'!AM59)</f>
        <v/>
      </c>
      <c r="AN59" s="61" t="str">
        <f>IF('Registrar recibidas_gastos'!AN59="","",VLOOKUP(CONCATENATE("SITUACION",'Registrar recibidas_gastos'!AN59),'CODIGO-LITERAL'!$C:$D,2,FALSE))</f>
        <v/>
      </c>
      <c r="AO59" s="61" t="str">
        <f>IF('Registrar recibidas_gastos'!AO59="","",'Registrar recibidas_gastos'!AO59)</f>
        <v/>
      </c>
      <c r="AP59" s="61" t="str">
        <f>IF('Registrar recibidas_gastos'!AP59="","",'Registrar recibidas_gastos'!AP59)</f>
        <v/>
      </c>
    </row>
    <row r="60" spans="1:42" x14ac:dyDescent="0.25">
      <c r="A60" s="66" t="str">
        <f>IF('Registrar recibidas_gastos'!A60="","",'Registrar recibidas_gastos'!A60)</f>
        <v/>
      </c>
      <c r="B60" s="61" t="str">
        <f>IF('Registrar recibidas_gastos'!B60="","",'Registrar recibidas_gastos'!B60)</f>
        <v/>
      </c>
      <c r="C60" s="61" t="str">
        <f>IF('Registrar recibidas_gastos'!C60="","",VLOOKUP(CONCATENATE("ACTIVIDAD",'Registrar recibidas_gastos'!C60),'CODIGO-LITERAL'!$C:$D,2,FALSE))</f>
        <v/>
      </c>
      <c r="D60" s="60" t="str">
        <f>IF(OR(C60="C",C60="D"),"",IF(ISERROR(VLOOKUP(CONCATENATE(C60,'Registrar recibidas_gastos'!D60),'CODIGO-LITERAL'!$C:$D,2,FALSE)),"",VLOOKUP(CONCATENATE(C60,'Registrar recibidas_gastos'!D60),'CODIGO-LITERAL'!$C:$D,2,FALSE)))</f>
        <v/>
      </c>
      <c r="E60" s="61" t="str">
        <f>IF('Registrar recibidas_gastos'!E60="","",'Registrar recibidas_gastos'!E60)</f>
        <v/>
      </c>
      <c r="F60" s="61" t="str">
        <f>IF('Registrar recibidas_gastos'!F60="","",VLOOKUP(CONCATENATE("TIPO FACTURA GASTO",'Registrar recibidas_gastos'!F60),'CODIGO-LITERAL'!$C:$D,2,FALSE))</f>
        <v/>
      </c>
      <c r="G60" s="62"/>
      <c r="H60" s="62"/>
      <c r="I60" s="67" t="str">
        <f>IF('Registrar recibidas_gastos'!I60="","",'Registrar recibidas_gastos'!I60)</f>
        <v/>
      </c>
      <c r="J60" s="67" t="str">
        <f>IF('Registrar recibidas_gastos'!J60="","",'Registrar recibidas_gastos'!J60)</f>
        <v/>
      </c>
      <c r="K60" s="61" t="str">
        <f>IF('Registrar recibidas_gastos'!K60="","",'Registrar recibidas_gastos'!K60)</f>
        <v/>
      </c>
      <c r="L60" s="61" t="str">
        <f>IF('Registrar recibidas_gastos'!L60="","",'Registrar recibidas_gastos'!L60)</f>
        <v/>
      </c>
      <c r="M60" s="67" t="str">
        <f>IF('Registrar recibidas_gastos'!M60="","",'Registrar recibidas_gastos'!M60)</f>
        <v/>
      </c>
      <c r="N60" s="61" t="str">
        <f>IF('Registrar recibidas_gastos'!N60="","",'Registrar recibidas_gastos'!N60)</f>
        <v/>
      </c>
      <c r="O60" s="61" t="str">
        <f>IF('Registrar recibidas_gastos'!O60="","",'Registrar recibidas_gastos'!O60)</f>
        <v/>
      </c>
      <c r="P60" s="61" t="str">
        <f>IF(OR(LEFT('Registrar recibidas_gastos'!P60,2)="01",'Registrar recibidas_gastos'!P60=""),"",VLOOKUP(CONCATENATE("TIPO NIF",'Registrar recibidas_gastos'!P60),'CODIGO-LITERAL'!$C:$D,2,FALSE))</f>
        <v/>
      </c>
      <c r="Q60" s="61" t="str">
        <f>IF('Registrar recibidas_gastos'!Q60="","",'Registrar recibidas_gastos'!Q60)</f>
        <v/>
      </c>
      <c r="R60" s="61" t="str">
        <f>IF('Registrar recibidas_gastos'!R60="","",'Registrar recibidas_gastos'!R60)</f>
        <v/>
      </c>
      <c r="S60" s="61" t="str">
        <f>IF('Registrar recibidas_gastos'!S60="","",'Registrar recibidas_gastos'!S60)</f>
        <v/>
      </c>
      <c r="T60" s="61" t="str">
        <f>IF('Registrar recibidas_gastos'!T60="","",VLOOKUP(CONCATENATE("CLAVE OPERACION GASTO",'Registrar recibidas_gastos'!T60),'CODIGO-LITERAL'!$C:$D,2,FALSE))</f>
        <v/>
      </c>
      <c r="U60" s="61" t="str">
        <f>IF(T60="","",IF(OR(T60="02",T60="08"),"N",IF('Registrar recibidas_gastos'!U60="","N",'Registrar recibidas_gastos'!U60)))</f>
        <v/>
      </c>
      <c r="V60" s="61" t="str">
        <f>IF(T60="","",IF(OR(T60="07",T60="08",T60="09",F60="F5",F60="LC"),"N",IF('Registrar recibidas_gastos'!V60="","N",'Registrar recibidas_gastos'!V60)))</f>
        <v/>
      </c>
      <c r="W60" s="61" t="str">
        <f>IF(AND(X60="",Y60=""),"",IF(AND(RECIBIDAS_GASTOS!$X60&lt;&gt;"",RECIBIDAS_GASTOS!$Y60&lt;&gt;""),"S",IF('Registrar recibidas_gastos'!W60="","N",'Registrar recibidas_gastos'!W60)))</f>
        <v/>
      </c>
      <c r="X60" s="67" t="str">
        <f>IF('Registrar recibidas_gastos'!X60="","",'Registrar recibidas_gastos'!X60)</f>
        <v/>
      </c>
      <c r="Y60" s="61" t="str">
        <f>IF('Registrar recibidas_gastos'!Y60="","",'Registrar recibidas_gastos'!Y60)</f>
        <v/>
      </c>
      <c r="Z60" s="68" t="str">
        <f>IF('Registrar recibidas_gastos'!Z60="","",IF(AND(F60="",T60=""),"",IF(OR(T60="03",T60="05",T60="09"),AA60,SUM(AA60,AC60,AF60))))</f>
        <v/>
      </c>
      <c r="AA60" s="68" t="str">
        <f>IF('Registrar recibidas_gastos'!AA60="","",ROUND('Registrar recibidas_gastos'!AA60,2))</f>
        <v/>
      </c>
      <c r="AB60" s="61" t="str">
        <f>IF('Registrar recibidas_gastos'!AB60="","",'Registrar recibidas_gastos'!AB60)</f>
        <v/>
      </c>
      <c r="AC60" s="68" t="str">
        <f>IF(OR(T60="03",T60="05"),0,IF('Registrar recibidas_gastos'!AC60="","",ROUND(AA60*AB60/100,2)))</f>
        <v/>
      </c>
      <c r="AD60" s="68" t="str">
        <f>IF('Registrar recibidas_gastos'!AD60="","",ROUND('Registrar recibidas_gastos'!AD60,2))</f>
        <v/>
      </c>
      <c r="AE60" s="61" t="str">
        <f>IF('Registrar recibidas_gastos'!AE60="","",'Registrar recibidas_gastos'!AE60)</f>
        <v/>
      </c>
      <c r="AF60" s="68" t="str">
        <f>IF('Registrar recibidas_gastos'!AF60="","",ROUND(AA60*AE60/100,2))</f>
        <v/>
      </c>
      <c r="AG60" s="67" t="str">
        <f>IF('Registrar recibidas_gastos'!AG60="","",'Registrar recibidas_gastos'!AG60)</f>
        <v/>
      </c>
      <c r="AH60" s="68" t="str">
        <f>IF('Registrar recibidas_gastos'!AH60="","",'Registrar recibidas_gastos'!AH60)</f>
        <v/>
      </c>
      <c r="AI60" s="61" t="str">
        <f>IF('Registrar recibidas_gastos'!AI60="","",VLOOKUP(CONCATENATE("MEDIO UTILIZADO",'Registrar recibidas_gastos'!AI60),'CODIGO-LITERAL'!$C:$D,2,FALSE))</f>
        <v/>
      </c>
      <c r="AJ60" s="61" t="str">
        <f>IF('Registrar recibidas_gastos'!AJ60="","",'Registrar recibidas_gastos'!AJ60)</f>
        <v/>
      </c>
      <c r="AK60" s="62"/>
      <c r="AL60" s="69"/>
      <c r="AM60" s="61" t="str">
        <f>IF('Registrar recibidas_gastos'!AM60="","",'Registrar recibidas_gastos'!AM60)</f>
        <v/>
      </c>
      <c r="AN60" s="61" t="str">
        <f>IF('Registrar recibidas_gastos'!AN60="","",VLOOKUP(CONCATENATE("SITUACION",'Registrar recibidas_gastos'!AN60),'CODIGO-LITERAL'!$C:$D,2,FALSE))</f>
        <v/>
      </c>
      <c r="AO60" s="61" t="str">
        <f>IF('Registrar recibidas_gastos'!AO60="","",'Registrar recibidas_gastos'!AO60)</f>
        <v/>
      </c>
      <c r="AP60" s="61" t="str">
        <f>IF('Registrar recibidas_gastos'!AP60="","",'Registrar recibidas_gastos'!AP60)</f>
        <v/>
      </c>
    </row>
    <row r="61" spans="1:42" x14ac:dyDescent="0.25">
      <c r="A61" s="66" t="str">
        <f>IF('Registrar recibidas_gastos'!A61="","",'Registrar recibidas_gastos'!A61)</f>
        <v/>
      </c>
      <c r="B61" s="61" t="str">
        <f>IF('Registrar recibidas_gastos'!B61="","",'Registrar recibidas_gastos'!B61)</f>
        <v/>
      </c>
      <c r="C61" s="61" t="str">
        <f>IF('Registrar recibidas_gastos'!C61="","",VLOOKUP(CONCATENATE("ACTIVIDAD",'Registrar recibidas_gastos'!C61),'CODIGO-LITERAL'!$C:$D,2,FALSE))</f>
        <v/>
      </c>
      <c r="D61" s="60" t="str">
        <f>IF(OR(C61="C",C61="D"),"",IF(ISERROR(VLOOKUP(CONCATENATE(C61,'Registrar recibidas_gastos'!D61),'CODIGO-LITERAL'!$C:$D,2,FALSE)),"",VLOOKUP(CONCATENATE(C61,'Registrar recibidas_gastos'!D61),'CODIGO-LITERAL'!$C:$D,2,FALSE)))</f>
        <v/>
      </c>
      <c r="E61" s="61" t="str">
        <f>IF('Registrar recibidas_gastos'!E61="","",'Registrar recibidas_gastos'!E61)</f>
        <v/>
      </c>
      <c r="F61" s="61" t="str">
        <f>IF('Registrar recibidas_gastos'!F61="","",VLOOKUP(CONCATENATE("TIPO FACTURA GASTO",'Registrar recibidas_gastos'!F61),'CODIGO-LITERAL'!$C:$D,2,FALSE))</f>
        <v/>
      </c>
      <c r="G61" s="62"/>
      <c r="H61" s="62"/>
      <c r="I61" s="67" t="str">
        <f>IF('Registrar recibidas_gastos'!I61="","",'Registrar recibidas_gastos'!I61)</f>
        <v/>
      </c>
      <c r="J61" s="67" t="str">
        <f>IF('Registrar recibidas_gastos'!J61="","",'Registrar recibidas_gastos'!J61)</f>
        <v/>
      </c>
      <c r="K61" s="61" t="str">
        <f>IF('Registrar recibidas_gastos'!K61="","",'Registrar recibidas_gastos'!K61)</f>
        <v/>
      </c>
      <c r="L61" s="61" t="str">
        <f>IF('Registrar recibidas_gastos'!L61="","",'Registrar recibidas_gastos'!L61)</f>
        <v/>
      </c>
      <c r="M61" s="67" t="str">
        <f>IF('Registrar recibidas_gastos'!M61="","",'Registrar recibidas_gastos'!M61)</f>
        <v/>
      </c>
      <c r="N61" s="61" t="str">
        <f>IF('Registrar recibidas_gastos'!N61="","",'Registrar recibidas_gastos'!N61)</f>
        <v/>
      </c>
      <c r="O61" s="61" t="str">
        <f>IF('Registrar recibidas_gastos'!O61="","",'Registrar recibidas_gastos'!O61)</f>
        <v/>
      </c>
      <c r="P61" s="61" t="str">
        <f>IF(OR(LEFT('Registrar recibidas_gastos'!P61,2)="01",'Registrar recibidas_gastos'!P61=""),"",VLOOKUP(CONCATENATE("TIPO NIF",'Registrar recibidas_gastos'!P61),'CODIGO-LITERAL'!$C:$D,2,FALSE))</f>
        <v/>
      </c>
      <c r="Q61" s="61" t="str">
        <f>IF('Registrar recibidas_gastos'!Q61="","",'Registrar recibidas_gastos'!Q61)</f>
        <v/>
      </c>
      <c r="R61" s="61" t="str">
        <f>IF('Registrar recibidas_gastos'!R61="","",'Registrar recibidas_gastos'!R61)</f>
        <v/>
      </c>
      <c r="S61" s="61" t="str">
        <f>IF('Registrar recibidas_gastos'!S61="","",'Registrar recibidas_gastos'!S61)</f>
        <v/>
      </c>
      <c r="T61" s="61" t="str">
        <f>IF('Registrar recibidas_gastos'!T61="","",VLOOKUP(CONCATENATE("CLAVE OPERACION GASTO",'Registrar recibidas_gastos'!T61),'CODIGO-LITERAL'!$C:$D,2,FALSE))</f>
        <v/>
      </c>
      <c r="U61" s="61" t="str">
        <f>IF(T61="","",IF(OR(T61="02",T61="08"),"N",IF('Registrar recibidas_gastos'!U61="","N",'Registrar recibidas_gastos'!U61)))</f>
        <v/>
      </c>
      <c r="V61" s="61" t="str">
        <f>IF(T61="","",IF(OR(T61="07",T61="08",T61="09",F61="F5",F61="LC"),"N",IF('Registrar recibidas_gastos'!V61="","N",'Registrar recibidas_gastos'!V61)))</f>
        <v/>
      </c>
      <c r="W61" s="61" t="str">
        <f>IF(AND(X61="",Y61=""),"",IF(AND(RECIBIDAS_GASTOS!$X61&lt;&gt;"",RECIBIDAS_GASTOS!$Y61&lt;&gt;""),"S",IF('Registrar recibidas_gastos'!W61="","N",'Registrar recibidas_gastos'!W61)))</f>
        <v/>
      </c>
      <c r="X61" s="67" t="str">
        <f>IF('Registrar recibidas_gastos'!X61="","",'Registrar recibidas_gastos'!X61)</f>
        <v/>
      </c>
      <c r="Y61" s="61" t="str">
        <f>IF('Registrar recibidas_gastos'!Y61="","",'Registrar recibidas_gastos'!Y61)</f>
        <v/>
      </c>
      <c r="Z61" s="68" t="str">
        <f>IF('Registrar recibidas_gastos'!Z61="","",IF(AND(F61="",T61=""),"",IF(OR(T61="03",T61="05",T61="09"),AA61,SUM(AA61,AC61,AF61))))</f>
        <v/>
      </c>
      <c r="AA61" s="68" t="str">
        <f>IF('Registrar recibidas_gastos'!AA61="","",ROUND('Registrar recibidas_gastos'!AA61,2))</f>
        <v/>
      </c>
      <c r="AB61" s="61" t="str">
        <f>IF('Registrar recibidas_gastos'!AB61="","",'Registrar recibidas_gastos'!AB61)</f>
        <v/>
      </c>
      <c r="AC61" s="68" t="str">
        <f>IF(OR(T61="03",T61="05"),0,IF('Registrar recibidas_gastos'!AC61="","",ROUND(AA61*AB61/100,2)))</f>
        <v/>
      </c>
      <c r="AD61" s="68" t="str">
        <f>IF('Registrar recibidas_gastos'!AD61="","",ROUND('Registrar recibidas_gastos'!AD61,2))</f>
        <v/>
      </c>
      <c r="AE61" s="61" t="str">
        <f>IF('Registrar recibidas_gastos'!AE61="","",'Registrar recibidas_gastos'!AE61)</f>
        <v/>
      </c>
      <c r="AF61" s="68" t="str">
        <f>IF('Registrar recibidas_gastos'!AF61="","",ROUND(AA61*AE61/100,2))</f>
        <v/>
      </c>
      <c r="AG61" s="67" t="str">
        <f>IF('Registrar recibidas_gastos'!AG61="","",'Registrar recibidas_gastos'!AG61)</f>
        <v/>
      </c>
      <c r="AH61" s="68" t="str">
        <f>IF('Registrar recibidas_gastos'!AH61="","",'Registrar recibidas_gastos'!AH61)</f>
        <v/>
      </c>
      <c r="AI61" s="61" t="str">
        <f>IF('Registrar recibidas_gastos'!AI61="","",VLOOKUP(CONCATENATE("MEDIO UTILIZADO",'Registrar recibidas_gastos'!AI61),'CODIGO-LITERAL'!$C:$D,2,FALSE))</f>
        <v/>
      </c>
      <c r="AJ61" s="61" t="str">
        <f>IF('Registrar recibidas_gastos'!AJ61="","",'Registrar recibidas_gastos'!AJ61)</f>
        <v/>
      </c>
      <c r="AK61" s="62"/>
      <c r="AL61" s="69"/>
      <c r="AM61" s="61" t="str">
        <f>IF('Registrar recibidas_gastos'!AM61="","",'Registrar recibidas_gastos'!AM61)</f>
        <v/>
      </c>
      <c r="AN61" s="61" t="str">
        <f>IF('Registrar recibidas_gastos'!AN61="","",VLOOKUP(CONCATENATE("SITUACION",'Registrar recibidas_gastos'!AN61),'CODIGO-LITERAL'!$C:$D,2,FALSE))</f>
        <v/>
      </c>
      <c r="AO61" s="61" t="str">
        <f>IF('Registrar recibidas_gastos'!AO61="","",'Registrar recibidas_gastos'!AO61)</f>
        <v/>
      </c>
      <c r="AP61" s="61" t="str">
        <f>IF('Registrar recibidas_gastos'!AP61="","",'Registrar recibidas_gastos'!AP61)</f>
        <v/>
      </c>
    </row>
    <row r="62" spans="1:42" x14ac:dyDescent="0.25">
      <c r="A62" s="66" t="str">
        <f>IF('Registrar recibidas_gastos'!A62="","",'Registrar recibidas_gastos'!A62)</f>
        <v/>
      </c>
      <c r="B62" s="61" t="str">
        <f>IF('Registrar recibidas_gastos'!B62="","",'Registrar recibidas_gastos'!B62)</f>
        <v/>
      </c>
      <c r="C62" s="61" t="str">
        <f>IF('Registrar recibidas_gastos'!C62="","",VLOOKUP(CONCATENATE("ACTIVIDAD",'Registrar recibidas_gastos'!C62),'CODIGO-LITERAL'!$C:$D,2,FALSE))</f>
        <v/>
      </c>
      <c r="D62" s="60" t="str">
        <f>IF(OR(C62="C",C62="D"),"",IF(ISERROR(VLOOKUP(CONCATENATE(C62,'Registrar recibidas_gastos'!D62),'CODIGO-LITERAL'!$C:$D,2,FALSE)),"",VLOOKUP(CONCATENATE(C62,'Registrar recibidas_gastos'!D62),'CODIGO-LITERAL'!$C:$D,2,FALSE)))</f>
        <v/>
      </c>
      <c r="E62" s="61" t="str">
        <f>IF('Registrar recibidas_gastos'!E62="","",'Registrar recibidas_gastos'!E62)</f>
        <v/>
      </c>
      <c r="F62" s="61" t="str">
        <f>IF('Registrar recibidas_gastos'!F62="","",VLOOKUP(CONCATENATE("TIPO FACTURA GASTO",'Registrar recibidas_gastos'!F62),'CODIGO-LITERAL'!$C:$D,2,FALSE))</f>
        <v/>
      </c>
      <c r="G62" s="62"/>
      <c r="H62" s="62"/>
      <c r="I62" s="67" t="str">
        <f>IF('Registrar recibidas_gastos'!I62="","",'Registrar recibidas_gastos'!I62)</f>
        <v/>
      </c>
      <c r="J62" s="67" t="str">
        <f>IF('Registrar recibidas_gastos'!J62="","",'Registrar recibidas_gastos'!J62)</f>
        <v/>
      </c>
      <c r="K62" s="61" t="str">
        <f>IF('Registrar recibidas_gastos'!K62="","",'Registrar recibidas_gastos'!K62)</f>
        <v/>
      </c>
      <c r="L62" s="61" t="str">
        <f>IF('Registrar recibidas_gastos'!L62="","",'Registrar recibidas_gastos'!L62)</f>
        <v/>
      </c>
      <c r="M62" s="67" t="str">
        <f>IF('Registrar recibidas_gastos'!M62="","",'Registrar recibidas_gastos'!M62)</f>
        <v/>
      </c>
      <c r="N62" s="61" t="str">
        <f>IF('Registrar recibidas_gastos'!N62="","",'Registrar recibidas_gastos'!N62)</f>
        <v/>
      </c>
      <c r="O62" s="61" t="str">
        <f>IF('Registrar recibidas_gastos'!O62="","",'Registrar recibidas_gastos'!O62)</f>
        <v/>
      </c>
      <c r="P62" s="61" t="str">
        <f>IF(OR(LEFT('Registrar recibidas_gastos'!P62,2)="01",'Registrar recibidas_gastos'!P62=""),"",VLOOKUP(CONCATENATE("TIPO NIF",'Registrar recibidas_gastos'!P62),'CODIGO-LITERAL'!$C:$D,2,FALSE))</f>
        <v/>
      </c>
      <c r="Q62" s="61" t="str">
        <f>IF('Registrar recibidas_gastos'!Q62="","",'Registrar recibidas_gastos'!Q62)</f>
        <v/>
      </c>
      <c r="R62" s="61" t="str">
        <f>IF('Registrar recibidas_gastos'!R62="","",'Registrar recibidas_gastos'!R62)</f>
        <v/>
      </c>
      <c r="S62" s="61" t="str">
        <f>IF('Registrar recibidas_gastos'!S62="","",'Registrar recibidas_gastos'!S62)</f>
        <v/>
      </c>
      <c r="T62" s="61" t="str">
        <f>IF('Registrar recibidas_gastos'!T62="","",VLOOKUP(CONCATENATE("CLAVE OPERACION GASTO",'Registrar recibidas_gastos'!T62),'CODIGO-LITERAL'!$C:$D,2,FALSE))</f>
        <v/>
      </c>
      <c r="U62" s="61" t="str">
        <f>IF(T62="","",IF(OR(T62="02",T62="08"),"N",IF('Registrar recibidas_gastos'!U62="","N",'Registrar recibidas_gastos'!U62)))</f>
        <v/>
      </c>
      <c r="V62" s="61" t="str">
        <f>IF(T62="","",IF(OR(T62="07",T62="08",T62="09",F62="F5",F62="LC"),"N",IF('Registrar recibidas_gastos'!V62="","N",'Registrar recibidas_gastos'!V62)))</f>
        <v/>
      </c>
      <c r="W62" s="61" t="str">
        <f>IF(AND(X62="",Y62=""),"",IF(AND(RECIBIDAS_GASTOS!$X62&lt;&gt;"",RECIBIDAS_GASTOS!$Y62&lt;&gt;""),"S",IF('Registrar recibidas_gastos'!W62="","N",'Registrar recibidas_gastos'!W62)))</f>
        <v/>
      </c>
      <c r="X62" s="67" t="str">
        <f>IF('Registrar recibidas_gastos'!X62="","",'Registrar recibidas_gastos'!X62)</f>
        <v/>
      </c>
      <c r="Y62" s="61" t="str">
        <f>IF('Registrar recibidas_gastos'!Y62="","",'Registrar recibidas_gastos'!Y62)</f>
        <v/>
      </c>
      <c r="Z62" s="68" t="str">
        <f>IF('Registrar recibidas_gastos'!Z62="","",IF(AND(F62="",T62=""),"",IF(OR(T62="03",T62="05",T62="09"),AA62,SUM(AA62,AC62,AF62))))</f>
        <v/>
      </c>
      <c r="AA62" s="68" t="str">
        <f>IF('Registrar recibidas_gastos'!AA62="","",ROUND('Registrar recibidas_gastos'!AA62,2))</f>
        <v/>
      </c>
      <c r="AB62" s="61" t="str">
        <f>IF('Registrar recibidas_gastos'!AB62="","",'Registrar recibidas_gastos'!AB62)</f>
        <v/>
      </c>
      <c r="AC62" s="68" t="str">
        <f>IF(OR(T62="03",T62="05"),0,IF('Registrar recibidas_gastos'!AC62="","",ROUND(AA62*AB62/100,2)))</f>
        <v/>
      </c>
      <c r="AD62" s="68" t="str">
        <f>IF('Registrar recibidas_gastos'!AD62="","",ROUND('Registrar recibidas_gastos'!AD62,2))</f>
        <v/>
      </c>
      <c r="AE62" s="61" t="str">
        <f>IF('Registrar recibidas_gastos'!AE62="","",'Registrar recibidas_gastos'!AE62)</f>
        <v/>
      </c>
      <c r="AF62" s="68" t="str">
        <f>IF('Registrar recibidas_gastos'!AF62="","",ROUND(AA62*AE62/100,2))</f>
        <v/>
      </c>
      <c r="AG62" s="67" t="str">
        <f>IF('Registrar recibidas_gastos'!AG62="","",'Registrar recibidas_gastos'!AG62)</f>
        <v/>
      </c>
      <c r="AH62" s="68" t="str">
        <f>IF('Registrar recibidas_gastos'!AH62="","",'Registrar recibidas_gastos'!AH62)</f>
        <v/>
      </c>
      <c r="AI62" s="61" t="str">
        <f>IF('Registrar recibidas_gastos'!AI62="","",VLOOKUP(CONCATENATE("MEDIO UTILIZADO",'Registrar recibidas_gastos'!AI62),'CODIGO-LITERAL'!$C:$D,2,FALSE))</f>
        <v/>
      </c>
      <c r="AJ62" s="61" t="str">
        <f>IF('Registrar recibidas_gastos'!AJ62="","",'Registrar recibidas_gastos'!AJ62)</f>
        <v/>
      </c>
      <c r="AK62" s="62"/>
      <c r="AL62" s="69"/>
      <c r="AM62" s="61" t="str">
        <f>IF('Registrar recibidas_gastos'!AM62="","",'Registrar recibidas_gastos'!AM62)</f>
        <v/>
      </c>
      <c r="AN62" s="61" t="str">
        <f>IF('Registrar recibidas_gastos'!AN62="","",VLOOKUP(CONCATENATE("SITUACION",'Registrar recibidas_gastos'!AN62),'CODIGO-LITERAL'!$C:$D,2,FALSE))</f>
        <v/>
      </c>
      <c r="AO62" s="61" t="str">
        <f>IF('Registrar recibidas_gastos'!AO62="","",'Registrar recibidas_gastos'!AO62)</f>
        <v/>
      </c>
      <c r="AP62" s="61" t="str">
        <f>IF('Registrar recibidas_gastos'!AP62="","",'Registrar recibidas_gastos'!AP62)</f>
        <v/>
      </c>
    </row>
    <row r="63" spans="1:42" x14ac:dyDescent="0.25">
      <c r="A63" s="66" t="str">
        <f>IF('Registrar recibidas_gastos'!A63="","",'Registrar recibidas_gastos'!A63)</f>
        <v/>
      </c>
      <c r="B63" s="61" t="str">
        <f>IF('Registrar recibidas_gastos'!B63="","",'Registrar recibidas_gastos'!B63)</f>
        <v/>
      </c>
      <c r="C63" s="61" t="str">
        <f>IF('Registrar recibidas_gastos'!C63="","",VLOOKUP(CONCATENATE("ACTIVIDAD",'Registrar recibidas_gastos'!C63),'CODIGO-LITERAL'!$C:$D,2,FALSE))</f>
        <v/>
      </c>
      <c r="D63" s="60" t="str">
        <f>IF(OR(C63="C",C63="D"),"",IF(ISERROR(VLOOKUP(CONCATENATE(C63,'Registrar recibidas_gastos'!D63),'CODIGO-LITERAL'!$C:$D,2,FALSE)),"",VLOOKUP(CONCATENATE(C63,'Registrar recibidas_gastos'!D63),'CODIGO-LITERAL'!$C:$D,2,FALSE)))</f>
        <v/>
      </c>
      <c r="E63" s="61" t="str">
        <f>IF('Registrar recibidas_gastos'!E63="","",'Registrar recibidas_gastos'!E63)</f>
        <v/>
      </c>
      <c r="F63" s="61" t="str">
        <f>IF('Registrar recibidas_gastos'!F63="","",VLOOKUP(CONCATENATE("TIPO FACTURA GASTO",'Registrar recibidas_gastos'!F63),'CODIGO-LITERAL'!$C:$D,2,FALSE))</f>
        <v/>
      </c>
      <c r="G63" s="62"/>
      <c r="H63" s="62"/>
      <c r="I63" s="67" t="str">
        <f>IF('Registrar recibidas_gastos'!I63="","",'Registrar recibidas_gastos'!I63)</f>
        <v/>
      </c>
      <c r="J63" s="67" t="str">
        <f>IF('Registrar recibidas_gastos'!J63="","",'Registrar recibidas_gastos'!J63)</f>
        <v/>
      </c>
      <c r="K63" s="61" t="str">
        <f>IF('Registrar recibidas_gastos'!K63="","",'Registrar recibidas_gastos'!K63)</f>
        <v/>
      </c>
      <c r="L63" s="61" t="str">
        <f>IF('Registrar recibidas_gastos'!L63="","",'Registrar recibidas_gastos'!L63)</f>
        <v/>
      </c>
      <c r="M63" s="67" t="str">
        <f>IF('Registrar recibidas_gastos'!M63="","",'Registrar recibidas_gastos'!M63)</f>
        <v/>
      </c>
      <c r="N63" s="61" t="str">
        <f>IF('Registrar recibidas_gastos'!N63="","",'Registrar recibidas_gastos'!N63)</f>
        <v/>
      </c>
      <c r="O63" s="61" t="str">
        <f>IF('Registrar recibidas_gastos'!O63="","",'Registrar recibidas_gastos'!O63)</f>
        <v/>
      </c>
      <c r="P63" s="61" t="str">
        <f>IF(OR(LEFT('Registrar recibidas_gastos'!P63,2)="01",'Registrar recibidas_gastos'!P63=""),"",VLOOKUP(CONCATENATE("TIPO NIF",'Registrar recibidas_gastos'!P63),'CODIGO-LITERAL'!$C:$D,2,FALSE))</f>
        <v/>
      </c>
      <c r="Q63" s="61" t="str">
        <f>IF('Registrar recibidas_gastos'!Q63="","",'Registrar recibidas_gastos'!Q63)</f>
        <v/>
      </c>
      <c r="R63" s="61" t="str">
        <f>IF('Registrar recibidas_gastos'!R63="","",'Registrar recibidas_gastos'!R63)</f>
        <v/>
      </c>
      <c r="S63" s="61" t="str">
        <f>IF('Registrar recibidas_gastos'!S63="","",'Registrar recibidas_gastos'!S63)</f>
        <v/>
      </c>
      <c r="T63" s="61" t="str">
        <f>IF('Registrar recibidas_gastos'!T63="","",VLOOKUP(CONCATENATE("CLAVE OPERACION GASTO",'Registrar recibidas_gastos'!T63),'CODIGO-LITERAL'!$C:$D,2,FALSE))</f>
        <v/>
      </c>
      <c r="U63" s="61" t="str">
        <f>IF(T63="","",IF(OR(T63="02",T63="08"),"N",IF('Registrar recibidas_gastos'!U63="","N",'Registrar recibidas_gastos'!U63)))</f>
        <v/>
      </c>
      <c r="V63" s="61" t="str">
        <f>IF(T63="","",IF(OR(T63="07",T63="08",T63="09",F63="F5",F63="LC"),"N",IF('Registrar recibidas_gastos'!V63="","N",'Registrar recibidas_gastos'!V63)))</f>
        <v/>
      </c>
      <c r="W63" s="61" t="str">
        <f>IF(AND(X63="",Y63=""),"",IF(AND(RECIBIDAS_GASTOS!$X63&lt;&gt;"",RECIBIDAS_GASTOS!$Y63&lt;&gt;""),"S",IF('Registrar recibidas_gastos'!W63="","N",'Registrar recibidas_gastos'!W63)))</f>
        <v/>
      </c>
      <c r="X63" s="67" t="str">
        <f>IF('Registrar recibidas_gastos'!X63="","",'Registrar recibidas_gastos'!X63)</f>
        <v/>
      </c>
      <c r="Y63" s="61" t="str">
        <f>IF('Registrar recibidas_gastos'!Y63="","",'Registrar recibidas_gastos'!Y63)</f>
        <v/>
      </c>
      <c r="Z63" s="68" t="str">
        <f>IF('Registrar recibidas_gastos'!Z63="","",IF(AND(F63="",T63=""),"",IF(OR(T63="03",T63="05",T63="09"),AA63,SUM(AA63,AC63,AF63))))</f>
        <v/>
      </c>
      <c r="AA63" s="68" t="str">
        <f>IF('Registrar recibidas_gastos'!AA63="","",ROUND('Registrar recibidas_gastos'!AA63,2))</f>
        <v/>
      </c>
      <c r="AB63" s="61" t="str">
        <f>IF('Registrar recibidas_gastos'!AB63="","",'Registrar recibidas_gastos'!AB63)</f>
        <v/>
      </c>
      <c r="AC63" s="68" t="str">
        <f>IF(OR(T63="03",T63="05"),0,IF('Registrar recibidas_gastos'!AC63="","",ROUND(AA63*AB63/100,2)))</f>
        <v/>
      </c>
      <c r="AD63" s="68" t="str">
        <f>IF('Registrar recibidas_gastos'!AD63="","",ROUND('Registrar recibidas_gastos'!AD63,2))</f>
        <v/>
      </c>
      <c r="AE63" s="61" t="str">
        <f>IF('Registrar recibidas_gastos'!AE63="","",'Registrar recibidas_gastos'!AE63)</f>
        <v/>
      </c>
      <c r="AF63" s="68" t="str">
        <f>IF('Registrar recibidas_gastos'!AF63="","",ROUND(AA63*AE63/100,2))</f>
        <v/>
      </c>
      <c r="AG63" s="67" t="str">
        <f>IF('Registrar recibidas_gastos'!AG63="","",'Registrar recibidas_gastos'!AG63)</f>
        <v/>
      </c>
      <c r="AH63" s="68" t="str">
        <f>IF('Registrar recibidas_gastos'!AH63="","",'Registrar recibidas_gastos'!AH63)</f>
        <v/>
      </c>
      <c r="AI63" s="61" t="str">
        <f>IF('Registrar recibidas_gastos'!AI63="","",VLOOKUP(CONCATENATE("MEDIO UTILIZADO",'Registrar recibidas_gastos'!AI63),'CODIGO-LITERAL'!$C:$D,2,FALSE))</f>
        <v/>
      </c>
      <c r="AJ63" s="61" t="str">
        <f>IF('Registrar recibidas_gastos'!AJ63="","",'Registrar recibidas_gastos'!AJ63)</f>
        <v/>
      </c>
      <c r="AK63" s="62"/>
      <c r="AL63" s="69"/>
      <c r="AM63" s="61" t="str">
        <f>IF('Registrar recibidas_gastos'!AM63="","",'Registrar recibidas_gastos'!AM63)</f>
        <v/>
      </c>
      <c r="AN63" s="61" t="str">
        <f>IF('Registrar recibidas_gastos'!AN63="","",VLOOKUP(CONCATENATE("SITUACION",'Registrar recibidas_gastos'!AN63),'CODIGO-LITERAL'!$C:$D,2,FALSE))</f>
        <v/>
      </c>
      <c r="AO63" s="61" t="str">
        <f>IF('Registrar recibidas_gastos'!AO63="","",'Registrar recibidas_gastos'!AO63)</f>
        <v/>
      </c>
      <c r="AP63" s="61" t="str">
        <f>IF('Registrar recibidas_gastos'!AP63="","",'Registrar recibidas_gastos'!AP63)</f>
        <v/>
      </c>
    </row>
    <row r="64" spans="1:42" x14ac:dyDescent="0.25">
      <c r="A64" s="66" t="str">
        <f>IF('Registrar recibidas_gastos'!A64="","",'Registrar recibidas_gastos'!A64)</f>
        <v/>
      </c>
      <c r="B64" s="61" t="str">
        <f>IF('Registrar recibidas_gastos'!B64="","",'Registrar recibidas_gastos'!B64)</f>
        <v/>
      </c>
      <c r="C64" s="61" t="str">
        <f>IF('Registrar recibidas_gastos'!C64="","",VLOOKUP(CONCATENATE("ACTIVIDAD",'Registrar recibidas_gastos'!C64),'CODIGO-LITERAL'!$C:$D,2,FALSE))</f>
        <v/>
      </c>
      <c r="D64" s="60" t="str">
        <f>IF(OR(C64="C",C64="D"),"",IF(ISERROR(VLOOKUP(CONCATENATE(C64,'Registrar recibidas_gastos'!D64),'CODIGO-LITERAL'!$C:$D,2,FALSE)),"",VLOOKUP(CONCATENATE(C64,'Registrar recibidas_gastos'!D64),'CODIGO-LITERAL'!$C:$D,2,FALSE)))</f>
        <v/>
      </c>
      <c r="E64" s="61" t="str">
        <f>IF('Registrar recibidas_gastos'!E64="","",'Registrar recibidas_gastos'!E64)</f>
        <v/>
      </c>
      <c r="F64" s="61" t="str">
        <f>IF('Registrar recibidas_gastos'!F64="","",VLOOKUP(CONCATENATE("TIPO FACTURA GASTO",'Registrar recibidas_gastos'!F64),'CODIGO-LITERAL'!$C:$D,2,FALSE))</f>
        <v/>
      </c>
      <c r="G64" s="62"/>
      <c r="H64" s="62"/>
      <c r="I64" s="67" t="str">
        <f>IF('Registrar recibidas_gastos'!I64="","",'Registrar recibidas_gastos'!I64)</f>
        <v/>
      </c>
      <c r="J64" s="67" t="str">
        <f>IF('Registrar recibidas_gastos'!J64="","",'Registrar recibidas_gastos'!J64)</f>
        <v/>
      </c>
      <c r="K64" s="61" t="str">
        <f>IF('Registrar recibidas_gastos'!K64="","",'Registrar recibidas_gastos'!K64)</f>
        <v/>
      </c>
      <c r="L64" s="61" t="str">
        <f>IF('Registrar recibidas_gastos'!L64="","",'Registrar recibidas_gastos'!L64)</f>
        <v/>
      </c>
      <c r="M64" s="67" t="str">
        <f>IF('Registrar recibidas_gastos'!M64="","",'Registrar recibidas_gastos'!M64)</f>
        <v/>
      </c>
      <c r="N64" s="61" t="str">
        <f>IF('Registrar recibidas_gastos'!N64="","",'Registrar recibidas_gastos'!N64)</f>
        <v/>
      </c>
      <c r="O64" s="61" t="str">
        <f>IF('Registrar recibidas_gastos'!O64="","",'Registrar recibidas_gastos'!O64)</f>
        <v/>
      </c>
      <c r="P64" s="61" t="str">
        <f>IF(OR(LEFT('Registrar recibidas_gastos'!P64,2)="01",'Registrar recibidas_gastos'!P64=""),"",VLOOKUP(CONCATENATE("TIPO NIF",'Registrar recibidas_gastos'!P64),'CODIGO-LITERAL'!$C:$D,2,FALSE))</f>
        <v/>
      </c>
      <c r="Q64" s="61" t="str">
        <f>IF('Registrar recibidas_gastos'!Q64="","",'Registrar recibidas_gastos'!Q64)</f>
        <v/>
      </c>
      <c r="R64" s="61" t="str">
        <f>IF('Registrar recibidas_gastos'!R64="","",'Registrar recibidas_gastos'!R64)</f>
        <v/>
      </c>
      <c r="S64" s="61" t="str">
        <f>IF('Registrar recibidas_gastos'!S64="","",'Registrar recibidas_gastos'!S64)</f>
        <v/>
      </c>
      <c r="T64" s="61" t="str">
        <f>IF('Registrar recibidas_gastos'!T64="","",VLOOKUP(CONCATENATE("CLAVE OPERACION GASTO",'Registrar recibidas_gastos'!T64),'CODIGO-LITERAL'!$C:$D,2,FALSE))</f>
        <v/>
      </c>
      <c r="U64" s="61" t="str">
        <f>IF(T64="","",IF(OR(T64="02",T64="08"),"N",IF('Registrar recibidas_gastos'!U64="","N",'Registrar recibidas_gastos'!U64)))</f>
        <v/>
      </c>
      <c r="V64" s="61" t="str">
        <f>IF(T64="","",IF(OR(T64="07",T64="08",T64="09",F64="F5",F64="LC"),"N",IF('Registrar recibidas_gastos'!V64="","N",'Registrar recibidas_gastos'!V64)))</f>
        <v/>
      </c>
      <c r="W64" s="61" t="str">
        <f>IF(AND(X64="",Y64=""),"",IF(AND(RECIBIDAS_GASTOS!$X64&lt;&gt;"",RECIBIDAS_GASTOS!$Y64&lt;&gt;""),"S",IF('Registrar recibidas_gastos'!W64="","N",'Registrar recibidas_gastos'!W64)))</f>
        <v/>
      </c>
      <c r="X64" s="67" t="str">
        <f>IF('Registrar recibidas_gastos'!X64="","",'Registrar recibidas_gastos'!X64)</f>
        <v/>
      </c>
      <c r="Y64" s="61" t="str">
        <f>IF('Registrar recibidas_gastos'!Y64="","",'Registrar recibidas_gastos'!Y64)</f>
        <v/>
      </c>
      <c r="Z64" s="68" t="str">
        <f>IF('Registrar recibidas_gastos'!Z64="","",IF(AND(F64="",T64=""),"",IF(OR(T64="03",T64="05",T64="09"),AA64,SUM(AA64,AC64,AF64))))</f>
        <v/>
      </c>
      <c r="AA64" s="68" t="str">
        <f>IF('Registrar recibidas_gastos'!AA64="","",ROUND('Registrar recibidas_gastos'!AA64,2))</f>
        <v/>
      </c>
      <c r="AB64" s="61" t="str">
        <f>IF('Registrar recibidas_gastos'!AB64="","",'Registrar recibidas_gastos'!AB64)</f>
        <v/>
      </c>
      <c r="AC64" s="68" t="str">
        <f>IF(OR(T64="03",T64="05"),0,IF('Registrar recibidas_gastos'!AC64="","",ROUND(AA64*AB64/100,2)))</f>
        <v/>
      </c>
      <c r="AD64" s="68" t="str">
        <f>IF('Registrar recibidas_gastos'!AD64="","",ROUND('Registrar recibidas_gastos'!AD64,2))</f>
        <v/>
      </c>
      <c r="AE64" s="61" t="str">
        <f>IF('Registrar recibidas_gastos'!AE64="","",'Registrar recibidas_gastos'!AE64)</f>
        <v/>
      </c>
      <c r="AF64" s="68" t="str">
        <f>IF('Registrar recibidas_gastos'!AF64="","",ROUND(AA64*AE64/100,2))</f>
        <v/>
      </c>
      <c r="AG64" s="67" t="str">
        <f>IF('Registrar recibidas_gastos'!AG64="","",'Registrar recibidas_gastos'!AG64)</f>
        <v/>
      </c>
      <c r="AH64" s="68" t="str">
        <f>IF('Registrar recibidas_gastos'!AH64="","",'Registrar recibidas_gastos'!AH64)</f>
        <v/>
      </c>
      <c r="AI64" s="61" t="str">
        <f>IF('Registrar recibidas_gastos'!AI64="","",VLOOKUP(CONCATENATE("MEDIO UTILIZADO",'Registrar recibidas_gastos'!AI64),'CODIGO-LITERAL'!$C:$D,2,FALSE))</f>
        <v/>
      </c>
      <c r="AJ64" s="61" t="str">
        <f>IF('Registrar recibidas_gastos'!AJ64="","",'Registrar recibidas_gastos'!AJ64)</f>
        <v/>
      </c>
      <c r="AK64" s="62"/>
      <c r="AL64" s="69"/>
      <c r="AM64" s="61" t="str">
        <f>IF('Registrar recibidas_gastos'!AM64="","",'Registrar recibidas_gastos'!AM64)</f>
        <v/>
      </c>
      <c r="AN64" s="61" t="str">
        <f>IF('Registrar recibidas_gastos'!AN64="","",VLOOKUP(CONCATENATE("SITUACION",'Registrar recibidas_gastos'!AN64),'CODIGO-LITERAL'!$C:$D,2,FALSE))</f>
        <v/>
      </c>
      <c r="AO64" s="61" t="str">
        <f>IF('Registrar recibidas_gastos'!AO64="","",'Registrar recibidas_gastos'!AO64)</f>
        <v/>
      </c>
      <c r="AP64" s="61" t="str">
        <f>IF('Registrar recibidas_gastos'!AP64="","",'Registrar recibidas_gastos'!AP64)</f>
        <v/>
      </c>
    </row>
    <row r="65" spans="1:42" x14ac:dyDescent="0.25">
      <c r="A65" s="66" t="str">
        <f>IF('Registrar recibidas_gastos'!A65="","",'Registrar recibidas_gastos'!A65)</f>
        <v/>
      </c>
      <c r="B65" s="61" t="str">
        <f>IF('Registrar recibidas_gastos'!B65="","",'Registrar recibidas_gastos'!B65)</f>
        <v/>
      </c>
      <c r="C65" s="61" t="str">
        <f>IF('Registrar recibidas_gastos'!C65="","",VLOOKUP(CONCATENATE("ACTIVIDAD",'Registrar recibidas_gastos'!C65),'CODIGO-LITERAL'!$C:$D,2,FALSE))</f>
        <v/>
      </c>
      <c r="D65" s="60" t="str">
        <f>IF(OR(C65="C",C65="D"),"",IF(ISERROR(VLOOKUP(CONCATENATE(C65,'Registrar recibidas_gastos'!D65),'CODIGO-LITERAL'!$C:$D,2,FALSE)),"",VLOOKUP(CONCATENATE(C65,'Registrar recibidas_gastos'!D65),'CODIGO-LITERAL'!$C:$D,2,FALSE)))</f>
        <v/>
      </c>
      <c r="E65" s="61" t="str">
        <f>IF('Registrar recibidas_gastos'!E65="","",'Registrar recibidas_gastos'!E65)</f>
        <v/>
      </c>
      <c r="F65" s="61" t="str">
        <f>IF('Registrar recibidas_gastos'!F65="","",VLOOKUP(CONCATENATE("TIPO FACTURA GASTO",'Registrar recibidas_gastos'!F65),'CODIGO-LITERAL'!$C:$D,2,FALSE))</f>
        <v/>
      </c>
      <c r="G65" s="62"/>
      <c r="H65" s="62"/>
      <c r="I65" s="67" t="str">
        <f>IF('Registrar recibidas_gastos'!I65="","",'Registrar recibidas_gastos'!I65)</f>
        <v/>
      </c>
      <c r="J65" s="67" t="str">
        <f>IF('Registrar recibidas_gastos'!J65="","",'Registrar recibidas_gastos'!J65)</f>
        <v/>
      </c>
      <c r="K65" s="61" t="str">
        <f>IF('Registrar recibidas_gastos'!K65="","",'Registrar recibidas_gastos'!K65)</f>
        <v/>
      </c>
      <c r="L65" s="61" t="str">
        <f>IF('Registrar recibidas_gastos'!L65="","",'Registrar recibidas_gastos'!L65)</f>
        <v/>
      </c>
      <c r="M65" s="67" t="str">
        <f>IF('Registrar recibidas_gastos'!M65="","",'Registrar recibidas_gastos'!M65)</f>
        <v/>
      </c>
      <c r="N65" s="61" t="str">
        <f>IF('Registrar recibidas_gastos'!N65="","",'Registrar recibidas_gastos'!N65)</f>
        <v/>
      </c>
      <c r="O65" s="61" t="str">
        <f>IF('Registrar recibidas_gastos'!O65="","",'Registrar recibidas_gastos'!O65)</f>
        <v/>
      </c>
      <c r="P65" s="61" t="str">
        <f>IF(OR(LEFT('Registrar recibidas_gastos'!P65,2)="01",'Registrar recibidas_gastos'!P65=""),"",VLOOKUP(CONCATENATE("TIPO NIF",'Registrar recibidas_gastos'!P65),'CODIGO-LITERAL'!$C:$D,2,FALSE))</f>
        <v/>
      </c>
      <c r="Q65" s="61" t="str">
        <f>IF('Registrar recibidas_gastos'!Q65="","",'Registrar recibidas_gastos'!Q65)</f>
        <v/>
      </c>
      <c r="R65" s="61" t="str">
        <f>IF('Registrar recibidas_gastos'!R65="","",'Registrar recibidas_gastos'!R65)</f>
        <v/>
      </c>
      <c r="S65" s="61" t="str">
        <f>IF('Registrar recibidas_gastos'!S65="","",'Registrar recibidas_gastos'!S65)</f>
        <v/>
      </c>
      <c r="T65" s="61" t="str">
        <f>IF('Registrar recibidas_gastos'!T65="","",VLOOKUP(CONCATENATE("CLAVE OPERACION GASTO",'Registrar recibidas_gastos'!T65),'CODIGO-LITERAL'!$C:$D,2,FALSE))</f>
        <v/>
      </c>
      <c r="U65" s="61" t="str">
        <f>IF(T65="","",IF(OR(T65="02",T65="08"),"N",IF('Registrar recibidas_gastos'!U65="","N",'Registrar recibidas_gastos'!U65)))</f>
        <v/>
      </c>
      <c r="V65" s="61" t="str">
        <f>IF(T65="","",IF(OR(T65="07",T65="08",T65="09",F65="F5",F65="LC"),"N",IF('Registrar recibidas_gastos'!V65="","N",'Registrar recibidas_gastos'!V65)))</f>
        <v/>
      </c>
      <c r="W65" s="61" t="str">
        <f>IF(AND(X65="",Y65=""),"",IF(AND(RECIBIDAS_GASTOS!$X65&lt;&gt;"",RECIBIDAS_GASTOS!$Y65&lt;&gt;""),"S",IF('Registrar recibidas_gastos'!W65="","N",'Registrar recibidas_gastos'!W65)))</f>
        <v/>
      </c>
      <c r="X65" s="67" t="str">
        <f>IF('Registrar recibidas_gastos'!X65="","",'Registrar recibidas_gastos'!X65)</f>
        <v/>
      </c>
      <c r="Y65" s="61" t="str">
        <f>IF('Registrar recibidas_gastos'!Y65="","",'Registrar recibidas_gastos'!Y65)</f>
        <v/>
      </c>
      <c r="Z65" s="68" t="str">
        <f>IF('Registrar recibidas_gastos'!Z65="","",IF(AND(F65="",T65=""),"",IF(OR(T65="03",T65="05",T65="09"),AA65,SUM(AA65,AC65,AF65))))</f>
        <v/>
      </c>
      <c r="AA65" s="68" t="str">
        <f>IF('Registrar recibidas_gastos'!AA65="","",ROUND('Registrar recibidas_gastos'!AA65,2))</f>
        <v/>
      </c>
      <c r="AB65" s="61" t="str">
        <f>IF('Registrar recibidas_gastos'!AB65="","",'Registrar recibidas_gastos'!AB65)</f>
        <v/>
      </c>
      <c r="AC65" s="68" t="str">
        <f>IF(OR(T65="03",T65="05"),0,IF('Registrar recibidas_gastos'!AC65="","",ROUND(AA65*AB65/100,2)))</f>
        <v/>
      </c>
      <c r="AD65" s="68" t="str">
        <f>IF('Registrar recibidas_gastos'!AD65="","",ROUND('Registrar recibidas_gastos'!AD65,2))</f>
        <v/>
      </c>
      <c r="AE65" s="61" t="str">
        <f>IF('Registrar recibidas_gastos'!AE65="","",'Registrar recibidas_gastos'!AE65)</f>
        <v/>
      </c>
      <c r="AF65" s="68" t="str">
        <f>IF('Registrar recibidas_gastos'!AF65="","",ROUND(AA65*AE65/100,2))</f>
        <v/>
      </c>
      <c r="AG65" s="67" t="str">
        <f>IF('Registrar recibidas_gastos'!AG65="","",'Registrar recibidas_gastos'!AG65)</f>
        <v/>
      </c>
      <c r="AH65" s="68" t="str">
        <f>IF('Registrar recibidas_gastos'!AH65="","",'Registrar recibidas_gastos'!AH65)</f>
        <v/>
      </c>
      <c r="AI65" s="61" t="str">
        <f>IF('Registrar recibidas_gastos'!AI65="","",VLOOKUP(CONCATENATE("MEDIO UTILIZADO",'Registrar recibidas_gastos'!AI65),'CODIGO-LITERAL'!$C:$D,2,FALSE))</f>
        <v/>
      </c>
      <c r="AJ65" s="61" t="str">
        <f>IF('Registrar recibidas_gastos'!AJ65="","",'Registrar recibidas_gastos'!AJ65)</f>
        <v/>
      </c>
      <c r="AK65" s="62"/>
      <c r="AL65" s="69"/>
      <c r="AM65" s="61" t="str">
        <f>IF('Registrar recibidas_gastos'!AM65="","",'Registrar recibidas_gastos'!AM65)</f>
        <v/>
      </c>
      <c r="AN65" s="61" t="str">
        <f>IF('Registrar recibidas_gastos'!AN65="","",VLOOKUP(CONCATENATE("SITUACION",'Registrar recibidas_gastos'!AN65),'CODIGO-LITERAL'!$C:$D,2,FALSE))</f>
        <v/>
      </c>
      <c r="AO65" s="61" t="str">
        <f>IF('Registrar recibidas_gastos'!AO65="","",'Registrar recibidas_gastos'!AO65)</f>
        <v/>
      </c>
      <c r="AP65" s="61" t="str">
        <f>IF('Registrar recibidas_gastos'!AP65="","",'Registrar recibidas_gastos'!AP65)</f>
        <v/>
      </c>
    </row>
    <row r="66" spans="1:42" x14ac:dyDescent="0.25">
      <c r="A66" s="66" t="str">
        <f>IF('Registrar recibidas_gastos'!A66="","",'Registrar recibidas_gastos'!A66)</f>
        <v/>
      </c>
      <c r="B66" s="61" t="str">
        <f>IF('Registrar recibidas_gastos'!B66="","",'Registrar recibidas_gastos'!B66)</f>
        <v/>
      </c>
      <c r="C66" s="61" t="str">
        <f>IF('Registrar recibidas_gastos'!C66="","",VLOOKUP(CONCATENATE("ACTIVIDAD",'Registrar recibidas_gastos'!C66),'CODIGO-LITERAL'!$C:$D,2,FALSE))</f>
        <v/>
      </c>
      <c r="D66" s="60" t="str">
        <f>IF(OR(C66="C",C66="D"),"",IF(ISERROR(VLOOKUP(CONCATENATE(C66,'Registrar recibidas_gastos'!D66),'CODIGO-LITERAL'!$C:$D,2,FALSE)),"",VLOOKUP(CONCATENATE(C66,'Registrar recibidas_gastos'!D66),'CODIGO-LITERAL'!$C:$D,2,FALSE)))</f>
        <v/>
      </c>
      <c r="E66" s="61" t="str">
        <f>IF('Registrar recibidas_gastos'!E66="","",'Registrar recibidas_gastos'!E66)</f>
        <v/>
      </c>
      <c r="F66" s="61" t="str">
        <f>IF('Registrar recibidas_gastos'!F66="","",VLOOKUP(CONCATENATE("TIPO FACTURA GASTO",'Registrar recibidas_gastos'!F66),'CODIGO-LITERAL'!$C:$D,2,FALSE))</f>
        <v/>
      </c>
      <c r="G66" s="62"/>
      <c r="H66" s="62"/>
      <c r="I66" s="67" t="str">
        <f>IF('Registrar recibidas_gastos'!I66="","",'Registrar recibidas_gastos'!I66)</f>
        <v/>
      </c>
      <c r="J66" s="67" t="str">
        <f>IF('Registrar recibidas_gastos'!J66="","",'Registrar recibidas_gastos'!J66)</f>
        <v/>
      </c>
      <c r="K66" s="61" t="str">
        <f>IF('Registrar recibidas_gastos'!K66="","",'Registrar recibidas_gastos'!K66)</f>
        <v/>
      </c>
      <c r="L66" s="61" t="str">
        <f>IF('Registrar recibidas_gastos'!L66="","",'Registrar recibidas_gastos'!L66)</f>
        <v/>
      </c>
      <c r="M66" s="67" t="str">
        <f>IF('Registrar recibidas_gastos'!M66="","",'Registrar recibidas_gastos'!M66)</f>
        <v/>
      </c>
      <c r="N66" s="61" t="str">
        <f>IF('Registrar recibidas_gastos'!N66="","",'Registrar recibidas_gastos'!N66)</f>
        <v/>
      </c>
      <c r="O66" s="61" t="str">
        <f>IF('Registrar recibidas_gastos'!O66="","",'Registrar recibidas_gastos'!O66)</f>
        <v/>
      </c>
      <c r="P66" s="61" t="str">
        <f>IF(OR(LEFT('Registrar recibidas_gastos'!P66,2)="01",'Registrar recibidas_gastos'!P66=""),"",VLOOKUP(CONCATENATE("TIPO NIF",'Registrar recibidas_gastos'!P66),'CODIGO-LITERAL'!$C:$D,2,FALSE))</f>
        <v/>
      </c>
      <c r="Q66" s="61" t="str">
        <f>IF('Registrar recibidas_gastos'!Q66="","",'Registrar recibidas_gastos'!Q66)</f>
        <v/>
      </c>
      <c r="R66" s="61" t="str">
        <f>IF('Registrar recibidas_gastos'!R66="","",'Registrar recibidas_gastos'!R66)</f>
        <v/>
      </c>
      <c r="S66" s="61" t="str">
        <f>IF('Registrar recibidas_gastos'!S66="","",'Registrar recibidas_gastos'!S66)</f>
        <v/>
      </c>
      <c r="T66" s="61" t="str">
        <f>IF('Registrar recibidas_gastos'!T66="","",VLOOKUP(CONCATENATE("CLAVE OPERACION GASTO",'Registrar recibidas_gastos'!T66),'CODIGO-LITERAL'!$C:$D,2,FALSE))</f>
        <v/>
      </c>
      <c r="U66" s="61" t="str">
        <f>IF(T66="","",IF(OR(T66="02",T66="08"),"N",IF('Registrar recibidas_gastos'!U66="","N",'Registrar recibidas_gastos'!U66)))</f>
        <v/>
      </c>
      <c r="V66" s="61" t="str">
        <f>IF(T66="","",IF(OR(T66="07",T66="08",T66="09",F66="F5",F66="LC"),"N",IF('Registrar recibidas_gastos'!V66="","N",'Registrar recibidas_gastos'!V66)))</f>
        <v/>
      </c>
      <c r="W66" s="61" t="str">
        <f>IF(AND(X66="",Y66=""),"",IF(AND(RECIBIDAS_GASTOS!$X66&lt;&gt;"",RECIBIDAS_GASTOS!$Y66&lt;&gt;""),"S",IF('Registrar recibidas_gastos'!W66="","N",'Registrar recibidas_gastos'!W66)))</f>
        <v/>
      </c>
      <c r="X66" s="67" t="str">
        <f>IF('Registrar recibidas_gastos'!X66="","",'Registrar recibidas_gastos'!X66)</f>
        <v/>
      </c>
      <c r="Y66" s="61" t="str">
        <f>IF('Registrar recibidas_gastos'!Y66="","",'Registrar recibidas_gastos'!Y66)</f>
        <v/>
      </c>
      <c r="Z66" s="68" t="str">
        <f>IF('Registrar recibidas_gastos'!Z66="","",IF(AND(F66="",T66=""),"",IF(OR(T66="03",T66="05",T66="09"),AA66,SUM(AA66,AC66,AF66))))</f>
        <v/>
      </c>
      <c r="AA66" s="68" t="str">
        <f>IF('Registrar recibidas_gastos'!AA66="","",ROUND('Registrar recibidas_gastos'!AA66,2))</f>
        <v/>
      </c>
      <c r="AB66" s="61" t="str">
        <f>IF('Registrar recibidas_gastos'!AB66="","",'Registrar recibidas_gastos'!AB66)</f>
        <v/>
      </c>
      <c r="AC66" s="68" t="str">
        <f>IF(OR(T66="03",T66="05"),0,IF('Registrar recibidas_gastos'!AC66="","",ROUND(AA66*AB66/100,2)))</f>
        <v/>
      </c>
      <c r="AD66" s="68" t="str">
        <f>IF('Registrar recibidas_gastos'!AD66="","",ROUND('Registrar recibidas_gastos'!AD66,2))</f>
        <v/>
      </c>
      <c r="AE66" s="61" t="str">
        <f>IF('Registrar recibidas_gastos'!AE66="","",'Registrar recibidas_gastos'!AE66)</f>
        <v/>
      </c>
      <c r="AF66" s="68" t="str">
        <f>IF('Registrar recibidas_gastos'!AF66="","",ROUND(AA66*AE66/100,2))</f>
        <v/>
      </c>
      <c r="AG66" s="67" t="str">
        <f>IF('Registrar recibidas_gastos'!AG66="","",'Registrar recibidas_gastos'!AG66)</f>
        <v/>
      </c>
      <c r="AH66" s="68" t="str">
        <f>IF('Registrar recibidas_gastos'!AH66="","",'Registrar recibidas_gastos'!AH66)</f>
        <v/>
      </c>
      <c r="AI66" s="61" t="str">
        <f>IF('Registrar recibidas_gastos'!AI66="","",VLOOKUP(CONCATENATE("MEDIO UTILIZADO",'Registrar recibidas_gastos'!AI66),'CODIGO-LITERAL'!$C:$D,2,FALSE))</f>
        <v/>
      </c>
      <c r="AJ66" s="61" t="str">
        <f>IF('Registrar recibidas_gastos'!AJ66="","",'Registrar recibidas_gastos'!AJ66)</f>
        <v/>
      </c>
      <c r="AK66" s="62"/>
      <c r="AL66" s="69"/>
      <c r="AM66" s="61" t="str">
        <f>IF('Registrar recibidas_gastos'!AM66="","",'Registrar recibidas_gastos'!AM66)</f>
        <v/>
      </c>
      <c r="AN66" s="61" t="str">
        <f>IF('Registrar recibidas_gastos'!AN66="","",VLOOKUP(CONCATENATE("SITUACION",'Registrar recibidas_gastos'!AN66),'CODIGO-LITERAL'!$C:$D,2,FALSE))</f>
        <v/>
      </c>
      <c r="AO66" s="61" t="str">
        <f>IF('Registrar recibidas_gastos'!AO66="","",'Registrar recibidas_gastos'!AO66)</f>
        <v/>
      </c>
      <c r="AP66" s="61" t="str">
        <f>IF('Registrar recibidas_gastos'!AP66="","",'Registrar recibidas_gastos'!AP66)</f>
        <v/>
      </c>
    </row>
    <row r="67" spans="1:42" x14ac:dyDescent="0.25">
      <c r="A67" s="66" t="str">
        <f>IF('Registrar recibidas_gastos'!A67="","",'Registrar recibidas_gastos'!A67)</f>
        <v/>
      </c>
      <c r="B67" s="61" t="str">
        <f>IF('Registrar recibidas_gastos'!B67="","",'Registrar recibidas_gastos'!B67)</f>
        <v/>
      </c>
      <c r="C67" s="61" t="str">
        <f>IF('Registrar recibidas_gastos'!C67="","",VLOOKUP(CONCATENATE("ACTIVIDAD",'Registrar recibidas_gastos'!C67),'CODIGO-LITERAL'!$C:$D,2,FALSE))</f>
        <v/>
      </c>
      <c r="D67" s="60" t="str">
        <f>IF(OR(C67="C",C67="D"),"",IF(ISERROR(VLOOKUP(CONCATENATE(C67,'Registrar recibidas_gastos'!D67),'CODIGO-LITERAL'!$C:$D,2,FALSE)),"",VLOOKUP(CONCATENATE(C67,'Registrar recibidas_gastos'!D67),'CODIGO-LITERAL'!$C:$D,2,FALSE)))</f>
        <v/>
      </c>
      <c r="E67" s="61" t="str">
        <f>IF('Registrar recibidas_gastos'!E67="","",'Registrar recibidas_gastos'!E67)</f>
        <v/>
      </c>
      <c r="F67" s="61" t="str">
        <f>IF('Registrar recibidas_gastos'!F67="","",VLOOKUP(CONCATENATE("TIPO FACTURA GASTO",'Registrar recibidas_gastos'!F67),'CODIGO-LITERAL'!$C:$D,2,FALSE))</f>
        <v/>
      </c>
      <c r="G67" s="62"/>
      <c r="H67" s="62"/>
      <c r="I67" s="67" t="str">
        <f>IF('Registrar recibidas_gastos'!I67="","",'Registrar recibidas_gastos'!I67)</f>
        <v/>
      </c>
      <c r="J67" s="67" t="str">
        <f>IF('Registrar recibidas_gastos'!J67="","",'Registrar recibidas_gastos'!J67)</f>
        <v/>
      </c>
      <c r="K67" s="61" t="str">
        <f>IF('Registrar recibidas_gastos'!K67="","",'Registrar recibidas_gastos'!K67)</f>
        <v/>
      </c>
      <c r="L67" s="61" t="str">
        <f>IF('Registrar recibidas_gastos'!L67="","",'Registrar recibidas_gastos'!L67)</f>
        <v/>
      </c>
      <c r="M67" s="67" t="str">
        <f>IF('Registrar recibidas_gastos'!M67="","",'Registrar recibidas_gastos'!M67)</f>
        <v/>
      </c>
      <c r="N67" s="61" t="str">
        <f>IF('Registrar recibidas_gastos'!N67="","",'Registrar recibidas_gastos'!N67)</f>
        <v/>
      </c>
      <c r="O67" s="61" t="str">
        <f>IF('Registrar recibidas_gastos'!O67="","",'Registrar recibidas_gastos'!O67)</f>
        <v/>
      </c>
      <c r="P67" s="61" t="str">
        <f>IF(OR(LEFT('Registrar recibidas_gastos'!P67,2)="01",'Registrar recibidas_gastos'!P67=""),"",VLOOKUP(CONCATENATE("TIPO NIF",'Registrar recibidas_gastos'!P67),'CODIGO-LITERAL'!$C:$D,2,FALSE))</f>
        <v/>
      </c>
      <c r="Q67" s="61" t="str">
        <f>IF('Registrar recibidas_gastos'!Q67="","",'Registrar recibidas_gastos'!Q67)</f>
        <v/>
      </c>
      <c r="R67" s="61" t="str">
        <f>IF('Registrar recibidas_gastos'!R67="","",'Registrar recibidas_gastos'!R67)</f>
        <v/>
      </c>
      <c r="S67" s="61" t="str">
        <f>IF('Registrar recibidas_gastos'!S67="","",'Registrar recibidas_gastos'!S67)</f>
        <v/>
      </c>
      <c r="T67" s="61" t="str">
        <f>IF('Registrar recibidas_gastos'!T67="","",VLOOKUP(CONCATENATE("CLAVE OPERACION GASTO",'Registrar recibidas_gastos'!T67),'CODIGO-LITERAL'!$C:$D,2,FALSE))</f>
        <v/>
      </c>
      <c r="U67" s="61" t="str">
        <f>IF(T67="","",IF(OR(T67="02",T67="08"),"N",IF('Registrar recibidas_gastos'!U67="","N",'Registrar recibidas_gastos'!U67)))</f>
        <v/>
      </c>
      <c r="V67" s="61" t="str">
        <f>IF(T67="","",IF(OR(T67="07",T67="08",T67="09",F67="F5",F67="LC"),"N",IF('Registrar recibidas_gastos'!V67="","N",'Registrar recibidas_gastos'!V67)))</f>
        <v/>
      </c>
      <c r="W67" s="61" t="str">
        <f>IF(AND(X67="",Y67=""),"",IF(AND(RECIBIDAS_GASTOS!$X67&lt;&gt;"",RECIBIDAS_GASTOS!$Y67&lt;&gt;""),"S",IF('Registrar recibidas_gastos'!W67="","N",'Registrar recibidas_gastos'!W67)))</f>
        <v/>
      </c>
      <c r="X67" s="67" t="str">
        <f>IF('Registrar recibidas_gastos'!X67="","",'Registrar recibidas_gastos'!X67)</f>
        <v/>
      </c>
      <c r="Y67" s="61" t="str">
        <f>IF('Registrar recibidas_gastos'!Y67="","",'Registrar recibidas_gastos'!Y67)</f>
        <v/>
      </c>
      <c r="Z67" s="68" t="str">
        <f>IF('Registrar recibidas_gastos'!Z67="","",IF(AND(F67="",T67=""),"",IF(OR(T67="03",T67="05",T67="09"),AA67,SUM(AA67,AC67,AF67))))</f>
        <v/>
      </c>
      <c r="AA67" s="68" t="str">
        <f>IF('Registrar recibidas_gastos'!AA67="","",ROUND('Registrar recibidas_gastos'!AA67,2))</f>
        <v/>
      </c>
      <c r="AB67" s="61" t="str">
        <f>IF('Registrar recibidas_gastos'!AB67="","",'Registrar recibidas_gastos'!AB67)</f>
        <v/>
      </c>
      <c r="AC67" s="68" t="str">
        <f>IF(OR(T67="03",T67="05"),0,IF('Registrar recibidas_gastos'!AC67="","",ROUND(AA67*AB67/100,2)))</f>
        <v/>
      </c>
      <c r="AD67" s="68" t="str">
        <f>IF('Registrar recibidas_gastos'!AD67="","",ROUND('Registrar recibidas_gastos'!AD67,2))</f>
        <v/>
      </c>
      <c r="AE67" s="61" t="str">
        <f>IF('Registrar recibidas_gastos'!AE67="","",'Registrar recibidas_gastos'!AE67)</f>
        <v/>
      </c>
      <c r="AF67" s="68" t="str">
        <f>IF('Registrar recibidas_gastos'!AF67="","",ROUND(AA67*AE67/100,2))</f>
        <v/>
      </c>
      <c r="AG67" s="67" t="str">
        <f>IF('Registrar recibidas_gastos'!AG67="","",'Registrar recibidas_gastos'!AG67)</f>
        <v/>
      </c>
      <c r="AH67" s="68" t="str">
        <f>IF('Registrar recibidas_gastos'!AH67="","",'Registrar recibidas_gastos'!AH67)</f>
        <v/>
      </c>
      <c r="AI67" s="61" t="str">
        <f>IF('Registrar recibidas_gastos'!AI67="","",VLOOKUP(CONCATENATE("MEDIO UTILIZADO",'Registrar recibidas_gastos'!AI67),'CODIGO-LITERAL'!$C:$D,2,FALSE))</f>
        <v/>
      </c>
      <c r="AJ67" s="61" t="str">
        <f>IF('Registrar recibidas_gastos'!AJ67="","",'Registrar recibidas_gastos'!AJ67)</f>
        <v/>
      </c>
      <c r="AK67" s="62"/>
      <c r="AL67" s="69"/>
      <c r="AM67" s="61" t="str">
        <f>IF('Registrar recibidas_gastos'!AM67="","",'Registrar recibidas_gastos'!AM67)</f>
        <v/>
      </c>
      <c r="AN67" s="61" t="str">
        <f>IF('Registrar recibidas_gastos'!AN67="","",VLOOKUP(CONCATENATE("SITUACION",'Registrar recibidas_gastos'!AN67),'CODIGO-LITERAL'!$C:$D,2,FALSE))</f>
        <v/>
      </c>
      <c r="AO67" s="61" t="str">
        <f>IF('Registrar recibidas_gastos'!AO67="","",'Registrar recibidas_gastos'!AO67)</f>
        <v/>
      </c>
      <c r="AP67" s="61" t="str">
        <f>IF('Registrar recibidas_gastos'!AP67="","",'Registrar recibidas_gastos'!AP67)</f>
        <v/>
      </c>
    </row>
    <row r="68" spans="1:42" x14ac:dyDescent="0.25">
      <c r="A68" s="66" t="str">
        <f>IF('Registrar recibidas_gastos'!A68="","",'Registrar recibidas_gastos'!A68)</f>
        <v/>
      </c>
      <c r="B68" s="61" t="str">
        <f>IF('Registrar recibidas_gastos'!B68="","",'Registrar recibidas_gastos'!B68)</f>
        <v/>
      </c>
      <c r="C68" s="61" t="str">
        <f>IF('Registrar recibidas_gastos'!C68="","",VLOOKUP(CONCATENATE("ACTIVIDAD",'Registrar recibidas_gastos'!C68),'CODIGO-LITERAL'!$C:$D,2,FALSE))</f>
        <v/>
      </c>
      <c r="D68" s="60" t="str">
        <f>IF(OR(C68="C",C68="D"),"",IF(ISERROR(VLOOKUP(CONCATENATE(C68,'Registrar recibidas_gastos'!D68),'CODIGO-LITERAL'!$C:$D,2,FALSE)),"",VLOOKUP(CONCATENATE(C68,'Registrar recibidas_gastos'!D68),'CODIGO-LITERAL'!$C:$D,2,FALSE)))</f>
        <v/>
      </c>
      <c r="E68" s="61" t="str">
        <f>IF('Registrar recibidas_gastos'!E68="","",'Registrar recibidas_gastos'!E68)</f>
        <v/>
      </c>
      <c r="F68" s="61" t="str">
        <f>IF('Registrar recibidas_gastos'!F68="","",VLOOKUP(CONCATENATE("TIPO FACTURA GASTO",'Registrar recibidas_gastos'!F68),'CODIGO-LITERAL'!$C:$D,2,FALSE))</f>
        <v/>
      </c>
      <c r="G68" s="62"/>
      <c r="H68" s="62"/>
      <c r="I68" s="67" t="str">
        <f>IF('Registrar recibidas_gastos'!I68="","",'Registrar recibidas_gastos'!I68)</f>
        <v/>
      </c>
      <c r="J68" s="67" t="str">
        <f>IF('Registrar recibidas_gastos'!J68="","",'Registrar recibidas_gastos'!J68)</f>
        <v/>
      </c>
      <c r="K68" s="61" t="str">
        <f>IF('Registrar recibidas_gastos'!K68="","",'Registrar recibidas_gastos'!K68)</f>
        <v/>
      </c>
      <c r="L68" s="61" t="str">
        <f>IF('Registrar recibidas_gastos'!L68="","",'Registrar recibidas_gastos'!L68)</f>
        <v/>
      </c>
      <c r="M68" s="67" t="str">
        <f>IF('Registrar recibidas_gastos'!M68="","",'Registrar recibidas_gastos'!M68)</f>
        <v/>
      </c>
      <c r="N68" s="61" t="str">
        <f>IF('Registrar recibidas_gastos'!N68="","",'Registrar recibidas_gastos'!N68)</f>
        <v/>
      </c>
      <c r="O68" s="61" t="str">
        <f>IF('Registrar recibidas_gastos'!O68="","",'Registrar recibidas_gastos'!O68)</f>
        <v/>
      </c>
      <c r="P68" s="61" t="str">
        <f>IF(OR(LEFT('Registrar recibidas_gastos'!P68,2)="01",'Registrar recibidas_gastos'!P68=""),"",VLOOKUP(CONCATENATE("TIPO NIF",'Registrar recibidas_gastos'!P68),'CODIGO-LITERAL'!$C:$D,2,FALSE))</f>
        <v/>
      </c>
      <c r="Q68" s="61" t="str">
        <f>IF('Registrar recibidas_gastos'!Q68="","",'Registrar recibidas_gastos'!Q68)</f>
        <v/>
      </c>
      <c r="R68" s="61" t="str">
        <f>IF('Registrar recibidas_gastos'!R68="","",'Registrar recibidas_gastos'!R68)</f>
        <v/>
      </c>
      <c r="S68" s="61" t="str">
        <f>IF('Registrar recibidas_gastos'!S68="","",'Registrar recibidas_gastos'!S68)</f>
        <v/>
      </c>
      <c r="T68" s="61" t="str">
        <f>IF('Registrar recibidas_gastos'!T68="","",VLOOKUP(CONCATENATE("CLAVE OPERACION GASTO",'Registrar recibidas_gastos'!T68),'CODIGO-LITERAL'!$C:$D,2,FALSE))</f>
        <v/>
      </c>
      <c r="U68" s="61" t="str">
        <f>IF(T68="","",IF(OR(T68="02",T68="08"),"N",IF('Registrar recibidas_gastos'!U68="","N",'Registrar recibidas_gastos'!U68)))</f>
        <v/>
      </c>
      <c r="V68" s="61" t="str">
        <f>IF(T68="","",IF(OR(T68="07",T68="08",T68="09",F68="F5",F68="LC"),"N",IF('Registrar recibidas_gastos'!V68="","N",'Registrar recibidas_gastos'!V68)))</f>
        <v/>
      </c>
      <c r="W68" s="61" t="str">
        <f>IF(AND(X68="",Y68=""),"",IF(AND(RECIBIDAS_GASTOS!$X68&lt;&gt;"",RECIBIDAS_GASTOS!$Y68&lt;&gt;""),"S",IF('Registrar recibidas_gastos'!W68="","N",'Registrar recibidas_gastos'!W68)))</f>
        <v/>
      </c>
      <c r="X68" s="67" t="str">
        <f>IF('Registrar recibidas_gastos'!X68="","",'Registrar recibidas_gastos'!X68)</f>
        <v/>
      </c>
      <c r="Y68" s="61" t="str">
        <f>IF('Registrar recibidas_gastos'!Y68="","",'Registrar recibidas_gastos'!Y68)</f>
        <v/>
      </c>
      <c r="Z68" s="68" t="str">
        <f>IF('Registrar recibidas_gastos'!Z68="","",IF(AND(F68="",T68=""),"",IF(OR(T68="03",T68="05",T68="09"),AA68,SUM(AA68,AC68,AF68))))</f>
        <v/>
      </c>
      <c r="AA68" s="68" t="str">
        <f>IF('Registrar recibidas_gastos'!AA68="","",ROUND('Registrar recibidas_gastos'!AA68,2))</f>
        <v/>
      </c>
      <c r="AB68" s="61" t="str">
        <f>IF('Registrar recibidas_gastos'!AB68="","",'Registrar recibidas_gastos'!AB68)</f>
        <v/>
      </c>
      <c r="AC68" s="68" t="str">
        <f>IF(OR(T68="03",T68="05"),0,IF('Registrar recibidas_gastos'!AC68="","",ROUND(AA68*AB68/100,2)))</f>
        <v/>
      </c>
      <c r="AD68" s="68" t="str">
        <f>IF('Registrar recibidas_gastos'!AD68="","",ROUND('Registrar recibidas_gastos'!AD68,2))</f>
        <v/>
      </c>
      <c r="AE68" s="61" t="str">
        <f>IF('Registrar recibidas_gastos'!AE68="","",'Registrar recibidas_gastos'!AE68)</f>
        <v/>
      </c>
      <c r="AF68" s="68" t="str">
        <f>IF('Registrar recibidas_gastos'!AF68="","",ROUND(AA68*AE68/100,2))</f>
        <v/>
      </c>
      <c r="AG68" s="67" t="str">
        <f>IF('Registrar recibidas_gastos'!AG68="","",'Registrar recibidas_gastos'!AG68)</f>
        <v/>
      </c>
      <c r="AH68" s="68" t="str">
        <f>IF('Registrar recibidas_gastos'!AH68="","",'Registrar recibidas_gastos'!AH68)</f>
        <v/>
      </c>
      <c r="AI68" s="61" t="str">
        <f>IF('Registrar recibidas_gastos'!AI68="","",VLOOKUP(CONCATENATE("MEDIO UTILIZADO",'Registrar recibidas_gastos'!AI68),'CODIGO-LITERAL'!$C:$D,2,FALSE))</f>
        <v/>
      </c>
      <c r="AJ68" s="61" t="str">
        <f>IF('Registrar recibidas_gastos'!AJ68="","",'Registrar recibidas_gastos'!AJ68)</f>
        <v/>
      </c>
      <c r="AK68" s="62"/>
      <c r="AL68" s="69"/>
      <c r="AM68" s="61" t="str">
        <f>IF('Registrar recibidas_gastos'!AM68="","",'Registrar recibidas_gastos'!AM68)</f>
        <v/>
      </c>
      <c r="AN68" s="61" t="str">
        <f>IF('Registrar recibidas_gastos'!AN68="","",VLOOKUP(CONCATENATE("SITUACION",'Registrar recibidas_gastos'!AN68),'CODIGO-LITERAL'!$C:$D,2,FALSE))</f>
        <v/>
      </c>
      <c r="AO68" s="61" t="str">
        <f>IF('Registrar recibidas_gastos'!AO68="","",'Registrar recibidas_gastos'!AO68)</f>
        <v/>
      </c>
      <c r="AP68" s="61" t="str">
        <f>IF('Registrar recibidas_gastos'!AP68="","",'Registrar recibidas_gastos'!AP68)</f>
        <v/>
      </c>
    </row>
    <row r="69" spans="1:42" x14ac:dyDescent="0.25">
      <c r="A69" s="66" t="str">
        <f>IF('Registrar recibidas_gastos'!A69="","",'Registrar recibidas_gastos'!A69)</f>
        <v/>
      </c>
      <c r="B69" s="61" t="str">
        <f>IF('Registrar recibidas_gastos'!B69="","",'Registrar recibidas_gastos'!B69)</f>
        <v/>
      </c>
      <c r="C69" s="61" t="str">
        <f>IF('Registrar recibidas_gastos'!C69="","",VLOOKUP(CONCATENATE("ACTIVIDAD",'Registrar recibidas_gastos'!C69),'CODIGO-LITERAL'!$C:$D,2,FALSE))</f>
        <v/>
      </c>
      <c r="D69" s="60" t="str">
        <f>IF(OR(C69="C",C69="D"),"",IF(ISERROR(VLOOKUP(CONCATENATE(C69,'Registrar recibidas_gastos'!D69),'CODIGO-LITERAL'!$C:$D,2,FALSE)),"",VLOOKUP(CONCATENATE(C69,'Registrar recibidas_gastos'!D69),'CODIGO-LITERAL'!$C:$D,2,FALSE)))</f>
        <v/>
      </c>
      <c r="E69" s="61" t="str">
        <f>IF('Registrar recibidas_gastos'!E69="","",'Registrar recibidas_gastos'!E69)</f>
        <v/>
      </c>
      <c r="F69" s="61" t="str">
        <f>IF('Registrar recibidas_gastos'!F69="","",VLOOKUP(CONCATENATE("TIPO FACTURA GASTO",'Registrar recibidas_gastos'!F69),'CODIGO-LITERAL'!$C:$D,2,FALSE))</f>
        <v/>
      </c>
      <c r="G69" s="62"/>
      <c r="H69" s="62"/>
      <c r="I69" s="67" t="str">
        <f>IF('Registrar recibidas_gastos'!I69="","",'Registrar recibidas_gastos'!I69)</f>
        <v/>
      </c>
      <c r="J69" s="67" t="str">
        <f>IF('Registrar recibidas_gastos'!J69="","",'Registrar recibidas_gastos'!J69)</f>
        <v/>
      </c>
      <c r="K69" s="61" t="str">
        <f>IF('Registrar recibidas_gastos'!K69="","",'Registrar recibidas_gastos'!K69)</f>
        <v/>
      </c>
      <c r="L69" s="61" t="str">
        <f>IF('Registrar recibidas_gastos'!L69="","",'Registrar recibidas_gastos'!L69)</f>
        <v/>
      </c>
      <c r="M69" s="67" t="str">
        <f>IF('Registrar recibidas_gastos'!M69="","",'Registrar recibidas_gastos'!M69)</f>
        <v/>
      </c>
      <c r="N69" s="61" t="str">
        <f>IF('Registrar recibidas_gastos'!N69="","",'Registrar recibidas_gastos'!N69)</f>
        <v/>
      </c>
      <c r="O69" s="61" t="str">
        <f>IF('Registrar recibidas_gastos'!O69="","",'Registrar recibidas_gastos'!O69)</f>
        <v/>
      </c>
      <c r="P69" s="61" t="str">
        <f>IF(OR(LEFT('Registrar recibidas_gastos'!P69,2)="01",'Registrar recibidas_gastos'!P69=""),"",VLOOKUP(CONCATENATE("TIPO NIF",'Registrar recibidas_gastos'!P69),'CODIGO-LITERAL'!$C:$D,2,FALSE))</f>
        <v/>
      </c>
      <c r="Q69" s="61" t="str">
        <f>IF('Registrar recibidas_gastos'!Q69="","",'Registrar recibidas_gastos'!Q69)</f>
        <v/>
      </c>
      <c r="R69" s="61" t="str">
        <f>IF('Registrar recibidas_gastos'!R69="","",'Registrar recibidas_gastos'!R69)</f>
        <v/>
      </c>
      <c r="S69" s="61" t="str">
        <f>IF('Registrar recibidas_gastos'!S69="","",'Registrar recibidas_gastos'!S69)</f>
        <v/>
      </c>
      <c r="T69" s="61" t="str">
        <f>IF('Registrar recibidas_gastos'!T69="","",VLOOKUP(CONCATENATE("CLAVE OPERACION GASTO",'Registrar recibidas_gastos'!T69),'CODIGO-LITERAL'!$C:$D,2,FALSE))</f>
        <v/>
      </c>
      <c r="U69" s="61" t="str">
        <f>IF(T69="","",IF(OR(T69="02",T69="08"),"N",IF('Registrar recibidas_gastos'!U69="","N",'Registrar recibidas_gastos'!U69)))</f>
        <v/>
      </c>
      <c r="V69" s="61" t="str">
        <f>IF(T69="","",IF(OR(T69="07",T69="08",T69="09",F69="F5",F69="LC"),"N",IF('Registrar recibidas_gastos'!V69="","N",'Registrar recibidas_gastos'!V69)))</f>
        <v/>
      </c>
      <c r="W69" s="61" t="str">
        <f>IF(AND(X69="",Y69=""),"",IF(AND(RECIBIDAS_GASTOS!$X69&lt;&gt;"",RECIBIDAS_GASTOS!$Y69&lt;&gt;""),"S",IF('Registrar recibidas_gastos'!W69="","N",'Registrar recibidas_gastos'!W69)))</f>
        <v/>
      </c>
      <c r="X69" s="67" t="str">
        <f>IF('Registrar recibidas_gastos'!X69="","",'Registrar recibidas_gastos'!X69)</f>
        <v/>
      </c>
      <c r="Y69" s="61" t="str">
        <f>IF('Registrar recibidas_gastos'!Y69="","",'Registrar recibidas_gastos'!Y69)</f>
        <v/>
      </c>
      <c r="Z69" s="68" t="str">
        <f>IF('Registrar recibidas_gastos'!Z69="","",IF(AND(F69="",T69=""),"",IF(OR(T69="03",T69="05",T69="09"),AA69,SUM(AA69,AC69,AF69))))</f>
        <v/>
      </c>
      <c r="AA69" s="68" t="str">
        <f>IF('Registrar recibidas_gastos'!AA69="","",ROUND('Registrar recibidas_gastos'!AA69,2))</f>
        <v/>
      </c>
      <c r="AB69" s="61" t="str">
        <f>IF('Registrar recibidas_gastos'!AB69="","",'Registrar recibidas_gastos'!AB69)</f>
        <v/>
      </c>
      <c r="AC69" s="68" t="str">
        <f>IF(OR(T69="03",T69="05"),0,IF('Registrar recibidas_gastos'!AC69="","",ROUND(AA69*AB69/100,2)))</f>
        <v/>
      </c>
      <c r="AD69" s="68" t="str">
        <f>IF('Registrar recibidas_gastos'!AD69="","",ROUND('Registrar recibidas_gastos'!AD69,2))</f>
        <v/>
      </c>
      <c r="AE69" s="61" t="str">
        <f>IF('Registrar recibidas_gastos'!AE69="","",'Registrar recibidas_gastos'!AE69)</f>
        <v/>
      </c>
      <c r="AF69" s="68" t="str">
        <f>IF('Registrar recibidas_gastos'!AF69="","",ROUND(AA69*AE69/100,2))</f>
        <v/>
      </c>
      <c r="AG69" s="67" t="str">
        <f>IF('Registrar recibidas_gastos'!AG69="","",'Registrar recibidas_gastos'!AG69)</f>
        <v/>
      </c>
      <c r="AH69" s="68" t="str">
        <f>IF('Registrar recibidas_gastos'!AH69="","",'Registrar recibidas_gastos'!AH69)</f>
        <v/>
      </c>
      <c r="AI69" s="61" t="str">
        <f>IF('Registrar recibidas_gastos'!AI69="","",VLOOKUP(CONCATENATE("MEDIO UTILIZADO",'Registrar recibidas_gastos'!AI69),'CODIGO-LITERAL'!$C:$D,2,FALSE))</f>
        <v/>
      </c>
      <c r="AJ69" s="61" t="str">
        <f>IF('Registrar recibidas_gastos'!AJ69="","",'Registrar recibidas_gastos'!AJ69)</f>
        <v/>
      </c>
      <c r="AK69" s="62"/>
      <c r="AL69" s="69"/>
      <c r="AM69" s="61" t="str">
        <f>IF('Registrar recibidas_gastos'!AM69="","",'Registrar recibidas_gastos'!AM69)</f>
        <v/>
      </c>
      <c r="AN69" s="61" t="str">
        <f>IF('Registrar recibidas_gastos'!AN69="","",VLOOKUP(CONCATENATE("SITUACION",'Registrar recibidas_gastos'!AN69),'CODIGO-LITERAL'!$C:$D,2,FALSE))</f>
        <v/>
      </c>
      <c r="AO69" s="61" t="str">
        <f>IF('Registrar recibidas_gastos'!AO69="","",'Registrar recibidas_gastos'!AO69)</f>
        <v/>
      </c>
      <c r="AP69" s="61" t="str">
        <f>IF('Registrar recibidas_gastos'!AP69="","",'Registrar recibidas_gastos'!AP69)</f>
        <v/>
      </c>
    </row>
    <row r="70" spans="1:42" x14ac:dyDescent="0.25">
      <c r="A70" s="66" t="str">
        <f>IF('Registrar recibidas_gastos'!A70="","",'Registrar recibidas_gastos'!A70)</f>
        <v/>
      </c>
      <c r="B70" s="61" t="str">
        <f>IF('Registrar recibidas_gastos'!B70="","",'Registrar recibidas_gastos'!B70)</f>
        <v/>
      </c>
      <c r="C70" s="61" t="str">
        <f>IF('Registrar recibidas_gastos'!C70="","",VLOOKUP(CONCATENATE("ACTIVIDAD",'Registrar recibidas_gastos'!C70),'CODIGO-LITERAL'!$C:$D,2,FALSE))</f>
        <v/>
      </c>
      <c r="D70" s="60" t="str">
        <f>IF(OR(C70="C",C70="D"),"",IF(ISERROR(VLOOKUP(CONCATENATE(C70,'Registrar recibidas_gastos'!D70),'CODIGO-LITERAL'!$C:$D,2,FALSE)),"",VLOOKUP(CONCATENATE(C70,'Registrar recibidas_gastos'!D70),'CODIGO-LITERAL'!$C:$D,2,FALSE)))</f>
        <v/>
      </c>
      <c r="E70" s="61" t="str">
        <f>IF('Registrar recibidas_gastos'!E70="","",'Registrar recibidas_gastos'!E70)</f>
        <v/>
      </c>
      <c r="F70" s="61" t="str">
        <f>IF('Registrar recibidas_gastos'!F70="","",VLOOKUP(CONCATENATE("TIPO FACTURA GASTO",'Registrar recibidas_gastos'!F70),'CODIGO-LITERAL'!$C:$D,2,FALSE))</f>
        <v/>
      </c>
      <c r="G70" s="62"/>
      <c r="H70" s="62"/>
      <c r="I70" s="67" t="str">
        <f>IF('Registrar recibidas_gastos'!I70="","",'Registrar recibidas_gastos'!I70)</f>
        <v/>
      </c>
      <c r="J70" s="67" t="str">
        <f>IF('Registrar recibidas_gastos'!J70="","",'Registrar recibidas_gastos'!J70)</f>
        <v/>
      </c>
      <c r="K70" s="61" t="str">
        <f>IF('Registrar recibidas_gastos'!K70="","",'Registrar recibidas_gastos'!K70)</f>
        <v/>
      </c>
      <c r="L70" s="61" t="str">
        <f>IF('Registrar recibidas_gastos'!L70="","",'Registrar recibidas_gastos'!L70)</f>
        <v/>
      </c>
      <c r="M70" s="67" t="str">
        <f>IF('Registrar recibidas_gastos'!M70="","",'Registrar recibidas_gastos'!M70)</f>
        <v/>
      </c>
      <c r="N70" s="61" t="str">
        <f>IF('Registrar recibidas_gastos'!N70="","",'Registrar recibidas_gastos'!N70)</f>
        <v/>
      </c>
      <c r="O70" s="61" t="str">
        <f>IF('Registrar recibidas_gastos'!O70="","",'Registrar recibidas_gastos'!O70)</f>
        <v/>
      </c>
      <c r="P70" s="61" t="str">
        <f>IF(OR(LEFT('Registrar recibidas_gastos'!P70,2)="01",'Registrar recibidas_gastos'!P70=""),"",VLOOKUP(CONCATENATE("TIPO NIF",'Registrar recibidas_gastos'!P70),'CODIGO-LITERAL'!$C:$D,2,FALSE))</f>
        <v/>
      </c>
      <c r="Q70" s="61" t="str">
        <f>IF('Registrar recibidas_gastos'!Q70="","",'Registrar recibidas_gastos'!Q70)</f>
        <v/>
      </c>
      <c r="R70" s="61" t="str">
        <f>IF('Registrar recibidas_gastos'!R70="","",'Registrar recibidas_gastos'!R70)</f>
        <v/>
      </c>
      <c r="S70" s="61" t="str">
        <f>IF('Registrar recibidas_gastos'!S70="","",'Registrar recibidas_gastos'!S70)</f>
        <v/>
      </c>
      <c r="T70" s="61" t="str">
        <f>IF('Registrar recibidas_gastos'!T70="","",VLOOKUP(CONCATENATE("CLAVE OPERACION GASTO",'Registrar recibidas_gastos'!T70),'CODIGO-LITERAL'!$C:$D,2,FALSE))</f>
        <v/>
      </c>
      <c r="U70" s="61" t="str">
        <f>IF(T70="","",IF(OR(T70="02",T70="08"),"N",IF('Registrar recibidas_gastos'!U70="","N",'Registrar recibidas_gastos'!U70)))</f>
        <v/>
      </c>
      <c r="V70" s="61" t="str">
        <f>IF(T70="","",IF(OR(T70="07",T70="08",T70="09",F70="F5",F70="LC"),"N",IF('Registrar recibidas_gastos'!V70="","N",'Registrar recibidas_gastos'!V70)))</f>
        <v/>
      </c>
      <c r="W70" s="61" t="str">
        <f>IF(AND(X70="",Y70=""),"",IF(AND(RECIBIDAS_GASTOS!$X70&lt;&gt;"",RECIBIDAS_GASTOS!$Y70&lt;&gt;""),"S",IF('Registrar recibidas_gastos'!W70="","N",'Registrar recibidas_gastos'!W70)))</f>
        <v/>
      </c>
      <c r="X70" s="67" t="str">
        <f>IF('Registrar recibidas_gastos'!X70="","",'Registrar recibidas_gastos'!X70)</f>
        <v/>
      </c>
      <c r="Y70" s="61" t="str">
        <f>IF('Registrar recibidas_gastos'!Y70="","",'Registrar recibidas_gastos'!Y70)</f>
        <v/>
      </c>
      <c r="Z70" s="68" t="str">
        <f>IF('Registrar recibidas_gastos'!Z70="","",IF(AND(F70="",T70=""),"",IF(OR(T70="03",T70="05",T70="09"),AA70,SUM(AA70,AC70,AF70))))</f>
        <v/>
      </c>
      <c r="AA70" s="68" t="str">
        <f>IF('Registrar recibidas_gastos'!AA70="","",ROUND('Registrar recibidas_gastos'!AA70,2))</f>
        <v/>
      </c>
      <c r="AB70" s="61" t="str">
        <f>IF('Registrar recibidas_gastos'!AB70="","",'Registrar recibidas_gastos'!AB70)</f>
        <v/>
      </c>
      <c r="AC70" s="68" t="str">
        <f>IF(OR(T70="03",T70="05"),0,IF('Registrar recibidas_gastos'!AC70="","",ROUND(AA70*AB70/100,2)))</f>
        <v/>
      </c>
      <c r="AD70" s="68" t="str">
        <f>IF('Registrar recibidas_gastos'!AD70="","",ROUND('Registrar recibidas_gastos'!AD70,2))</f>
        <v/>
      </c>
      <c r="AE70" s="61" t="str">
        <f>IF('Registrar recibidas_gastos'!AE70="","",'Registrar recibidas_gastos'!AE70)</f>
        <v/>
      </c>
      <c r="AF70" s="68" t="str">
        <f>IF('Registrar recibidas_gastos'!AF70="","",ROUND(AA70*AE70/100,2))</f>
        <v/>
      </c>
      <c r="AG70" s="67" t="str">
        <f>IF('Registrar recibidas_gastos'!AG70="","",'Registrar recibidas_gastos'!AG70)</f>
        <v/>
      </c>
      <c r="AH70" s="68" t="str">
        <f>IF('Registrar recibidas_gastos'!AH70="","",'Registrar recibidas_gastos'!AH70)</f>
        <v/>
      </c>
      <c r="AI70" s="61" t="str">
        <f>IF('Registrar recibidas_gastos'!AI70="","",VLOOKUP(CONCATENATE("MEDIO UTILIZADO",'Registrar recibidas_gastos'!AI70),'CODIGO-LITERAL'!$C:$D,2,FALSE))</f>
        <v/>
      </c>
      <c r="AJ70" s="61" t="str">
        <f>IF('Registrar recibidas_gastos'!AJ70="","",'Registrar recibidas_gastos'!AJ70)</f>
        <v/>
      </c>
      <c r="AK70" s="62"/>
      <c r="AL70" s="69"/>
      <c r="AM70" s="61" t="str">
        <f>IF('Registrar recibidas_gastos'!AM70="","",'Registrar recibidas_gastos'!AM70)</f>
        <v/>
      </c>
      <c r="AN70" s="61" t="str">
        <f>IF('Registrar recibidas_gastos'!AN70="","",VLOOKUP(CONCATENATE("SITUACION",'Registrar recibidas_gastos'!AN70),'CODIGO-LITERAL'!$C:$D,2,FALSE))</f>
        <v/>
      </c>
      <c r="AO70" s="61" t="str">
        <f>IF('Registrar recibidas_gastos'!AO70="","",'Registrar recibidas_gastos'!AO70)</f>
        <v/>
      </c>
      <c r="AP70" s="61" t="str">
        <f>IF('Registrar recibidas_gastos'!AP70="","",'Registrar recibidas_gastos'!AP70)</f>
        <v/>
      </c>
    </row>
    <row r="71" spans="1:42" x14ac:dyDescent="0.25">
      <c r="A71" s="66" t="str">
        <f>IF('Registrar recibidas_gastos'!A71="","",'Registrar recibidas_gastos'!A71)</f>
        <v/>
      </c>
      <c r="B71" s="61" t="str">
        <f>IF('Registrar recibidas_gastos'!B71="","",'Registrar recibidas_gastos'!B71)</f>
        <v/>
      </c>
      <c r="C71" s="61" t="str">
        <f>IF('Registrar recibidas_gastos'!C71="","",VLOOKUP(CONCATENATE("ACTIVIDAD",'Registrar recibidas_gastos'!C71),'CODIGO-LITERAL'!$C:$D,2,FALSE))</f>
        <v/>
      </c>
      <c r="D71" s="60" t="str">
        <f>IF(OR(C71="C",C71="D"),"",IF(ISERROR(VLOOKUP(CONCATENATE(C71,'Registrar recibidas_gastos'!D71),'CODIGO-LITERAL'!$C:$D,2,FALSE)),"",VLOOKUP(CONCATENATE(C71,'Registrar recibidas_gastos'!D71),'CODIGO-LITERAL'!$C:$D,2,FALSE)))</f>
        <v/>
      </c>
      <c r="E71" s="61" t="str">
        <f>IF('Registrar recibidas_gastos'!E71="","",'Registrar recibidas_gastos'!E71)</f>
        <v/>
      </c>
      <c r="F71" s="61" t="str">
        <f>IF('Registrar recibidas_gastos'!F71="","",VLOOKUP(CONCATENATE("TIPO FACTURA GASTO",'Registrar recibidas_gastos'!F71),'CODIGO-LITERAL'!$C:$D,2,FALSE))</f>
        <v/>
      </c>
      <c r="G71" s="62"/>
      <c r="H71" s="62"/>
      <c r="I71" s="67" t="str">
        <f>IF('Registrar recibidas_gastos'!I71="","",'Registrar recibidas_gastos'!I71)</f>
        <v/>
      </c>
      <c r="J71" s="67" t="str">
        <f>IF('Registrar recibidas_gastos'!J71="","",'Registrar recibidas_gastos'!J71)</f>
        <v/>
      </c>
      <c r="K71" s="61" t="str">
        <f>IF('Registrar recibidas_gastos'!K71="","",'Registrar recibidas_gastos'!K71)</f>
        <v/>
      </c>
      <c r="L71" s="61" t="str">
        <f>IF('Registrar recibidas_gastos'!L71="","",'Registrar recibidas_gastos'!L71)</f>
        <v/>
      </c>
      <c r="M71" s="67" t="str">
        <f>IF('Registrar recibidas_gastos'!M71="","",'Registrar recibidas_gastos'!M71)</f>
        <v/>
      </c>
      <c r="N71" s="61" t="str">
        <f>IF('Registrar recibidas_gastos'!N71="","",'Registrar recibidas_gastos'!N71)</f>
        <v/>
      </c>
      <c r="O71" s="61" t="str">
        <f>IF('Registrar recibidas_gastos'!O71="","",'Registrar recibidas_gastos'!O71)</f>
        <v/>
      </c>
      <c r="P71" s="61" t="str">
        <f>IF(OR(LEFT('Registrar recibidas_gastos'!P71,2)="01",'Registrar recibidas_gastos'!P71=""),"",VLOOKUP(CONCATENATE("TIPO NIF",'Registrar recibidas_gastos'!P71),'CODIGO-LITERAL'!$C:$D,2,FALSE))</f>
        <v/>
      </c>
      <c r="Q71" s="61" t="str">
        <f>IF('Registrar recibidas_gastos'!Q71="","",'Registrar recibidas_gastos'!Q71)</f>
        <v/>
      </c>
      <c r="R71" s="61" t="str">
        <f>IF('Registrar recibidas_gastos'!R71="","",'Registrar recibidas_gastos'!R71)</f>
        <v/>
      </c>
      <c r="S71" s="61" t="str">
        <f>IF('Registrar recibidas_gastos'!S71="","",'Registrar recibidas_gastos'!S71)</f>
        <v/>
      </c>
      <c r="T71" s="61" t="str">
        <f>IF('Registrar recibidas_gastos'!T71="","",VLOOKUP(CONCATENATE("CLAVE OPERACION GASTO",'Registrar recibidas_gastos'!T71),'CODIGO-LITERAL'!$C:$D,2,FALSE))</f>
        <v/>
      </c>
      <c r="U71" s="61" t="str">
        <f>IF(T71="","",IF(OR(T71="02",T71="08"),"N",IF('Registrar recibidas_gastos'!U71="","N",'Registrar recibidas_gastos'!U71)))</f>
        <v/>
      </c>
      <c r="V71" s="61" t="str">
        <f>IF(T71="","",IF(OR(T71="07",T71="08",T71="09",F71="F5",F71="LC"),"N",IF('Registrar recibidas_gastos'!V71="","N",'Registrar recibidas_gastos'!V71)))</f>
        <v/>
      </c>
      <c r="W71" s="61" t="str">
        <f>IF(AND(X71="",Y71=""),"",IF(AND(RECIBIDAS_GASTOS!$X71&lt;&gt;"",RECIBIDAS_GASTOS!$Y71&lt;&gt;""),"S",IF('Registrar recibidas_gastos'!W71="","N",'Registrar recibidas_gastos'!W71)))</f>
        <v/>
      </c>
      <c r="X71" s="67" t="str">
        <f>IF('Registrar recibidas_gastos'!X71="","",'Registrar recibidas_gastos'!X71)</f>
        <v/>
      </c>
      <c r="Y71" s="61" t="str">
        <f>IF('Registrar recibidas_gastos'!Y71="","",'Registrar recibidas_gastos'!Y71)</f>
        <v/>
      </c>
      <c r="Z71" s="68" t="str">
        <f>IF('Registrar recibidas_gastos'!Z71="","",IF(AND(F71="",T71=""),"",IF(OR(T71="03",T71="05",T71="09"),AA71,SUM(AA71,AC71,AF71))))</f>
        <v/>
      </c>
      <c r="AA71" s="68" t="str">
        <f>IF('Registrar recibidas_gastos'!AA71="","",ROUND('Registrar recibidas_gastos'!AA71,2))</f>
        <v/>
      </c>
      <c r="AB71" s="61" t="str">
        <f>IF('Registrar recibidas_gastos'!AB71="","",'Registrar recibidas_gastos'!AB71)</f>
        <v/>
      </c>
      <c r="AC71" s="68" t="str">
        <f>IF(OR(T71="03",T71="05"),0,IF('Registrar recibidas_gastos'!AC71="","",ROUND(AA71*AB71/100,2)))</f>
        <v/>
      </c>
      <c r="AD71" s="68" t="str">
        <f>IF('Registrar recibidas_gastos'!AD71="","",ROUND('Registrar recibidas_gastos'!AD71,2))</f>
        <v/>
      </c>
      <c r="AE71" s="61" t="str">
        <f>IF('Registrar recibidas_gastos'!AE71="","",'Registrar recibidas_gastos'!AE71)</f>
        <v/>
      </c>
      <c r="AF71" s="68" t="str">
        <f>IF('Registrar recibidas_gastos'!AF71="","",ROUND(AA71*AE71/100,2))</f>
        <v/>
      </c>
      <c r="AG71" s="67" t="str">
        <f>IF('Registrar recibidas_gastos'!AG71="","",'Registrar recibidas_gastos'!AG71)</f>
        <v/>
      </c>
      <c r="AH71" s="68" t="str">
        <f>IF('Registrar recibidas_gastos'!AH71="","",'Registrar recibidas_gastos'!AH71)</f>
        <v/>
      </c>
      <c r="AI71" s="61" t="str">
        <f>IF('Registrar recibidas_gastos'!AI71="","",VLOOKUP(CONCATENATE("MEDIO UTILIZADO",'Registrar recibidas_gastos'!AI71),'CODIGO-LITERAL'!$C:$D,2,FALSE))</f>
        <v/>
      </c>
      <c r="AJ71" s="61" t="str">
        <f>IF('Registrar recibidas_gastos'!AJ71="","",'Registrar recibidas_gastos'!AJ71)</f>
        <v/>
      </c>
      <c r="AK71" s="62"/>
      <c r="AL71" s="69"/>
      <c r="AM71" s="61" t="str">
        <f>IF('Registrar recibidas_gastos'!AM71="","",'Registrar recibidas_gastos'!AM71)</f>
        <v/>
      </c>
      <c r="AN71" s="61" t="str">
        <f>IF('Registrar recibidas_gastos'!AN71="","",VLOOKUP(CONCATENATE("SITUACION",'Registrar recibidas_gastos'!AN71),'CODIGO-LITERAL'!$C:$D,2,FALSE))</f>
        <v/>
      </c>
      <c r="AO71" s="61" t="str">
        <f>IF('Registrar recibidas_gastos'!AO71="","",'Registrar recibidas_gastos'!AO71)</f>
        <v/>
      </c>
      <c r="AP71" s="61" t="str">
        <f>IF('Registrar recibidas_gastos'!AP71="","",'Registrar recibidas_gastos'!AP71)</f>
        <v/>
      </c>
    </row>
    <row r="72" spans="1:42" x14ac:dyDescent="0.25">
      <c r="A72" s="66" t="str">
        <f>IF('Registrar recibidas_gastos'!A72="","",'Registrar recibidas_gastos'!A72)</f>
        <v/>
      </c>
      <c r="B72" s="61" t="str">
        <f>IF('Registrar recibidas_gastos'!B72="","",'Registrar recibidas_gastos'!B72)</f>
        <v/>
      </c>
      <c r="C72" s="61" t="str">
        <f>IF('Registrar recibidas_gastos'!C72="","",VLOOKUP(CONCATENATE("ACTIVIDAD",'Registrar recibidas_gastos'!C72),'CODIGO-LITERAL'!$C:$D,2,FALSE))</f>
        <v/>
      </c>
      <c r="D72" s="60" t="str">
        <f>IF(OR(C72="C",C72="D"),"",IF(ISERROR(VLOOKUP(CONCATENATE(C72,'Registrar recibidas_gastos'!D72),'CODIGO-LITERAL'!$C:$D,2,FALSE)),"",VLOOKUP(CONCATENATE(C72,'Registrar recibidas_gastos'!D72),'CODIGO-LITERAL'!$C:$D,2,FALSE)))</f>
        <v/>
      </c>
      <c r="E72" s="61" t="str">
        <f>IF('Registrar recibidas_gastos'!E72="","",'Registrar recibidas_gastos'!E72)</f>
        <v/>
      </c>
      <c r="F72" s="61" t="str">
        <f>IF('Registrar recibidas_gastos'!F72="","",VLOOKUP(CONCATENATE("TIPO FACTURA GASTO",'Registrar recibidas_gastos'!F72),'CODIGO-LITERAL'!$C:$D,2,FALSE))</f>
        <v/>
      </c>
      <c r="G72" s="62"/>
      <c r="H72" s="62"/>
      <c r="I72" s="67" t="str">
        <f>IF('Registrar recibidas_gastos'!I72="","",'Registrar recibidas_gastos'!I72)</f>
        <v/>
      </c>
      <c r="J72" s="67" t="str">
        <f>IF('Registrar recibidas_gastos'!J72="","",'Registrar recibidas_gastos'!J72)</f>
        <v/>
      </c>
      <c r="K72" s="61" t="str">
        <f>IF('Registrar recibidas_gastos'!K72="","",'Registrar recibidas_gastos'!K72)</f>
        <v/>
      </c>
      <c r="L72" s="61" t="str">
        <f>IF('Registrar recibidas_gastos'!L72="","",'Registrar recibidas_gastos'!L72)</f>
        <v/>
      </c>
      <c r="M72" s="67" t="str">
        <f>IF('Registrar recibidas_gastos'!M72="","",'Registrar recibidas_gastos'!M72)</f>
        <v/>
      </c>
      <c r="N72" s="61" t="str">
        <f>IF('Registrar recibidas_gastos'!N72="","",'Registrar recibidas_gastos'!N72)</f>
        <v/>
      </c>
      <c r="O72" s="61" t="str">
        <f>IF('Registrar recibidas_gastos'!O72="","",'Registrar recibidas_gastos'!O72)</f>
        <v/>
      </c>
      <c r="P72" s="61" t="str">
        <f>IF(OR(LEFT('Registrar recibidas_gastos'!P72,2)="01",'Registrar recibidas_gastos'!P72=""),"",VLOOKUP(CONCATENATE("TIPO NIF",'Registrar recibidas_gastos'!P72),'CODIGO-LITERAL'!$C:$D,2,FALSE))</f>
        <v/>
      </c>
      <c r="Q72" s="61" t="str">
        <f>IF('Registrar recibidas_gastos'!Q72="","",'Registrar recibidas_gastos'!Q72)</f>
        <v/>
      </c>
      <c r="R72" s="61" t="str">
        <f>IF('Registrar recibidas_gastos'!R72="","",'Registrar recibidas_gastos'!R72)</f>
        <v/>
      </c>
      <c r="S72" s="61" t="str">
        <f>IF('Registrar recibidas_gastos'!S72="","",'Registrar recibidas_gastos'!S72)</f>
        <v/>
      </c>
      <c r="T72" s="61" t="str">
        <f>IF('Registrar recibidas_gastos'!T72="","",VLOOKUP(CONCATENATE("CLAVE OPERACION GASTO",'Registrar recibidas_gastos'!T72),'CODIGO-LITERAL'!$C:$D,2,FALSE))</f>
        <v/>
      </c>
      <c r="U72" s="61" t="str">
        <f>IF(T72="","",IF(OR(T72="02",T72="08"),"N",IF('Registrar recibidas_gastos'!U72="","N",'Registrar recibidas_gastos'!U72)))</f>
        <v/>
      </c>
      <c r="V72" s="61" t="str">
        <f>IF(T72="","",IF(OR(T72="07",T72="08",T72="09",F72="F5",F72="LC"),"N",IF('Registrar recibidas_gastos'!V72="","N",'Registrar recibidas_gastos'!V72)))</f>
        <v/>
      </c>
      <c r="W72" s="61" t="str">
        <f>IF(AND(X72="",Y72=""),"",IF(AND(RECIBIDAS_GASTOS!$X72&lt;&gt;"",RECIBIDAS_GASTOS!$Y72&lt;&gt;""),"S",IF('Registrar recibidas_gastos'!W72="","N",'Registrar recibidas_gastos'!W72)))</f>
        <v/>
      </c>
      <c r="X72" s="67" t="str">
        <f>IF('Registrar recibidas_gastos'!X72="","",'Registrar recibidas_gastos'!X72)</f>
        <v/>
      </c>
      <c r="Y72" s="61" t="str">
        <f>IF('Registrar recibidas_gastos'!Y72="","",'Registrar recibidas_gastos'!Y72)</f>
        <v/>
      </c>
      <c r="Z72" s="68" t="str">
        <f>IF('Registrar recibidas_gastos'!Z72="","",IF(AND(F72="",T72=""),"",IF(OR(T72="03",T72="05",T72="09"),AA72,SUM(AA72,AC72,AF72))))</f>
        <v/>
      </c>
      <c r="AA72" s="68" t="str">
        <f>IF('Registrar recibidas_gastos'!AA72="","",ROUND('Registrar recibidas_gastos'!AA72,2))</f>
        <v/>
      </c>
      <c r="AB72" s="61" t="str">
        <f>IF('Registrar recibidas_gastos'!AB72="","",'Registrar recibidas_gastos'!AB72)</f>
        <v/>
      </c>
      <c r="AC72" s="68" t="str">
        <f>IF(OR(T72="03",T72="05"),0,IF('Registrar recibidas_gastos'!AC72="","",ROUND(AA72*AB72/100,2)))</f>
        <v/>
      </c>
      <c r="AD72" s="68" t="str">
        <f>IF('Registrar recibidas_gastos'!AD72="","",ROUND('Registrar recibidas_gastos'!AD72,2))</f>
        <v/>
      </c>
      <c r="AE72" s="61" t="str">
        <f>IF('Registrar recibidas_gastos'!AE72="","",'Registrar recibidas_gastos'!AE72)</f>
        <v/>
      </c>
      <c r="AF72" s="68" t="str">
        <f>IF('Registrar recibidas_gastos'!AF72="","",ROUND(AA72*AE72/100,2))</f>
        <v/>
      </c>
      <c r="AG72" s="67" t="str">
        <f>IF('Registrar recibidas_gastos'!AG72="","",'Registrar recibidas_gastos'!AG72)</f>
        <v/>
      </c>
      <c r="AH72" s="68" t="str">
        <f>IF('Registrar recibidas_gastos'!AH72="","",'Registrar recibidas_gastos'!AH72)</f>
        <v/>
      </c>
      <c r="AI72" s="61" t="str">
        <f>IF('Registrar recibidas_gastos'!AI72="","",VLOOKUP(CONCATENATE("MEDIO UTILIZADO",'Registrar recibidas_gastos'!AI72),'CODIGO-LITERAL'!$C:$D,2,FALSE))</f>
        <v/>
      </c>
      <c r="AJ72" s="61" t="str">
        <f>IF('Registrar recibidas_gastos'!AJ72="","",'Registrar recibidas_gastos'!AJ72)</f>
        <v/>
      </c>
      <c r="AK72" s="62"/>
      <c r="AL72" s="69"/>
      <c r="AM72" s="61" t="str">
        <f>IF('Registrar recibidas_gastos'!AM72="","",'Registrar recibidas_gastos'!AM72)</f>
        <v/>
      </c>
      <c r="AN72" s="61" t="str">
        <f>IF('Registrar recibidas_gastos'!AN72="","",VLOOKUP(CONCATENATE("SITUACION",'Registrar recibidas_gastos'!AN72),'CODIGO-LITERAL'!$C:$D,2,FALSE))</f>
        <v/>
      </c>
      <c r="AO72" s="61" t="str">
        <f>IF('Registrar recibidas_gastos'!AO72="","",'Registrar recibidas_gastos'!AO72)</f>
        <v/>
      </c>
      <c r="AP72" s="61" t="str">
        <f>IF('Registrar recibidas_gastos'!AP72="","",'Registrar recibidas_gastos'!AP72)</f>
        <v/>
      </c>
    </row>
    <row r="73" spans="1:42" x14ac:dyDescent="0.25">
      <c r="A73" s="66" t="str">
        <f>IF('Registrar recibidas_gastos'!A73="","",'Registrar recibidas_gastos'!A73)</f>
        <v/>
      </c>
      <c r="B73" s="61" t="str">
        <f>IF('Registrar recibidas_gastos'!B73="","",'Registrar recibidas_gastos'!B73)</f>
        <v/>
      </c>
      <c r="C73" s="61" t="str">
        <f>IF('Registrar recibidas_gastos'!C73="","",VLOOKUP(CONCATENATE("ACTIVIDAD",'Registrar recibidas_gastos'!C73),'CODIGO-LITERAL'!$C:$D,2,FALSE))</f>
        <v/>
      </c>
      <c r="D73" s="60" t="str">
        <f>IF(OR(C73="C",C73="D"),"",IF(ISERROR(VLOOKUP(CONCATENATE(C73,'Registrar recibidas_gastos'!D73),'CODIGO-LITERAL'!$C:$D,2,FALSE)),"",VLOOKUP(CONCATENATE(C73,'Registrar recibidas_gastos'!D73),'CODIGO-LITERAL'!$C:$D,2,FALSE)))</f>
        <v/>
      </c>
      <c r="E73" s="61" t="str">
        <f>IF('Registrar recibidas_gastos'!E73="","",'Registrar recibidas_gastos'!E73)</f>
        <v/>
      </c>
      <c r="F73" s="61" t="str">
        <f>IF('Registrar recibidas_gastos'!F73="","",VLOOKUP(CONCATENATE("TIPO FACTURA GASTO",'Registrar recibidas_gastos'!F73),'CODIGO-LITERAL'!$C:$D,2,FALSE))</f>
        <v/>
      </c>
      <c r="G73" s="62"/>
      <c r="H73" s="62"/>
      <c r="I73" s="67" t="str">
        <f>IF('Registrar recibidas_gastos'!I73="","",'Registrar recibidas_gastos'!I73)</f>
        <v/>
      </c>
      <c r="J73" s="67" t="str">
        <f>IF('Registrar recibidas_gastos'!J73="","",'Registrar recibidas_gastos'!J73)</f>
        <v/>
      </c>
      <c r="K73" s="61" t="str">
        <f>IF('Registrar recibidas_gastos'!K73="","",'Registrar recibidas_gastos'!K73)</f>
        <v/>
      </c>
      <c r="L73" s="61" t="str">
        <f>IF('Registrar recibidas_gastos'!L73="","",'Registrar recibidas_gastos'!L73)</f>
        <v/>
      </c>
      <c r="M73" s="67" t="str">
        <f>IF('Registrar recibidas_gastos'!M73="","",'Registrar recibidas_gastos'!M73)</f>
        <v/>
      </c>
      <c r="N73" s="61" t="str">
        <f>IF('Registrar recibidas_gastos'!N73="","",'Registrar recibidas_gastos'!N73)</f>
        <v/>
      </c>
      <c r="O73" s="61" t="str">
        <f>IF('Registrar recibidas_gastos'!O73="","",'Registrar recibidas_gastos'!O73)</f>
        <v/>
      </c>
      <c r="P73" s="61" t="str">
        <f>IF(OR(LEFT('Registrar recibidas_gastos'!P73,2)="01",'Registrar recibidas_gastos'!P73=""),"",VLOOKUP(CONCATENATE("TIPO NIF",'Registrar recibidas_gastos'!P73),'CODIGO-LITERAL'!$C:$D,2,FALSE))</f>
        <v/>
      </c>
      <c r="Q73" s="61" t="str">
        <f>IF('Registrar recibidas_gastos'!Q73="","",'Registrar recibidas_gastos'!Q73)</f>
        <v/>
      </c>
      <c r="R73" s="61" t="str">
        <f>IF('Registrar recibidas_gastos'!R73="","",'Registrar recibidas_gastos'!R73)</f>
        <v/>
      </c>
      <c r="S73" s="61" t="str">
        <f>IF('Registrar recibidas_gastos'!S73="","",'Registrar recibidas_gastos'!S73)</f>
        <v/>
      </c>
      <c r="T73" s="61" t="str">
        <f>IF('Registrar recibidas_gastos'!T73="","",VLOOKUP(CONCATENATE("CLAVE OPERACION GASTO",'Registrar recibidas_gastos'!T73),'CODIGO-LITERAL'!$C:$D,2,FALSE))</f>
        <v/>
      </c>
      <c r="U73" s="61" t="str">
        <f>IF(T73="","",IF(OR(T73="02",T73="08"),"N",IF('Registrar recibidas_gastos'!U73="","N",'Registrar recibidas_gastos'!U73)))</f>
        <v/>
      </c>
      <c r="V73" s="61" t="str">
        <f>IF(T73="","",IF(OR(T73="07",T73="08",T73="09",F73="F5",F73="LC"),"N",IF('Registrar recibidas_gastos'!V73="","N",'Registrar recibidas_gastos'!V73)))</f>
        <v/>
      </c>
      <c r="W73" s="61" t="str">
        <f>IF(AND(X73="",Y73=""),"",IF(AND(RECIBIDAS_GASTOS!$X73&lt;&gt;"",RECIBIDAS_GASTOS!$Y73&lt;&gt;""),"S",IF('Registrar recibidas_gastos'!W73="","N",'Registrar recibidas_gastos'!W73)))</f>
        <v/>
      </c>
      <c r="X73" s="67" t="str">
        <f>IF('Registrar recibidas_gastos'!X73="","",'Registrar recibidas_gastos'!X73)</f>
        <v/>
      </c>
      <c r="Y73" s="61" t="str">
        <f>IF('Registrar recibidas_gastos'!Y73="","",'Registrar recibidas_gastos'!Y73)</f>
        <v/>
      </c>
      <c r="Z73" s="68" t="str">
        <f>IF('Registrar recibidas_gastos'!Z73="","",IF(AND(F73="",T73=""),"",IF(OR(T73="03",T73="05",T73="09"),AA73,SUM(AA73,AC73,AF73))))</f>
        <v/>
      </c>
      <c r="AA73" s="68" t="str">
        <f>IF('Registrar recibidas_gastos'!AA73="","",ROUND('Registrar recibidas_gastos'!AA73,2))</f>
        <v/>
      </c>
      <c r="AB73" s="61" t="str">
        <f>IF('Registrar recibidas_gastos'!AB73="","",'Registrar recibidas_gastos'!AB73)</f>
        <v/>
      </c>
      <c r="AC73" s="68" t="str">
        <f>IF(OR(T73="03",T73="05"),0,IF('Registrar recibidas_gastos'!AC73="","",ROUND(AA73*AB73/100,2)))</f>
        <v/>
      </c>
      <c r="AD73" s="68" t="str">
        <f>IF('Registrar recibidas_gastos'!AD73="","",ROUND('Registrar recibidas_gastos'!AD73,2))</f>
        <v/>
      </c>
      <c r="AE73" s="61" t="str">
        <f>IF('Registrar recibidas_gastos'!AE73="","",'Registrar recibidas_gastos'!AE73)</f>
        <v/>
      </c>
      <c r="AF73" s="68" t="str">
        <f>IF('Registrar recibidas_gastos'!AF73="","",ROUND(AA73*AE73/100,2))</f>
        <v/>
      </c>
      <c r="AG73" s="67" t="str">
        <f>IF('Registrar recibidas_gastos'!AG73="","",'Registrar recibidas_gastos'!AG73)</f>
        <v/>
      </c>
      <c r="AH73" s="68" t="str">
        <f>IF('Registrar recibidas_gastos'!AH73="","",'Registrar recibidas_gastos'!AH73)</f>
        <v/>
      </c>
      <c r="AI73" s="61" t="str">
        <f>IF('Registrar recibidas_gastos'!AI73="","",VLOOKUP(CONCATENATE("MEDIO UTILIZADO",'Registrar recibidas_gastos'!AI73),'CODIGO-LITERAL'!$C:$D,2,FALSE))</f>
        <v/>
      </c>
      <c r="AJ73" s="61" t="str">
        <f>IF('Registrar recibidas_gastos'!AJ73="","",'Registrar recibidas_gastos'!AJ73)</f>
        <v/>
      </c>
      <c r="AK73" s="62"/>
      <c r="AL73" s="69"/>
      <c r="AM73" s="61" t="str">
        <f>IF('Registrar recibidas_gastos'!AM73="","",'Registrar recibidas_gastos'!AM73)</f>
        <v/>
      </c>
      <c r="AN73" s="61" t="str">
        <f>IF('Registrar recibidas_gastos'!AN73="","",VLOOKUP(CONCATENATE("SITUACION",'Registrar recibidas_gastos'!AN73),'CODIGO-LITERAL'!$C:$D,2,FALSE))</f>
        <v/>
      </c>
      <c r="AO73" s="61" t="str">
        <f>IF('Registrar recibidas_gastos'!AO73="","",'Registrar recibidas_gastos'!AO73)</f>
        <v/>
      </c>
      <c r="AP73" s="61" t="str">
        <f>IF('Registrar recibidas_gastos'!AP73="","",'Registrar recibidas_gastos'!AP73)</f>
        <v/>
      </c>
    </row>
    <row r="74" spans="1:42" x14ac:dyDescent="0.25">
      <c r="A74" s="66" t="str">
        <f>IF('Registrar recibidas_gastos'!A74="","",'Registrar recibidas_gastos'!A74)</f>
        <v/>
      </c>
      <c r="B74" s="61" t="str">
        <f>IF('Registrar recibidas_gastos'!B74="","",'Registrar recibidas_gastos'!B74)</f>
        <v/>
      </c>
      <c r="C74" s="61" t="str">
        <f>IF('Registrar recibidas_gastos'!C74="","",VLOOKUP(CONCATENATE("ACTIVIDAD",'Registrar recibidas_gastos'!C74),'CODIGO-LITERAL'!$C:$D,2,FALSE))</f>
        <v/>
      </c>
      <c r="D74" s="60" t="str">
        <f>IF(OR(C74="C",C74="D"),"",IF(ISERROR(VLOOKUP(CONCATENATE(C74,'Registrar recibidas_gastos'!D74),'CODIGO-LITERAL'!$C:$D,2,FALSE)),"",VLOOKUP(CONCATENATE(C74,'Registrar recibidas_gastos'!D74),'CODIGO-LITERAL'!$C:$D,2,FALSE)))</f>
        <v/>
      </c>
      <c r="E74" s="61" t="str">
        <f>IF('Registrar recibidas_gastos'!E74="","",'Registrar recibidas_gastos'!E74)</f>
        <v/>
      </c>
      <c r="F74" s="61" t="str">
        <f>IF('Registrar recibidas_gastos'!F74="","",VLOOKUP(CONCATENATE("TIPO FACTURA GASTO",'Registrar recibidas_gastos'!F74),'CODIGO-LITERAL'!$C:$D,2,FALSE))</f>
        <v/>
      </c>
      <c r="G74" s="62"/>
      <c r="H74" s="62"/>
      <c r="I74" s="67" t="str">
        <f>IF('Registrar recibidas_gastos'!I74="","",'Registrar recibidas_gastos'!I74)</f>
        <v/>
      </c>
      <c r="J74" s="67" t="str">
        <f>IF('Registrar recibidas_gastos'!J74="","",'Registrar recibidas_gastos'!J74)</f>
        <v/>
      </c>
      <c r="K74" s="61" t="str">
        <f>IF('Registrar recibidas_gastos'!K74="","",'Registrar recibidas_gastos'!K74)</f>
        <v/>
      </c>
      <c r="L74" s="61" t="str">
        <f>IF('Registrar recibidas_gastos'!L74="","",'Registrar recibidas_gastos'!L74)</f>
        <v/>
      </c>
      <c r="M74" s="67" t="str">
        <f>IF('Registrar recibidas_gastos'!M74="","",'Registrar recibidas_gastos'!M74)</f>
        <v/>
      </c>
      <c r="N74" s="61" t="str">
        <f>IF('Registrar recibidas_gastos'!N74="","",'Registrar recibidas_gastos'!N74)</f>
        <v/>
      </c>
      <c r="O74" s="61" t="str">
        <f>IF('Registrar recibidas_gastos'!O74="","",'Registrar recibidas_gastos'!O74)</f>
        <v/>
      </c>
      <c r="P74" s="61" t="str">
        <f>IF(OR(LEFT('Registrar recibidas_gastos'!P74,2)="01",'Registrar recibidas_gastos'!P74=""),"",VLOOKUP(CONCATENATE("TIPO NIF",'Registrar recibidas_gastos'!P74),'CODIGO-LITERAL'!$C:$D,2,FALSE))</f>
        <v/>
      </c>
      <c r="Q74" s="61" t="str">
        <f>IF('Registrar recibidas_gastos'!Q74="","",'Registrar recibidas_gastos'!Q74)</f>
        <v/>
      </c>
      <c r="R74" s="61" t="str">
        <f>IF('Registrar recibidas_gastos'!R74="","",'Registrar recibidas_gastos'!R74)</f>
        <v/>
      </c>
      <c r="S74" s="61" t="str">
        <f>IF('Registrar recibidas_gastos'!S74="","",'Registrar recibidas_gastos'!S74)</f>
        <v/>
      </c>
      <c r="T74" s="61" t="str">
        <f>IF('Registrar recibidas_gastos'!T74="","",VLOOKUP(CONCATENATE("CLAVE OPERACION GASTO",'Registrar recibidas_gastos'!T74),'CODIGO-LITERAL'!$C:$D,2,FALSE))</f>
        <v/>
      </c>
      <c r="U74" s="61" t="str">
        <f>IF(T74="","",IF(OR(T74="02",T74="08"),"N",IF('Registrar recibidas_gastos'!U74="","N",'Registrar recibidas_gastos'!U74)))</f>
        <v/>
      </c>
      <c r="V74" s="61" t="str">
        <f>IF(T74="","",IF(OR(T74="07",T74="08",T74="09",F74="F5",F74="LC"),"N",IF('Registrar recibidas_gastos'!V74="","N",'Registrar recibidas_gastos'!V74)))</f>
        <v/>
      </c>
      <c r="W74" s="61" t="str">
        <f>IF(AND(X74="",Y74=""),"",IF(AND(RECIBIDAS_GASTOS!$X74&lt;&gt;"",RECIBIDAS_GASTOS!$Y74&lt;&gt;""),"S",IF('Registrar recibidas_gastos'!W74="","N",'Registrar recibidas_gastos'!W74)))</f>
        <v/>
      </c>
      <c r="X74" s="67" t="str">
        <f>IF('Registrar recibidas_gastos'!X74="","",'Registrar recibidas_gastos'!X74)</f>
        <v/>
      </c>
      <c r="Y74" s="61" t="str">
        <f>IF('Registrar recibidas_gastos'!Y74="","",'Registrar recibidas_gastos'!Y74)</f>
        <v/>
      </c>
      <c r="Z74" s="68" t="str">
        <f>IF('Registrar recibidas_gastos'!Z74="","",IF(AND(F74="",T74=""),"",IF(OR(T74="03",T74="05",T74="09"),AA74,SUM(AA74,AC74,AF74))))</f>
        <v/>
      </c>
      <c r="AA74" s="68" t="str">
        <f>IF('Registrar recibidas_gastos'!AA74="","",ROUND('Registrar recibidas_gastos'!AA74,2))</f>
        <v/>
      </c>
      <c r="AB74" s="61" t="str">
        <f>IF('Registrar recibidas_gastos'!AB74="","",'Registrar recibidas_gastos'!AB74)</f>
        <v/>
      </c>
      <c r="AC74" s="68" t="str">
        <f>IF(OR(T74="03",T74="05"),0,IF('Registrar recibidas_gastos'!AC74="","",ROUND(AA74*AB74/100,2)))</f>
        <v/>
      </c>
      <c r="AD74" s="68" t="str">
        <f>IF('Registrar recibidas_gastos'!AD74="","",ROUND('Registrar recibidas_gastos'!AD74,2))</f>
        <v/>
      </c>
      <c r="AE74" s="61" t="str">
        <f>IF('Registrar recibidas_gastos'!AE74="","",'Registrar recibidas_gastos'!AE74)</f>
        <v/>
      </c>
      <c r="AF74" s="68" t="str">
        <f>IF('Registrar recibidas_gastos'!AF74="","",ROUND(AA74*AE74/100,2))</f>
        <v/>
      </c>
      <c r="AG74" s="67" t="str">
        <f>IF('Registrar recibidas_gastos'!AG74="","",'Registrar recibidas_gastos'!AG74)</f>
        <v/>
      </c>
      <c r="AH74" s="68" t="str">
        <f>IF('Registrar recibidas_gastos'!AH74="","",'Registrar recibidas_gastos'!AH74)</f>
        <v/>
      </c>
      <c r="AI74" s="61" t="str">
        <f>IF('Registrar recibidas_gastos'!AI74="","",VLOOKUP(CONCATENATE("MEDIO UTILIZADO",'Registrar recibidas_gastos'!AI74),'CODIGO-LITERAL'!$C:$D,2,FALSE))</f>
        <v/>
      </c>
      <c r="AJ74" s="61" t="str">
        <f>IF('Registrar recibidas_gastos'!AJ74="","",'Registrar recibidas_gastos'!AJ74)</f>
        <v/>
      </c>
      <c r="AK74" s="62"/>
      <c r="AL74" s="69"/>
      <c r="AM74" s="61" t="str">
        <f>IF('Registrar recibidas_gastos'!AM74="","",'Registrar recibidas_gastos'!AM74)</f>
        <v/>
      </c>
      <c r="AN74" s="61" t="str">
        <f>IF('Registrar recibidas_gastos'!AN74="","",VLOOKUP(CONCATENATE("SITUACION",'Registrar recibidas_gastos'!AN74),'CODIGO-LITERAL'!$C:$D,2,FALSE))</f>
        <v/>
      </c>
      <c r="AO74" s="61" t="str">
        <f>IF('Registrar recibidas_gastos'!AO74="","",'Registrar recibidas_gastos'!AO74)</f>
        <v/>
      </c>
      <c r="AP74" s="61" t="str">
        <f>IF('Registrar recibidas_gastos'!AP74="","",'Registrar recibidas_gastos'!AP74)</f>
        <v/>
      </c>
    </row>
    <row r="75" spans="1:42" x14ac:dyDescent="0.25">
      <c r="A75" s="66" t="str">
        <f>IF('Registrar recibidas_gastos'!A75="","",'Registrar recibidas_gastos'!A75)</f>
        <v/>
      </c>
      <c r="B75" s="61" t="str">
        <f>IF('Registrar recibidas_gastos'!B75="","",'Registrar recibidas_gastos'!B75)</f>
        <v/>
      </c>
      <c r="C75" s="61" t="str">
        <f>IF('Registrar recibidas_gastos'!C75="","",VLOOKUP(CONCATENATE("ACTIVIDAD",'Registrar recibidas_gastos'!C75),'CODIGO-LITERAL'!$C:$D,2,FALSE))</f>
        <v/>
      </c>
      <c r="D75" s="60" t="str">
        <f>IF(OR(C75="C",C75="D"),"",IF(ISERROR(VLOOKUP(CONCATENATE(C75,'Registrar recibidas_gastos'!D75),'CODIGO-LITERAL'!$C:$D,2,FALSE)),"",VLOOKUP(CONCATENATE(C75,'Registrar recibidas_gastos'!D75),'CODIGO-LITERAL'!$C:$D,2,FALSE)))</f>
        <v/>
      </c>
      <c r="E75" s="61" t="str">
        <f>IF('Registrar recibidas_gastos'!E75="","",'Registrar recibidas_gastos'!E75)</f>
        <v/>
      </c>
      <c r="F75" s="61" t="str">
        <f>IF('Registrar recibidas_gastos'!F75="","",VLOOKUP(CONCATENATE("TIPO FACTURA GASTO",'Registrar recibidas_gastos'!F75),'CODIGO-LITERAL'!$C:$D,2,FALSE))</f>
        <v/>
      </c>
      <c r="G75" s="62"/>
      <c r="H75" s="62"/>
      <c r="I75" s="67" t="str">
        <f>IF('Registrar recibidas_gastos'!I75="","",'Registrar recibidas_gastos'!I75)</f>
        <v/>
      </c>
      <c r="J75" s="67" t="str">
        <f>IF('Registrar recibidas_gastos'!J75="","",'Registrar recibidas_gastos'!J75)</f>
        <v/>
      </c>
      <c r="K75" s="61" t="str">
        <f>IF('Registrar recibidas_gastos'!K75="","",'Registrar recibidas_gastos'!K75)</f>
        <v/>
      </c>
      <c r="L75" s="61" t="str">
        <f>IF('Registrar recibidas_gastos'!L75="","",'Registrar recibidas_gastos'!L75)</f>
        <v/>
      </c>
      <c r="M75" s="67" t="str">
        <f>IF('Registrar recibidas_gastos'!M75="","",'Registrar recibidas_gastos'!M75)</f>
        <v/>
      </c>
      <c r="N75" s="61" t="str">
        <f>IF('Registrar recibidas_gastos'!N75="","",'Registrar recibidas_gastos'!N75)</f>
        <v/>
      </c>
      <c r="O75" s="61" t="str">
        <f>IF('Registrar recibidas_gastos'!O75="","",'Registrar recibidas_gastos'!O75)</f>
        <v/>
      </c>
      <c r="P75" s="61" t="str">
        <f>IF(OR(LEFT('Registrar recibidas_gastos'!P75,2)="01",'Registrar recibidas_gastos'!P75=""),"",VLOOKUP(CONCATENATE("TIPO NIF",'Registrar recibidas_gastos'!P75),'CODIGO-LITERAL'!$C:$D,2,FALSE))</f>
        <v/>
      </c>
      <c r="Q75" s="61" t="str">
        <f>IF('Registrar recibidas_gastos'!Q75="","",'Registrar recibidas_gastos'!Q75)</f>
        <v/>
      </c>
      <c r="R75" s="61" t="str">
        <f>IF('Registrar recibidas_gastos'!R75="","",'Registrar recibidas_gastos'!R75)</f>
        <v/>
      </c>
      <c r="S75" s="61" t="str">
        <f>IF('Registrar recibidas_gastos'!S75="","",'Registrar recibidas_gastos'!S75)</f>
        <v/>
      </c>
      <c r="T75" s="61" t="str">
        <f>IF('Registrar recibidas_gastos'!T75="","",VLOOKUP(CONCATENATE("CLAVE OPERACION GASTO",'Registrar recibidas_gastos'!T75),'CODIGO-LITERAL'!$C:$D,2,FALSE))</f>
        <v/>
      </c>
      <c r="U75" s="61" t="str">
        <f>IF(T75="","",IF(OR(T75="02",T75="08"),"N",IF('Registrar recibidas_gastos'!U75="","N",'Registrar recibidas_gastos'!U75)))</f>
        <v/>
      </c>
      <c r="V75" s="61" t="str">
        <f>IF(T75="","",IF(OR(T75="07",T75="08",T75="09",F75="F5",F75="LC"),"N",IF('Registrar recibidas_gastos'!V75="","N",'Registrar recibidas_gastos'!V75)))</f>
        <v/>
      </c>
      <c r="W75" s="61" t="str">
        <f>IF(AND(X75="",Y75=""),"",IF(AND(RECIBIDAS_GASTOS!$X75&lt;&gt;"",RECIBIDAS_GASTOS!$Y75&lt;&gt;""),"S",IF('Registrar recibidas_gastos'!W75="","N",'Registrar recibidas_gastos'!W75)))</f>
        <v/>
      </c>
      <c r="X75" s="67" t="str">
        <f>IF('Registrar recibidas_gastos'!X75="","",'Registrar recibidas_gastos'!X75)</f>
        <v/>
      </c>
      <c r="Y75" s="61" t="str">
        <f>IF('Registrar recibidas_gastos'!Y75="","",'Registrar recibidas_gastos'!Y75)</f>
        <v/>
      </c>
      <c r="Z75" s="68" t="str">
        <f>IF('Registrar recibidas_gastos'!Z75="","",IF(AND(F75="",T75=""),"",IF(OR(T75="03",T75="05",T75="09"),AA75,SUM(AA75,AC75,AF75))))</f>
        <v/>
      </c>
      <c r="AA75" s="68" t="str">
        <f>IF('Registrar recibidas_gastos'!AA75="","",ROUND('Registrar recibidas_gastos'!AA75,2))</f>
        <v/>
      </c>
      <c r="AB75" s="61" t="str">
        <f>IF('Registrar recibidas_gastos'!AB75="","",'Registrar recibidas_gastos'!AB75)</f>
        <v/>
      </c>
      <c r="AC75" s="68" t="str">
        <f>IF(OR(T75="03",T75="05"),0,IF('Registrar recibidas_gastos'!AC75="","",ROUND(AA75*AB75/100,2)))</f>
        <v/>
      </c>
      <c r="AD75" s="68" t="str">
        <f>IF('Registrar recibidas_gastos'!AD75="","",ROUND('Registrar recibidas_gastos'!AD75,2))</f>
        <v/>
      </c>
      <c r="AE75" s="61" t="str">
        <f>IF('Registrar recibidas_gastos'!AE75="","",'Registrar recibidas_gastos'!AE75)</f>
        <v/>
      </c>
      <c r="AF75" s="68" t="str">
        <f>IF('Registrar recibidas_gastos'!AF75="","",ROUND(AA75*AE75/100,2))</f>
        <v/>
      </c>
      <c r="AG75" s="67" t="str">
        <f>IF('Registrar recibidas_gastos'!AG75="","",'Registrar recibidas_gastos'!AG75)</f>
        <v/>
      </c>
      <c r="AH75" s="68" t="str">
        <f>IF('Registrar recibidas_gastos'!AH75="","",'Registrar recibidas_gastos'!AH75)</f>
        <v/>
      </c>
      <c r="AI75" s="61" t="str">
        <f>IF('Registrar recibidas_gastos'!AI75="","",VLOOKUP(CONCATENATE("MEDIO UTILIZADO",'Registrar recibidas_gastos'!AI75),'CODIGO-LITERAL'!$C:$D,2,FALSE))</f>
        <v/>
      </c>
      <c r="AJ75" s="61" t="str">
        <f>IF('Registrar recibidas_gastos'!AJ75="","",'Registrar recibidas_gastos'!AJ75)</f>
        <v/>
      </c>
      <c r="AK75" s="62"/>
      <c r="AL75" s="69"/>
      <c r="AM75" s="61" t="str">
        <f>IF('Registrar recibidas_gastos'!AM75="","",'Registrar recibidas_gastos'!AM75)</f>
        <v/>
      </c>
      <c r="AN75" s="61" t="str">
        <f>IF('Registrar recibidas_gastos'!AN75="","",VLOOKUP(CONCATENATE("SITUACION",'Registrar recibidas_gastos'!AN75),'CODIGO-LITERAL'!$C:$D,2,FALSE))</f>
        <v/>
      </c>
      <c r="AO75" s="61" t="str">
        <f>IF('Registrar recibidas_gastos'!AO75="","",'Registrar recibidas_gastos'!AO75)</f>
        <v/>
      </c>
      <c r="AP75" s="61" t="str">
        <f>IF('Registrar recibidas_gastos'!AP75="","",'Registrar recibidas_gastos'!AP75)</f>
        <v/>
      </c>
    </row>
    <row r="76" spans="1:42" x14ac:dyDescent="0.25">
      <c r="A76" s="66" t="str">
        <f>IF('Registrar recibidas_gastos'!A76="","",'Registrar recibidas_gastos'!A76)</f>
        <v/>
      </c>
      <c r="B76" s="61" t="str">
        <f>IF('Registrar recibidas_gastos'!B76="","",'Registrar recibidas_gastos'!B76)</f>
        <v/>
      </c>
      <c r="C76" s="61" t="str">
        <f>IF('Registrar recibidas_gastos'!C76="","",VLOOKUP(CONCATENATE("ACTIVIDAD",'Registrar recibidas_gastos'!C76),'CODIGO-LITERAL'!$C:$D,2,FALSE))</f>
        <v/>
      </c>
      <c r="D76" s="60" t="str">
        <f>IF(OR(C76="C",C76="D"),"",IF(ISERROR(VLOOKUP(CONCATENATE(C76,'Registrar recibidas_gastos'!D76),'CODIGO-LITERAL'!$C:$D,2,FALSE)),"",VLOOKUP(CONCATENATE(C76,'Registrar recibidas_gastos'!D76),'CODIGO-LITERAL'!$C:$D,2,FALSE)))</f>
        <v/>
      </c>
      <c r="E76" s="61" t="str">
        <f>IF('Registrar recibidas_gastos'!E76="","",'Registrar recibidas_gastos'!E76)</f>
        <v/>
      </c>
      <c r="F76" s="61" t="str">
        <f>IF('Registrar recibidas_gastos'!F76="","",VLOOKUP(CONCATENATE("TIPO FACTURA GASTO",'Registrar recibidas_gastos'!F76),'CODIGO-LITERAL'!$C:$D,2,FALSE))</f>
        <v/>
      </c>
      <c r="G76" s="62"/>
      <c r="H76" s="62"/>
      <c r="I76" s="67" t="str">
        <f>IF('Registrar recibidas_gastos'!I76="","",'Registrar recibidas_gastos'!I76)</f>
        <v/>
      </c>
      <c r="J76" s="67" t="str">
        <f>IF('Registrar recibidas_gastos'!J76="","",'Registrar recibidas_gastos'!J76)</f>
        <v/>
      </c>
      <c r="K76" s="61" t="str">
        <f>IF('Registrar recibidas_gastos'!K76="","",'Registrar recibidas_gastos'!K76)</f>
        <v/>
      </c>
      <c r="L76" s="61" t="str">
        <f>IF('Registrar recibidas_gastos'!L76="","",'Registrar recibidas_gastos'!L76)</f>
        <v/>
      </c>
      <c r="M76" s="67" t="str">
        <f>IF('Registrar recibidas_gastos'!M76="","",'Registrar recibidas_gastos'!M76)</f>
        <v/>
      </c>
      <c r="N76" s="61" t="str">
        <f>IF('Registrar recibidas_gastos'!N76="","",'Registrar recibidas_gastos'!N76)</f>
        <v/>
      </c>
      <c r="O76" s="61" t="str">
        <f>IF('Registrar recibidas_gastos'!O76="","",'Registrar recibidas_gastos'!O76)</f>
        <v/>
      </c>
      <c r="P76" s="61" t="str">
        <f>IF(OR(LEFT('Registrar recibidas_gastos'!P76,2)="01",'Registrar recibidas_gastos'!P76=""),"",VLOOKUP(CONCATENATE("TIPO NIF",'Registrar recibidas_gastos'!P76),'CODIGO-LITERAL'!$C:$D,2,FALSE))</f>
        <v/>
      </c>
      <c r="Q76" s="61" t="str">
        <f>IF('Registrar recibidas_gastos'!Q76="","",'Registrar recibidas_gastos'!Q76)</f>
        <v/>
      </c>
      <c r="R76" s="61" t="str">
        <f>IF('Registrar recibidas_gastos'!R76="","",'Registrar recibidas_gastos'!R76)</f>
        <v/>
      </c>
      <c r="S76" s="61" t="str">
        <f>IF('Registrar recibidas_gastos'!S76="","",'Registrar recibidas_gastos'!S76)</f>
        <v/>
      </c>
      <c r="T76" s="61" t="str">
        <f>IF('Registrar recibidas_gastos'!T76="","",VLOOKUP(CONCATENATE("CLAVE OPERACION GASTO",'Registrar recibidas_gastos'!T76),'CODIGO-LITERAL'!$C:$D,2,FALSE))</f>
        <v/>
      </c>
      <c r="U76" s="61" t="str">
        <f>IF(T76="","",IF(OR(T76="02",T76="08"),"N",IF('Registrar recibidas_gastos'!U76="","N",'Registrar recibidas_gastos'!U76)))</f>
        <v/>
      </c>
      <c r="V76" s="61" t="str">
        <f>IF(T76="","",IF(OR(T76="07",T76="08",T76="09",F76="F5",F76="LC"),"N",IF('Registrar recibidas_gastos'!V76="","N",'Registrar recibidas_gastos'!V76)))</f>
        <v/>
      </c>
      <c r="W76" s="61" t="str">
        <f>IF(AND(X76="",Y76=""),"",IF(AND(RECIBIDAS_GASTOS!$X76&lt;&gt;"",RECIBIDAS_GASTOS!$Y76&lt;&gt;""),"S",IF('Registrar recibidas_gastos'!W76="","N",'Registrar recibidas_gastos'!W76)))</f>
        <v/>
      </c>
      <c r="X76" s="67" t="str">
        <f>IF('Registrar recibidas_gastos'!X76="","",'Registrar recibidas_gastos'!X76)</f>
        <v/>
      </c>
      <c r="Y76" s="61" t="str">
        <f>IF('Registrar recibidas_gastos'!Y76="","",'Registrar recibidas_gastos'!Y76)</f>
        <v/>
      </c>
      <c r="Z76" s="68" t="str">
        <f>IF('Registrar recibidas_gastos'!Z76="","",IF(AND(F76="",T76=""),"",IF(OR(T76="03",T76="05",T76="09"),AA76,SUM(AA76,AC76,AF76))))</f>
        <v/>
      </c>
      <c r="AA76" s="68" t="str">
        <f>IF('Registrar recibidas_gastos'!AA76="","",ROUND('Registrar recibidas_gastos'!AA76,2))</f>
        <v/>
      </c>
      <c r="AB76" s="61" t="str">
        <f>IF('Registrar recibidas_gastos'!AB76="","",'Registrar recibidas_gastos'!AB76)</f>
        <v/>
      </c>
      <c r="AC76" s="68" t="str">
        <f>IF(OR(T76="03",T76="05"),0,IF('Registrar recibidas_gastos'!AC76="","",ROUND(AA76*AB76/100,2)))</f>
        <v/>
      </c>
      <c r="AD76" s="68" t="str">
        <f>IF('Registrar recibidas_gastos'!AD76="","",ROUND('Registrar recibidas_gastos'!AD76,2))</f>
        <v/>
      </c>
      <c r="AE76" s="61" t="str">
        <f>IF('Registrar recibidas_gastos'!AE76="","",'Registrar recibidas_gastos'!AE76)</f>
        <v/>
      </c>
      <c r="AF76" s="68" t="str">
        <f>IF('Registrar recibidas_gastos'!AF76="","",ROUND(AA76*AE76/100,2))</f>
        <v/>
      </c>
      <c r="AG76" s="67" t="str">
        <f>IF('Registrar recibidas_gastos'!AG76="","",'Registrar recibidas_gastos'!AG76)</f>
        <v/>
      </c>
      <c r="AH76" s="68" t="str">
        <f>IF('Registrar recibidas_gastos'!AH76="","",'Registrar recibidas_gastos'!AH76)</f>
        <v/>
      </c>
      <c r="AI76" s="61" t="str">
        <f>IF('Registrar recibidas_gastos'!AI76="","",VLOOKUP(CONCATENATE("MEDIO UTILIZADO",'Registrar recibidas_gastos'!AI76),'CODIGO-LITERAL'!$C:$D,2,FALSE))</f>
        <v/>
      </c>
      <c r="AJ76" s="61" t="str">
        <f>IF('Registrar recibidas_gastos'!AJ76="","",'Registrar recibidas_gastos'!AJ76)</f>
        <v/>
      </c>
      <c r="AK76" s="62"/>
      <c r="AL76" s="69"/>
      <c r="AM76" s="61" t="str">
        <f>IF('Registrar recibidas_gastos'!AM76="","",'Registrar recibidas_gastos'!AM76)</f>
        <v/>
      </c>
      <c r="AN76" s="61" t="str">
        <f>IF('Registrar recibidas_gastos'!AN76="","",VLOOKUP(CONCATENATE("SITUACION",'Registrar recibidas_gastos'!AN76),'CODIGO-LITERAL'!$C:$D,2,FALSE))</f>
        <v/>
      </c>
      <c r="AO76" s="61" t="str">
        <f>IF('Registrar recibidas_gastos'!AO76="","",'Registrar recibidas_gastos'!AO76)</f>
        <v/>
      </c>
      <c r="AP76" s="61" t="str">
        <f>IF('Registrar recibidas_gastos'!AP76="","",'Registrar recibidas_gastos'!AP76)</f>
        <v/>
      </c>
    </row>
    <row r="77" spans="1:42" x14ac:dyDescent="0.25">
      <c r="A77" s="66" t="str">
        <f>IF('Registrar recibidas_gastos'!A77="","",'Registrar recibidas_gastos'!A77)</f>
        <v/>
      </c>
      <c r="B77" s="61" t="str">
        <f>IF('Registrar recibidas_gastos'!B77="","",'Registrar recibidas_gastos'!B77)</f>
        <v/>
      </c>
      <c r="C77" s="61" t="str">
        <f>IF('Registrar recibidas_gastos'!C77="","",VLOOKUP(CONCATENATE("ACTIVIDAD",'Registrar recibidas_gastos'!C77),'CODIGO-LITERAL'!$C:$D,2,FALSE))</f>
        <v/>
      </c>
      <c r="D77" s="60" t="str">
        <f>IF(OR(C77="C",C77="D"),"",IF(ISERROR(VLOOKUP(CONCATENATE(C77,'Registrar recibidas_gastos'!D77),'CODIGO-LITERAL'!$C:$D,2,FALSE)),"",VLOOKUP(CONCATENATE(C77,'Registrar recibidas_gastos'!D77),'CODIGO-LITERAL'!$C:$D,2,FALSE)))</f>
        <v/>
      </c>
      <c r="E77" s="61" t="str">
        <f>IF('Registrar recibidas_gastos'!E77="","",'Registrar recibidas_gastos'!E77)</f>
        <v/>
      </c>
      <c r="F77" s="61" t="str">
        <f>IF('Registrar recibidas_gastos'!F77="","",VLOOKUP(CONCATENATE("TIPO FACTURA GASTO",'Registrar recibidas_gastos'!F77),'CODIGO-LITERAL'!$C:$D,2,FALSE))</f>
        <v/>
      </c>
      <c r="G77" s="62"/>
      <c r="H77" s="62"/>
      <c r="I77" s="67" t="str">
        <f>IF('Registrar recibidas_gastos'!I77="","",'Registrar recibidas_gastos'!I77)</f>
        <v/>
      </c>
      <c r="J77" s="67" t="str">
        <f>IF('Registrar recibidas_gastos'!J77="","",'Registrar recibidas_gastos'!J77)</f>
        <v/>
      </c>
      <c r="K77" s="61" t="str">
        <f>IF('Registrar recibidas_gastos'!K77="","",'Registrar recibidas_gastos'!K77)</f>
        <v/>
      </c>
      <c r="L77" s="61" t="str">
        <f>IF('Registrar recibidas_gastos'!L77="","",'Registrar recibidas_gastos'!L77)</f>
        <v/>
      </c>
      <c r="M77" s="67" t="str">
        <f>IF('Registrar recibidas_gastos'!M77="","",'Registrar recibidas_gastos'!M77)</f>
        <v/>
      </c>
      <c r="N77" s="61" t="str">
        <f>IF('Registrar recibidas_gastos'!N77="","",'Registrar recibidas_gastos'!N77)</f>
        <v/>
      </c>
      <c r="O77" s="61" t="str">
        <f>IF('Registrar recibidas_gastos'!O77="","",'Registrar recibidas_gastos'!O77)</f>
        <v/>
      </c>
      <c r="P77" s="61" t="str">
        <f>IF(OR(LEFT('Registrar recibidas_gastos'!P77,2)="01",'Registrar recibidas_gastos'!P77=""),"",VLOOKUP(CONCATENATE("TIPO NIF",'Registrar recibidas_gastos'!P77),'CODIGO-LITERAL'!$C:$D,2,FALSE))</f>
        <v/>
      </c>
      <c r="Q77" s="61" t="str">
        <f>IF('Registrar recibidas_gastos'!Q77="","",'Registrar recibidas_gastos'!Q77)</f>
        <v/>
      </c>
      <c r="R77" s="61" t="str">
        <f>IF('Registrar recibidas_gastos'!R77="","",'Registrar recibidas_gastos'!R77)</f>
        <v/>
      </c>
      <c r="S77" s="61" t="str">
        <f>IF('Registrar recibidas_gastos'!S77="","",'Registrar recibidas_gastos'!S77)</f>
        <v/>
      </c>
      <c r="T77" s="61" t="str">
        <f>IF('Registrar recibidas_gastos'!T77="","",VLOOKUP(CONCATENATE("CLAVE OPERACION GASTO",'Registrar recibidas_gastos'!T77),'CODIGO-LITERAL'!$C:$D,2,FALSE))</f>
        <v/>
      </c>
      <c r="U77" s="61" t="str">
        <f>IF(T77="","",IF(OR(T77="02",T77="08"),"N",IF('Registrar recibidas_gastos'!U77="","N",'Registrar recibidas_gastos'!U77)))</f>
        <v/>
      </c>
      <c r="V77" s="61" t="str">
        <f>IF(T77="","",IF(OR(T77="07",T77="08",T77="09",F77="F5",F77="LC"),"N",IF('Registrar recibidas_gastos'!V77="","N",'Registrar recibidas_gastos'!V77)))</f>
        <v/>
      </c>
      <c r="W77" s="61" t="str">
        <f>IF(AND(X77="",Y77=""),"",IF(AND(RECIBIDAS_GASTOS!$X77&lt;&gt;"",RECIBIDAS_GASTOS!$Y77&lt;&gt;""),"S",IF('Registrar recibidas_gastos'!W77="","N",'Registrar recibidas_gastos'!W77)))</f>
        <v/>
      </c>
      <c r="X77" s="67" t="str">
        <f>IF('Registrar recibidas_gastos'!X77="","",'Registrar recibidas_gastos'!X77)</f>
        <v/>
      </c>
      <c r="Y77" s="61" t="str">
        <f>IF('Registrar recibidas_gastos'!Y77="","",'Registrar recibidas_gastos'!Y77)</f>
        <v/>
      </c>
      <c r="Z77" s="68" t="str">
        <f>IF('Registrar recibidas_gastos'!Z77="","",IF(AND(F77="",T77=""),"",IF(OR(T77="03",T77="05",T77="09"),AA77,SUM(AA77,AC77,AF77))))</f>
        <v/>
      </c>
      <c r="AA77" s="68" t="str">
        <f>IF('Registrar recibidas_gastos'!AA77="","",ROUND('Registrar recibidas_gastos'!AA77,2))</f>
        <v/>
      </c>
      <c r="AB77" s="61" t="str">
        <f>IF('Registrar recibidas_gastos'!AB77="","",'Registrar recibidas_gastos'!AB77)</f>
        <v/>
      </c>
      <c r="AC77" s="68" t="str">
        <f>IF(OR(T77="03",T77="05"),0,IF('Registrar recibidas_gastos'!AC77="","",ROUND(AA77*AB77/100,2)))</f>
        <v/>
      </c>
      <c r="AD77" s="68" t="str">
        <f>IF('Registrar recibidas_gastos'!AD77="","",ROUND('Registrar recibidas_gastos'!AD77,2))</f>
        <v/>
      </c>
      <c r="AE77" s="61" t="str">
        <f>IF('Registrar recibidas_gastos'!AE77="","",'Registrar recibidas_gastos'!AE77)</f>
        <v/>
      </c>
      <c r="AF77" s="68" t="str">
        <f>IF('Registrar recibidas_gastos'!AF77="","",ROUND(AA77*AE77/100,2))</f>
        <v/>
      </c>
      <c r="AG77" s="67" t="str">
        <f>IF('Registrar recibidas_gastos'!AG77="","",'Registrar recibidas_gastos'!AG77)</f>
        <v/>
      </c>
      <c r="AH77" s="68" t="str">
        <f>IF('Registrar recibidas_gastos'!AH77="","",'Registrar recibidas_gastos'!AH77)</f>
        <v/>
      </c>
      <c r="AI77" s="61" t="str">
        <f>IF('Registrar recibidas_gastos'!AI77="","",VLOOKUP(CONCATENATE("MEDIO UTILIZADO",'Registrar recibidas_gastos'!AI77),'CODIGO-LITERAL'!$C:$D,2,FALSE))</f>
        <v/>
      </c>
      <c r="AJ77" s="61" t="str">
        <f>IF('Registrar recibidas_gastos'!AJ77="","",'Registrar recibidas_gastos'!AJ77)</f>
        <v/>
      </c>
      <c r="AK77" s="62"/>
      <c r="AL77" s="69"/>
      <c r="AM77" s="61" t="str">
        <f>IF('Registrar recibidas_gastos'!AM77="","",'Registrar recibidas_gastos'!AM77)</f>
        <v/>
      </c>
      <c r="AN77" s="61" t="str">
        <f>IF('Registrar recibidas_gastos'!AN77="","",VLOOKUP(CONCATENATE("SITUACION",'Registrar recibidas_gastos'!AN77),'CODIGO-LITERAL'!$C:$D,2,FALSE))</f>
        <v/>
      </c>
      <c r="AO77" s="61" t="str">
        <f>IF('Registrar recibidas_gastos'!AO77="","",'Registrar recibidas_gastos'!AO77)</f>
        <v/>
      </c>
      <c r="AP77" s="61" t="str">
        <f>IF('Registrar recibidas_gastos'!AP77="","",'Registrar recibidas_gastos'!AP77)</f>
        <v/>
      </c>
    </row>
    <row r="78" spans="1:42" x14ac:dyDescent="0.25">
      <c r="A78" s="66" t="str">
        <f>IF('Registrar recibidas_gastos'!A78="","",'Registrar recibidas_gastos'!A78)</f>
        <v/>
      </c>
      <c r="B78" s="61" t="str">
        <f>IF('Registrar recibidas_gastos'!B78="","",'Registrar recibidas_gastos'!B78)</f>
        <v/>
      </c>
      <c r="C78" s="61" t="str">
        <f>IF('Registrar recibidas_gastos'!C78="","",VLOOKUP(CONCATENATE("ACTIVIDAD",'Registrar recibidas_gastos'!C78),'CODIGO-LITERAL'!$C:$D,2,FALSE))</f>
        <v/>
      </c>
      <c r="D78" s="60" t="str">
        <f>IF(OR(C78="C",C78="D"),"",IF(ISERROR(VLOOKUP(CONCATENATE(C78,'Registrar recibidas_gastos'!D78),'CODIGO-LITERAL'!$C:$D,2,FALSE)),"",VLOOKUP(CONCATENATE(C78,'Registrar recibidas_gastos'!D78),'CODIGO-LITERAL'!$C:$D,2,FALSE)))</f>
        <v/>
      </c>
      <c r="E78" s="61" t="str">
        <f>IF('Registrar recibidas_gastos'!E78="","",'Registrar recibidas_gastos'!E78)</f>
        <v/>
      </c>
      <c r="F78" s="61" t="str">
        <f>IF('Registrar recibidas_gastos'!F78="","",VLOOKUP(CONCATENATE("TIPO FACTURA GASTO",'Registrar recibidas_gastos'!F78),'CODIGO-LITERAL'!$C:$D,2,FALSE))</f>
        <v/>
      </c>
      <c r="G78" s="62"/>
      <c r="H78" s="62"/>
      <c r="I78" s="67" t="str">
        <f>IF('Registrar recibidas_gastos'!I78="","",'Registrar recibidas_gastos'!I78)</f>
        <v/>
      </c>
      <c r="J78" s="67" t="str">
        <f>IF('Registrar recibidas_gastos'!J78="","",'Registrar recibidas_gastos'!J78)</f>
        <v/>
      </c>
      <c r="K78" s="61" t="str">
        <f>IF('Registrar recibidas_gastos'!K78="","",'Registrar recibidas_gastos'!K78)</f>
        <v/>
      </c>
      <c r="L78" s="61" t="str">
        <f>IF('Registrar recibidas_gastos'!L78="","",'Registrar recibidas_gastos'!L78)</f>
        <v/>
      </c>
      <c r="M78" s="67" t="str">
        <f>IF('Registrar recibidas_gastos'!M78="","",'Registrar recibidas_gastos'!M78)</f>
        <v/>
      </c>
      <c r="N78" s="61" t="str">
        <f>IF('Registrar recibidas_gastos'!N78="","",'Registrar recibidas_gastos'!N78)</f>
        <v/>
      </c>
      <c r="O78" s="61" t="str">
        <f>IF('Registrar recibidas_gastos'!O78="","",'Registrar recibidas_gastos'!O78)</f>
        <v/>
      </c>
      <c r="P78" s="61" t="str">
        <f>IF(OR(LEFT('Registrar recibidas_gastos'!P78,2)="01",'Registrar recibidas_gastos'!P78=""),"",VLOOKUP(CONCATENATE("TIPO NIF",'Registrar recibidas_gastos'!P78),'CODIGO-LITERAL'!$C:$D,2,FALSE))</f>
        <v/>
      </c>
      <c r="Q78" s="61" t="str">
        <f>IF('Registrar recibidas_gastos'!Q78="","",'Registrar recibidas_gastos'!Q78)</f>
        <v/>
      </c>
      <c r="R78" s="61" t="str">
        <f>IF('Registrar recibidas_gastos'!R78="","",'Registrar recibidas_gastos'!R78)</f>
        <v/>
      </c>
      <c r="S78" s="61" t="str">
        <f>IF('Registrar recibidas_gastos'!S78="","",'Registrar recibidas_gastos'!S78)</f>
        <v/>
      </c>
      <c r="T78" s="61" t="str">
        <f>IF('Registrar recibidas_gastos'!T78="","",VLOOKUP(CONCATENATE("CLAVE OPERACION GASTO",'Registrar recibidas_gastos'!T78),'CODIGO-LITERAL'!$C:$D,2,FALSE))</f>
        <v/>
      </c>
      <c r="U78" s="61" t="str">
        <f>IF(T78="","",IF(OR(T78="02",T78="08"),"N",IF('Registrar recibidas_gastos'!U78="","N",'Registrar recibidas_gastos'!U78)))</f>
        <v/>
      </c>
      <c r="V78" s="61" t="str">
        <f>IF(T78="","",IF(OR(T78="07",T78="08",T78="09",F78="F5",F78="LC"),"N",IF('Registrar recibidas_gastos'!V78="","N",'Registrar recibidas_gastos'!V78)))</f>
        <v/>
      </c>
      <c r="W78" s="61" t="str">
        <f>IF(AND(X78="",Y78=""),"",IF(AND(RECIBIDAS_GASTOS!$X78&lt;&gt;"",RECIBIDAS_GASTOS!$Y78&lt;&gt;""),"S",IF('Registrar recibidas_gastos'!W78="","N",'Registrar recibidas_gastos'!W78)))</f>
        <v/>
      </c>
      <c r="X78" s="67" t="str">
        <f>IF('Registrar recibidas_gastos'!X78="","",'Registrar recibidas_gastos'!X78)</f>
        <v/>
      </c>
      <c r="Y78" s="61" t="str">
        <f>IF('Registrar recibidas_gastos'!Y78="","",'Registrar recibidas_gastos'!Y78)</f>
        <v/>
      </c>
      <c r="Z78" s="68" t="str">
        <f>IF('Registrar recibidas_gastos'!Z78="","",IF(AND(F78="",T78=""),"",IF(OR(T78="03",T78="05",T78="09"),AA78,SUM(AA78,AC78,AF78))))</f>
        <v/>
      </c>
      <c r="AA78" s="68" t="str">
        <f>IF('Registrar recibidas_gastos'!AA78="","",ROUND('Registrar recibidas_gastos'!AA78,2))</f>
        <v/>
      </c>
      <c r="AB78" s="61" t="str">
        <f>IF('Registrar recibidas_gastos'!AB78="","",'Registrar recibidas_gastos'!AB78)</f>
        <v/>
      </c>
      <c r="AC78" s="68" t="str">
        <f>IF(OR(T78="03",T78="05"),0,IF('Registrar recibidas_gastos'!AC78="","",ROUND(AA78*AB78/100,2)))</f>
        <v/>
      </c>
      <c r="AD78" s="68" t="str">
        <f>IF('Registrar recibidas_gastos'!AD78="","",ROUND('Registrar recibidas_gastos'!AD78,2))</f>
        <v/>
      </c>
      <c r="AE78" s="61" t="str">
        <f>IF('Registrar recibidas_gastos'!AE78="","",'Registrar recibidas_gastos'!AE78)</f>
        <v/>
      </c>
      <c r="AF78" s="68" t="str">
        <f>IF('Registrar recibidas_gastos'!AF78="","",ROUND(AA78*AE78/100,2))</f>
        <v/>
      </c>
      <c r="AG78" s="67" t="str">
        <f>IF('Registrar recibidas_gastos'!AG78="","",'Registrar recibidas_gastos'!AG78)</f>
        <v/>
      </c>
      <c r="AH78" s="68" t="str">
        <f>IF('Registrar recibidas_gastos'!AH78="","",'Registrar recibidas_gastos'!AH78)</f>
        <v/>
      </c>
      <c r="AI78" s="61" t="str">
        <f>IF('Registrar recibidas_gastos'!AI78="","",VLOOKUP(CONCATENATE("MEDIO UTILIZADO",'Registrar recibidas_gastos'!AI78),'CODIGO-LITERAL'!$C:$D,2,FALSE))</f>
        <v/>
      </c>
      <c r="AJ78" s="61" t="str">
        <f>IF('Registrar recibidas_gastos'!AJ78="","",'Registrar recibidas_gastos'!AJ78)</f>
        <v/>
      </c>
      <c r="AK78" s="62"/>
      <c r="AL78" s="69"/>
      <c r="AM78" s="61" t="str">
        <f>IF('Registrar recibidas_gastos'!AM78="","",'Registrar recibidas_gastos'!AM78)</f>
        <v/>
      </c>
      <c r="AN78" s="61" t="str">
        <f>IF('Registrar recibidas_gastos'!AN78="","",VLOOKUP(CONCATENATE("SITUACION",'Registrar recibidas_gastos'!AN78),'CODIGO-LITERAL'!$C:$D,2,FALSE))</f>
        <v/>
      </c>
      <c r="AO78" s="61" t="str">
        <f>IF('Registrar recibidas_gastos'!AO78="","",'Registrar recibidas_gastos'!AO78)</f>
        <v/>
      </c>
      <c r="AP78" s="61" t="str">
        <f>IF('Registrar recibidas_gastos'!AP78="","",'Registrar recibidas_gastos'!AP78)</f>
        <v/>
      </c>
    </row>
    <row r="79" spans="1:42" x14ac:dyDescent="0.25">
      <c r="A79" s="66" t="str">
        <f>IF('Registrar recibidas_gastos'!A79="","",'Registrar recibidas_gastos'!A79)</f>
        <v/>
      </c>
      <c r="B79" s="61" t="str">
        <f>IF('Registrar recibidas_gastos'!B79="","",'Registrar recibidas_gastos'!B79)</f>
        <v/>
      </c>
      <c r="C79" s="61" t="str">
        <f>IF('Registrar recibidas_gastos'!C79="","",VLOOKUP(CONCATENATE("ACTIVIDAD",'Registrar recibidas_gastos'!C79),'CODIGO-LITERAL'!$C:$D,2,FALSE))</f>
        <v/>
      </c>
      <c r="D79" s="60" t="str">
        <f>IF(OR(C79="C",C79="D"),"",IF(ISERROR(VLOOKUP(CONCATENATE(C79,'Registrar recibidas_gastos'!D79),'CODIGO-LITERAL'!$C:$D,2,FALSE)),"",VLOOKUP(CONCATENATE(C79,'Registrar recibidas_gastos'!D79),'CODIGO-LITERAL'!$C:$D,2,FALSE)))</f>
        <v/>
      </c>
      <c r="E79" s="61" t="str">
        <f>IF('Registrar recibidas_gastos'!E79="","",'Registrar recibidas_gastos'!E79)</f>
        <v/>
      </c>
      <c r="F79" s="61" t="str">
        <f>IF('Registrar recibidas_gastos'!F79="","",VLOOKUP(CONCATENATE("TIPO FACTURA GASTO",'Registrar recibidas_gastos'!F79),'CODIGO-LITERAL'!$C:$D,2,FALSE))</f>
        <v/>
      </c>
      <c r="G79" s="62"/>
      <c r="H79" s="62"/>
      <c r="I79" s="67" t="str">
        <f>IF('Registrar recibidas_gastos'!I79="","",'Registrar recibidas_gastos'!I79)</f>
        <v/>
      </c>
      <c r="J79" s="67" t="str">
        <f>IF('Registrar recibidas_gastos'!J79="","",'Registrar recibidas_gastos'!J79)</f>
        <v/>
      </c>
      <c r="K79" s="61" t="str">
        <f>IF('Registrar recibidas_gastos'!K79="","",'Registrar recibidas_gastos'!K79)</f>
        <v/>
      </c>
      <c r="L79" s="61" t="str">
        <f>IF('Registrar recibidas_gastos'!L79="","",'Registrar recibidas_gastos'!L79)</f>
        <v/>
      </c>
      <c r="M79" s="67" t="str">
        <f>IF('Registrar recibidas_gastos'!M79="","",'Registrar recibidas_gastos'!M79)</f>
        <v/>
      </c>
      <c r="N79" s="61" t="str">
        <f>IF('Registrar recibidas_gastos'!N79="","",'Registrar recibidas_gastos'!N79)</f>
        <v/>
      </c>
      <c r="O79" s="61" t="str">
        <f>IF('Registrar recibidas_gastos'!O79="","",'Registrar recibidas_gastos'!O79)</f>
        <v/>
      </c>
      <c r="P79" s="61" t="str">
        <f>IF(OR(LEFT('Registrar recibidas_gastos'!P79,2)="01",'Registrar recibidas_gastos'!P79=""),"",VLOOKUP(CONCATENATE("TIPO NIF",'Registrar recibidas_gastos'!P79),'CODIGO-LITERAL'!$C:$D,2,FALSE))</f>
        <v/>
      </c>
      <c r="Q79" s="61" t="str">
        <f>IF('Registrar recibidas_gastos'!Q79="","",'Registrar recibidas_gastos'!Q79)</f>
        <v/>
      </c>
      <c r="R79" s="61" t="str">
        <f>IF('Registrar recibidas_gastos'!R79="","",'Registrar recibidas_gastos'!R79)</f>
        <v/>
      </c>
      <c r="S79" s="61" t="str">
        <f>IF('Registrar recibidas_gastos'!S79="","",'Registrar recibidas_gastos'!S79)</f>
        <v/>
      </c>
      <c r="T79" s="61" t="str">
        <f>IF('Registrar recibidas_gastos'!T79="","",VLOOKUP(CONCATENATE("CLAVE OPERACION GASTO",'Registrar recibidas_gastos'!T79),'CODIGO-LITERAL'!$C:$D,2,FALSE))</f>
        <v/>
      </c>
      <c r="U79" s="61" t="str">
        <f>IF(T79="","",IF(OR(T79="02",T79="08"),"N",IF('Registrar recibidas_gastos'!U79="","N",'Registrar recibidas_gastos'!U79)))</f>
        <v/>
      </c>
      <c r="V79" s="61" t="str">
        <f>IF(T79="","",IF(OR(T79="07",T79="08",T79="09",F79="F5",F79="LC"),"N",IF('Registrar recibidas_gastos'!V79="","N",'Registrar recibidas_gastos'!V79)))</f>
        <v/>
      </c>
      <c r="W79" s="61" t="str">
        <f>IF(AND(X79="",Y79=""),"",IF(AND(RECIBIDAS_GASTOS!$X79&lt;&gt;"",RECIBIDAS_GASTOS!$Y79&lt;&gt;""),"S",IF('Registrar recibidas_gastos'!W79="","N",'Registrar recibidas_gastos'!W79)))</f>
        <v/>
      </c>
      <c r="X79" s="67" t="str">
        <f>IF('Registrar recibidas_gastos'!X79="","",'Registrar recibidas_gastos'!X79)</f>
        <v/>
      </c>
      <c r="Y79" s="61" t="str">
        <f>IF('Registrar recibidas_gastos'!Y79="","",'Registrar recibidas_gastos'!Y79)</f>
        <v/>
      </c>
      <c r="Z79" s="68" t="str">
        <f>IF('Registrar recibidas_gastos'!Z79="","",IF(AND(F79="",T79=""),"",IF(OR(T79="03",T79="05",T79="09"),AA79,SUM(AA79,AC79,AF79))))</f>
        <v/>
      </c>
      <c r="AA79" s="68" t="str">
        <f>IF('Registrar recibidas_gastos'!AA79="","",ROUND('Registrar recibidas_gastos'!AA79,2))</f>
        <v/>
      </c>
      <c r="AB79" s="61" t="str">
        <f>IF('Registrar recibidas_gastos'!AB79="","",'Registrar recibidas_gastos'!AB79)</f>
        <v/>
      </c>
      <c r="AC79" s="68" t="str">
        <f>IF(OR(T79="03",T79="05"),0,IF('Registrar recibidas_gastos'!AC79="","",ROUND(AA79*AB79/100,2)))</f>
        <v/>
      </c>
      <c r="AD79" s="68" t="str">
        <f>IF('Registrar recibidas_gastos'!AD79="","",ROUND('Registrar recibidas_gastos'!AD79,2))</f>
        <v/>
      </c>
      <c r="AE79" s="61" t="str">
        <f>IF('Registrar recibidas_gastos'!AE79="","",'Registrar recibidas_gastos'!AE79)</f>
        <v/>
      </c>
      <c r="AF79" s="68" t="str">
        <f>IF('Registrar recibidas_gastos'!AF79="","",ROUND(AA79*AE79/100,2))</f>
        <v/>
      </c>
      <c r="AG79" s="67" t="str">
        <f>IF('Registrar recibidas_gastos'!AG79="","",'Registrar recibidas_gastos'!AG79)</f>
        <v/>
      </c>
      <c r="AH79" s="68" t="str">
        <f>IF('Registrar recibidas_gastos'!AH79="","",'Registrar recibidas_gastos'!AH79)</f>
        <v/>
      </c>
      <c r="AI79" s="61" t="str">
        <f>IF('Registrar recibidas_gastos'!AI79="","",VLOOKUP(CONCATENATE("MEDIO UTILIZADO",'Registrar recibidas_gastos'!AI79),'CODIGO-LITERAL'!$C:$D,2,FALSE))</f>
        <v/>
      </c>
      <c r="AJ79" s="61" t="str">
        <f>IF('Registrar recibidas_gastos'!AJ79="","",'Registrar recibidas_gastos'!AJ79)</f>
        <v/>
      </c>
      <c r="AK79" s="62"/>
      <c r="AL79" s="69"/>
      <c r="AM79" s="61" t="str">
        <f>IF('Registrar recibidas_gastos'!AM79="","",'Registrar recibidas_gastos'!AM79)</f>
        <v/>
      </c>
      <c r="AN79" s="61" t="str">
        <f>IF('Registrar recibidas_gastos'!AN79="","",VLOOKUP(CONCATENATE("SITUACION",'Registrar recibidas_gastos'!AN79),'CODIGO-LITERAL'!$C:$D,2,FALSE))</f>
        <v/>
      </c>
      <c r="AO79" s="61" t="str">
        <f>IF('Registrar recibidas_gastos'!AO79="","",'Registrar recibidas_gastos'!AO79)</f>
        <v/>
      </c>
      <c r="AP79" s="61" t="str">
        <f>IF('Registrar recibidas_gastos'!AP79="","",'Registrar recibidas_gastos'!AP79)</f>
        <v/>
      </c>
    </row>
    <row r="80" spans="1:42" x14ac:dyDescent="0.25">
      <c r="A80" s="66" t="str">
        <f>IF('Registrar recibidas_gastos'!A80="","",'Registrar recibidas_gastos'!A80)</f>
        <v/>
      </c>
      <c r="B80" s="61" t="str">
        <f>IF('Registrar recibidas_gastos'!B80="","",'Registrar recibidas_gastos'!B80)</f>
        <v/>
      </c>
      <c r="C80" s="61" t="str">
        <f>IF('Registrar recibidas_gastos'!C80="","",VLOOKUP(CONCATENATE("ACTIVIDAD",'Registrar recibidas_gastos'!C80),'CODIGO-LITERAL'!$C:$D,2,FALSE))</f>
        <v/>
      </c>
      <c r="D80" s="60" t="str">
        <f>IF(OR(C80="C",C80="D"),"",IF(ISERROR(VLOOKUP(CONCATENATE(C80,'Registrar recibidas_gastos'!D80),'CODIGO-LITERAL'!$C:$D,2,FALSE)),"",VLOOKUP(CONCATENATE(C80,'Registrar recibidas_gastos'!D80),'CODIGO-LITERAL'!$C:$D,2,FALSE)))</f>
        <v/>
      </c>
      <c r="E80" s="61" t="str">
        <f>IF('Registrar recibidas_gastos'!E80="","",'Registrar recibidas_gastos'!E80)</f>
        <v/>
      </c>
      <c r="F80" s="61" t="str">
        <f>IF('Registrar recibidas_gastos'!F80="","",VLOOKUP(CONCATENATE("TIPO FACTURA GASTO",'Registrar recibidas_gastos'!F80),'CODIGO-LITERAL'!$C:$D,2,FALSE))</f>
        <v/>
      </c>
      <c r="G80" s="62"/>
      <c r="H80" s="62"/>
      <c r="I80" s="67" t="str">
        <f>IF('Registrar recibidas_gastos'!I80="","",'Registrar recibidas_gastos'!I80)</f>
        <v/>
      </c>
      <c r="J80" s="67" t="str">
        <f>IF('Registrar recibidas_gastos'!J80="","",'Registrar recibidas_gastos'!J80)</f>
        <v/>
      </c>
      <c r="K80" s="61" t="str">
        <f>IF('Registrar recibidas_gastos'!K80="","",'Registrar recibidas_gastos'!K80)</f>
        <v/>
      </c>
      <c r="L80" s="61" t="str">
        <f>IF('Registrar recibidas_gastos'!L80="","",'Registrar recibidas_gastos'!L80)</f>
        <v/>
      </c>
      <c r="M80" s="67" t="str">
        <f>IF('Registrar recibidas_gastos'!M80="","",'Registrar recibidas_gastos'!M80)</f>
        <v/>
      </c>
      <c r="N80" s="61" t="str">
        <f>IF('Registrar recibidas_gastos'!N80="","",'Registrar recibidas_gastos'!N80)</f>
        <v/>
      </c>
      <c r="O80" s="61" t="str">
        <f>IF('Registrar recibidas_gastos'!O80="","",'Registrar recibidas_gastos'!O80)</f>
        <v/>
      </c>
      <c r="P80" s="61" t="str">
        <f>IF(OR(LEFT('Registrar recibidas_gastos'!P80,2)="01",'Registrar recibidas_gastos'!P80=""),"",VLOOKUP(CONCATENATE("TIPO NIF",'Registrar recibidas_gastos'!P80),'CODIGO-LITERAL'!$C:$D,2,FALSE))</f>
        <v/>
      </c>
      <c r="Q80" s="61" t="str">
        <f>IF('Registrar recibidas_gastos'!Q80="","",'Registrar recibidas_gastos'!Q80)</f>
        <v/>
      </c>
      <c r="R80" s="61" t="str">
        <f>IF('Registrar recibidas_gastos'!R80="","",'Registrar recibidas_gastos'!R80)</f>
        <v/>
      </c>
      <c r="S80" s="61" t="str">
        <f>IF('Registrar recibidas_gastos'!S80="","",'Registrar recibidas_gastos'!S80)</f>
        <v/>
      </c>
      <c r="T80" s="61" t="str">
        <f>IF('Registrar recibidas_gastos'!T80="","",VLOOKUP(CONCATENATE("CLAVE OPERACION GASTO",'Registrar recibidas_gastos'!T80),'CODIGO-LITERAL'!$C:$D,2,FALSE))</f>
        <v/>
      </c>
      <c r="U80" s="61" t="str">
        <f>IF(T80="","",IF(OR(T80="02",T80="08"),"N",IF('Registrar recibidas_gastos'!U80="","N",'Registrar recibidas_gastos'!U80)))</f>
        <v/>
      </c>
      <c r="V80" s="61" t="str">
        <f>IF(T80="","",IF(OR(T80="07",T80="08",T80="09",F80="F5",F80="LC"),"N",IF('Registrar recibidas_gastos'!V80="","N",'Registrar recibidas_gastos'!V80)))</f>
        <v/>
      </c>
      <c r="W80" s="61" t="str">
        <f>IF(AND(X80="",Y80=""),"",IF(AND(RECIBIDAS_GASTOS!$X80&lt;&gt;"",RECIBIDAS_GASTOS!$Y80&lt;&gt;""),"S",IF('Registrar recibidas_gastos'!W80="","N",'Registrar recibidas_gastos'!W80)))</f>
        <v/>
      </c>
      <c r="X80" s="67" t="str">
        <f>IF('Registrar recibidas_gastos'!X80="","",'Registrar recibidas_gastos'!X80)</f>
        <v/>
      </c>
      <c r="Y80" s="61" t="str">
        <f>IF('Registrar recibidas_gastos'!Y80="","",'Registrar recibidas_gastos'!Y80)</f>
        <v/>
      </c>
      <c r="Z80" s="68" t="str">
        <f>IF('Registrar recibidas_gastos'!Z80="","",IF(AND(F80="",T80=""),"",IF(OR(T80="03",T80="05",T80="09"),AA80,SUM(AA80,AC80,AF80))))</f>
        <v/>
      </c>
      <c r="AA80" s="68" t="str">
        <f>IF('Registrar recibidas_gastos'!AA80="","",ROUND('Registrar recibidas_gastos'!AA80,2))</f>
        <v/>
      </c>
      <c r="AB80" s="61" t="str">
        <f>IF('Registrar recibidas_gastos'!AB80="","",'Registrar recibidas_gastos'!AB80)</f>
        <v/>
      </c>
      <c r="AC80" s="68" t="str">
        <f>IF(OR(T80="03",T80="05"),0,IF('Registrar recibidas_gastos'!AC80="","",ROUND(AA80*AB80/100,2)))</f>
        <v/>
      </c>
      <c r="AD80" s="68" t="str">
        <f>IF('Registrar recibidas_gastos'!AD80="","",ROUND('Registrar recibidas_gastos'!AD80,2))</f>
        <v/>
      </c>
      <c r="AE80" s="61" t="str">
        <f>IF('Registrar recibidas_gastos'!AE80="","",'Registrar recibidas_gastos'!AE80)</f>
        <v/>
      </c>
      <c r="AF80" s="68" t="str">
        <f>IF('Registrar recibidas_gastos'!AF80="","",ROUND(AA80*AE80/100,2))</f>
        <v/>
      </c>
      <c r="AG80" s="67" t="str">
        <f>IF('Registrar recibidas_gastos'!AG80="","",'Registrar recibidas_gastos'!AG80)</f>
        <v/>
      </c>
      <c r="AH80" s="68" t="str">
        <f>IF('Registrar recibidas_gastos'!AH80="","",'Registrar recibidas_gastos'!AH80)</f>
        <v/>
      </c>
      <c r="AI80" s="61" t="str">
        <f>IF('Registrar recibidas_gastos'!AI80="","",VLOOKUP(CONCATENATE("MEDIO UTILIZADO",'Registrar recibidas_gastos'!AI80),'CODIGO-LITERAL'!$C:$D,2,FALSE))</f>
        <v/>
      </c>
      <c r="AJ80" s="61" t="str">
        <f>IF('Registrar recibidas_gastos'!AJ80="","",'Registrar recibidas_gastos'!AJ80)</f>
        <v/>
      </c>
      <c r="AK80" s="62"/>
      <c r="AL80" s="69"/>
      <c r="AM80" s="61" t="str">
        <f>IF('Registrar recibidas_gastos'!AM80="","",'Registrar recibidas_gastos'!AM80)</f>
        <v/>
      </c>
      <c r="AN80" s="61" t="str">
        <f>IF('Registrar recibidas_gastos'!AN80="","",VLOOKUP(CONCATENATE("SITUACION",'Registrar recibidas_gastos'!AN80),'CODIGO-LITERAL'!$C:$D,2,FALSE))</f>
        <v/>
      </c>
      <c r="AO80" s="61" t="str">
        <f>IF('Registrar recibidas_gastos'!AO80="","",'Registrar recibidas_gastos'!AO80)</f>
        <v/>
      </c>
      <c r="AP80" s="61" t="str">
        <f>IF('Registrar recibidas_gastos'!AP80="","",'Registrar recibidas_gastos'!AP80)</f>
        <v/>
      </c>
    </row>
    <row r="81" spans="1:42" x14ac:dyDescent="0.25">
      <c r="A81" s="66" t="str">
        <f>IF('Registrar recibidas_gastos'!A81="","",'Registrar recibidas_gastos'!A81)</f>
        <v/>
      </c>
      <c r="B81" s="61" t="str">
        <f>IF('Registrar recibidas_gastos'!B81="","",'Registrar recibidas_gastos'!B81)</f>
        <v/>
      </c>
      <c r="C81" s="61" t="str">
        <f>IF('Registrar recibidas_gastos'!C81="","",VLOOKUP(CONCATENATE("ACTIVIDAD",'Registrar recibidas_gastos'!C81),'CODIGO-LITERAL'!$C:$D,2,FALSE))</f>
        <v/>
      </c>
      <c r="D81" s="60" t="str">
        <f>IF(OR(C81="C",C81="D"),"",IF(ISERROR(VLOOKUP(CONCATENATE(C81,'Registrar recibidas_gastos'!D81),'CODIGO-LITERAL'!$C:$D,2,FALSE)),"",VLOOKUP(CONCATENATE(C81,'Registrar recibidas_gastos'!D81),'CODIGO-LITERAL'!$C:$D,2,FALSE)))</f>
        <v/>
      </c>
      <c r="E81" s="61" t="str">
        <f>IF('Registrar recibidas_gastos'!E81="","",'Registrar recibidas_gastos'!E81)</f>
        <v/>
      </c>
      <c r="F81" s="61" t="str">
        <f>IF('Registrar recibidas_gastos'!F81="","",VLOOKUP(CONCATENATE("TIPO FACTURA GASTO",'Registrar recibidas_gastos'!F81),'CODIGO-LITERAL'!$C:$D,2,FALSE))</f>
        <v/>
      </c>
      <c r="G81" s="62"/>
      <c r="H81" s="62"/>
      <c r="I81" s="67" t="str">
        <f>IF('Registrar recibidas_gastos'!I81="","",'Registrar recibidas_gastos'!I81)</f>
        <v/>
      </c>
      <c r="J81" s="67" t="str">
        <f>IF('Registrar recibidas_gastos'!J81="","",'Registrar recibidas_gastos'!J81)</f>
        <v/>
      </c>
      <c r="K81" s="61" t="str">
        <f>IF('Registrar recibidas_gastos'!K81="","",'Registrar recibidas_gastos'!K81)</f>
        <v/>
      </c>
      <c r="L81" s="61" t="str">
        <f>IF('Registrar recibidas_gastos'!L81="","",'Registrar recibidas_gastos'!L81)</f>
        <v/>
      </c>
      <c r="M81" s="67" t="str">
        <f>IF('Registrar recibidas_gastos'!M81="","",'Registrar recibidas_gastos'!M81)</f>
        <v/>
      </c>
      <c r="N81" s="61" t="str">
        <f>IF('Registrar recibidas_gastos'!N81="","",'Registrar recibidas_gastos'!N81)</f>
        <v/>
      </c>
      <c r="O81" s="61" t="str">
        <f>IF('Registrar recibidas_gastos'!O81="","",'Registrar recibidas_gastos'!O81)</f>
        <v/>
      </c>
      <c r="P81" s="61" t="str">
        <f>IF(OR(LEFT('Registrar recibidas_gastos'!P81,2)="01",'Registrar recibidas_gastos'!P81=""),"",VLOOKUP(CONCATENATE("TIPO NIF",'Registrar recibidas_gastos'!P81),'CODIGO-LITERAL'!$C:$D,2,FALSE))</f>
        <v/>
      </c>
      <c r="Q81" s="61" t="str">
        <f>IF('Registrar recibidas_gastos'!Q81="","",'Registrar recibidas_gastos'!Q81)</f>
        <v/>
      </c>
      <c r="R81" s="61" t="str">
        <f>IF('Registrar recibidas_gastos'!R81="","",'Registrar recibidas_gastos'!R81)</f>
        <v/>
      </c>
      <c r="S81" s="61" t="str">
        <f>IF('Registrar recibidas_gastos'!S81="","",'Registrar recibidas_gastos'!S81)</f>
        <v/>
      </c>
      <c r="T81" s="61" t="str">
        <f>IF('Registrar recibidas_gastos'!T81="","",VLOOKUP(CONCATENATE("CLAVE OPERACION GASTO",'Registrar recibidas_gastos'!T81),'CODIGO-LITERAL'!$C:$D,2,FALSE))</f>
        <v/>
      </c>
      <c r="U81" s="61" t="str">
        <f>IF(T81="","",IF(OR(T81="02",T81="08"),"N",IF('Registrar recibidas_gastos'!U81="","N",'Registrar recibidas_gastos'!U81)))</f>
        <v/>
      </c>
      <c r="V81" s="61" t="str">
        <f>IF(T81="","",IF(OR(T81="07",T81="08",T81="09",F81="F5",F81="LC"),"N",IF('Registrar recibidas_gastos'!V81="","N",'Registrar recibidas_gastos'!V81)))</f>
        <v/>
      </c>
      <c r="W81" s="61" t="str">
        <f>IF(AND(X81="",Y81=""),"",IF(AND(RECIBIDAS_GASTOS!$X81&lt;&gt;"",RECIBIDAS_GASTOS!$Y81&lt;&gt;""),"S",IF('Registrar recibidas_gastos'!W81="","N",'Registrar recibidas_gastos'!W81)))</f>
        <v/>
      </c>
      <c r="X81" s="67" t="str">
        <f>IF('Registrar recibidas_gastos'!X81="","",'Registrar recibidas_gastos'!X81)</f>
        <v/>
      </c>
      <c r="Y81" s="61" t="str">
        <f>IF('Registrar recibidas_gastos'!Y81="","",'Registrar recibidas_gastos'!Y81)</f>
        <v/>
      </c>
      <c r="Z81" s="68" t="str">
        <f>IF('Registrar recibidas_gastos'!Z81="","",IF(AND(F81="",T81=""),"",IF(OR(T81="03",T81="05",T81="09"),AA81,SUM(AA81,AC81,AF81))))</f>
        <v/>
      </c>
      <c r="AA81" s="68" t="str">
        <f>IF('Registrar recibidas_gastos'!AA81="","",ROUND('Registrar recibidas_gastos'!AA81,2))</f>
        <v/>
      </c>
      <c r="AB81" s="61" t="str">
        <f>IF('Registrar recibidas_gastos'!AB81="","",'Registrar recibidas_gastos'!AB81)</f>
        <v/>
      </c>
      <c r="AC81" s="68" t="str">
        <f>IF(OR(T81="03",T81="05"),0,IF('Registrar recibidas_gastos'!AC81="","",ROUND(AA81*AB81/100,2)))</f>
        <v/>
      </c>
      <c r="AD81" s="68" t="str">
        <f>IF('Registrar recibidas_gastos'!AD81="","",ROUND('Registrar recibidas_gastos'!AD81,2))</f>
        <v/>
      </c>
      <c r="AE81" s="61" t="str">
        <f>IF('Registrar recibidas_gastos'!AE81="","",'Registrar recibidas_gastos'!AE81)</f>
        <v/>
      </c>
      <c r="AF81" s="68" t="str">
        <f>IF('Registrar recibidas_gastos'!AF81="","",ROUND(AA81*AE81/100,2))</f>
        <v/>
      </c>
      <c r="AG81" s="67" t="str">
        <f>IF('Registrar recibidas_gastos'!AG81="","",'Registrar recibidas_gastos'!AG81)</f>
        <v/>
      </c>
      <c r="AH81" s="68" t="str">
        <f>IF('Registrar recibidas_gastos'!AH81="","",'Registrar recibidas_gastos'!AH81)</f>
        <v/>
      </c>
      <c r="AI81" s="61" t="str">
        <f>IF('Registrar recibidas_gastos'!AI81="","",VLOOKUP(CONCATENATE("MEDIO UTILIZADO",'Registrar recibidas_gastos'!AI81),'CODIGO-LITERAL'!$C:$D,2,FALSE))</f>
        <v/>
      </c>
      <c r="AJ81" s="61" t="str">
        <f>IF('Registrar recibidas_gastos'!AJ81="","",'Registrar recibidas_gastos'!AJ81)</f>
        <v/>
      </c>
      <c r="AK81" s="62"/>
      <c r="AL81" s="69"/>
      <c r="AM81" s="61" t="str">
        <f>IF('Registrar recibidas_gastos'!AM81="","",'Registrar recibidas_gastos'!AM81)</f>
        <v/>
      </c>
      <c r="AN81" s="61" t="str">
        <f>IF('Registrar recibidas_gastos'!AN81="","",VLOOKUP(CONCATENATE("SITUACION",'Registrar recibidas_gastos'!AN81),'CODIGO-LITERAL'!$C:$D,2,FALSE))</f>
        <v/>
      </c>
      <c r="AO81" s="61" t="str">
        <f>IF('Registrar recibidas_gastos'!AO81="","",'Registrar recibidas_gastos'!AO81)</f>
        <v/>
      </c>
      <c r="AP81" s="61" t="str">
        <f>IF('Registrar recibidas_gastos'!AP81="","",'Registrar recibidas_gastos'!AP81)</f>
        <v/>
      </c>
    </row>
    <row r="82" spans="1:42" x14ac:dyDescent="0.25">
      <c r="A82" s="66" t="str">
        <f>IF('Registrar recibidas_gastos'!A82="","",'Registrar recibidas_gastos'!A82)</f>
        <v/>
      </c>
      <c r="B82" s="61" t="str">
        <f>IF('Registrar recibidas_gastos'!B82="","",'Registrar recibidas_gastos'!B82)</f>
        <v/>
      </c>
      <c r="C82" s="61" t="str">
        <f>IF('Registrar recibidas_gastos'!C82="","",VLOOKUP(CONCATENATE("ACTIVIDAD",'Registrar recibidas_gastos'!C82),'CODIGO-LITERAL'!$C:$D,2,FALSE))</f>
        <v/>
      </c>
      <c r="D82" s="60" t="str">
        <f>IF(OR(C82="C",C82="D"),"",IF(ISERROR(VLOOKUP(CONCATENATE(C82,'Registrar recibidas_gastos'!D82),'CODIGO-LITERAL'!$C:$D,2,FALSE)),"",VLOOKUP(CONCATENATE(C82,'Registrar recibidas_gastos'!D82),'CODIGO-LITERAL'!$C:$D,2,FALSE)))</f>
        <v/>
      </c>
      <c r="E82" s="61" t="str">
        <f>IF('Registrar recibidas_gastos'!E82="","",'Registrar recibidas_gastos'!E82)</f>
        <v/>
      </c>
      <c r="F82" s="61" t="str">
        <f>IF('Registrar recibidas_gastos'!F82="","",VLOOKUP(CONCATENATE("TIPO FACTURA GASTO",'Registrar recibidas_gastos'!F82),'CODIGO-LITERAL'!$C:$D,2,FALSE))</f>
        <v/>
      </c>
      <c r="G82" s="62"/>
      <c r="H82" s="62"/>
      <c r="I82" s="67" t="str">
        <f>IF('Registrar recibidas_gastos'!I82="","",'Registrar recibidas_gastos'!I82)</f>
        <v/>
      </c>
      <c r="J82" s="67" t="str">
        <f>IF('Registrar recibidas_gastos'!J82="","",'Registrar recibidas_gastos'!J82)</f>
        <v/>
      </c>
      <c r="K82" s="61" t="str">
        <f>IF('Registrar recibidas_gastos'!K82="","",'Registrar recibidas_gastos'!K82)</f>
        <v/>
      </c>
      <c r="L82" s="61" t="str">
        <f>IF('Registrar recibidas_gastos'!L82="","",'Registrar recibidas_gastos'!L82)</f>
        <v/>
      </c>
      <c r="M82" s="67" t="str">
        <f>IF('Registrar recibidas_gastos'!M82="","",'Registrar recibidas_gastos'!M82)</f>
        <v/>
      </c>
      <c r="N82" s="61" t="str">
        <f>IF('Registrar recibidas_gastos'!N82="","",'Registrar recibidas_gastos'!N82)</f>
        <v/>
      </c>
      <c r="O82" s="61" t="str">
        <f>IF('Registrar recibidas_gastos'!O82="","",'Registrar recibidas_gastos'!O82)</f>
        <v/>
      </c>
      <c r="P82" s="61" t="str">
        <f>IF(OR(LEFT('Registrar recibidas_gastos'!P82,2)="01",'Registrar recibidas_gastos'!P82=""),"",VLOOKUP(CONCATENATE("TIPO NIF",'Registrar recibidas_gastos'!P82),'CODIGO-LITERAL'!$C:$D,2,FALSE))</f>
        <v/>
      </c>
      <c r="Q82" s="61" t="str">
        <f>IF('Registrar recibidas_gastos'!Q82="","",'Registrar recibidas_gastos'!Q82)</f>
        <v/>
      </c>
      <c r="R82" s="61" t="str">
        <f>IF('Registrar recibidas_gastos'!R82="","",'Registrar recibidas_gastos'!R82)</f>
        <v/>
      </c>
      <c r="S82" s="61" t="str">
        <f>IF('Registrar recibidas_gastos'!S82="","",'Registrar recibidas_gastos'!S82)</f>
        <v/>
      </c>
      <c r="T82" s="61" t="str">
        <f>IF('Registrar recibidas_gastos'!T82="","",VLOOKUP(CONCATENATE("CLAVE OPERACION GASTO",'Registrar recibidas_gastos'!T82),'CODIGO-LITERAL'!$C:$D,2,FALSE))</f>
        <v/>
      </c>
      <c r="U82" s="61" t="str">
        <f>IF(T82="","",IF(OR(T82="02",T82="08"),"N",IF('Registrar recibidas_gastos'!U82="","N",'Registrar recibidas_gastos'!U82)))</f>
        <v/>
      </c>
      <c r="V82" s="61" t="str">
        <f>IF(T82="","",IF(OR(T82="07",T82="08",T82="09",F82="F5",F82="LC"),"N",IF('Registrar recibidas_gastos'!V82="","N",'Registrar recibidas_gastos'!V82)))</f>
        <v/>
      </c>
      <c r="W82" s="61" t="str">
        <f>IF(AND(X82="",Y82=""),"",IF(AND(RECIBIDAS_GASTOS!$X82&lt;&gt;"",RECIBIDAS_GASTOS!$Y82&lt;&gt;""),"S",IF('Registrar recibidas_gastos'!W82="","N",'Registrar recibidas_gastos'!W82)))</f>
        <v/>
      </c>
      <c r="X82" s="67" t="str">
        <f>IF('Registrar recibidas_gastos'!X82="","",'Registrar recibidas_gastos'!X82)</f>
        <v/>
      </c>
      <c r="Y82" s="61" t="str">
        <f>IF('Registrar recibidas_gastos'!Y82="","",'Registrar recibidas_gastos'!Y82)</f>
        <v/>
      </c>
      <c r="Z82" s="68" t="str">
        <f>IF('Registrar recibidas_gastos'!Z82="","",IF(AND(F82="",T82=""),"",IF(OR(T82="03",T82="05",T82="09"),AA82,SUM(AA82,AC82,AF82))))</f>
        <v/>
      </c>
      <c r="AA82" s="68" t="str">
        <f>IF('Registrar recibidas_gastos'!AA82="","",ROUND('Registrar recibidas_gastos'!AA82,2))</f>
        <v/>
      </c>
      <c r="AB82" s="61" t="str">
        <f>IF('Registrar recibidas_gastos'!AB82="","",'Registrar recibidas_gastos'!AB82)</f>
        <v/>
      </c>
      <c r="AC82" s="68" t="str">
        <f>IF(OR(T82="03",T82="05"),0,IF('Registrar recibidas_gastos'!AC82="","",ROUND(AA82*AB82/100,2)))</f>
        <v/>
      </c>
      <c r="AD82" s="68" t="str">
        <f>IF('Registrar recibidas_gastos'!AD82="","",ROUND('Registrar recibidas_gastos'!AD82,2))</f>
        <v/>
      </c>
      <c r="AE82" s="61" t="str">
        <f>IF('Registrar recibidas_gastos'!AE82="","",'Registrar recibidas_gastos'!AE82)</f>
        <v/>
      </c>
      <c r="AF82" s="68" t="str">
        <f>IF('Registrar recibidas_gastos'!AF82="","",ROUND(AA82*AE82/100,2))</f>
        <v/>
      </c>
      <c r="AG82" s="67" t="str">
        <f>IF('Registrar recibidas_gastos'!AG82="","",'Registrar recibidas_gastos'!AG82)</f>
        <v/>
      </c>
      <c r="AH82" s="68" t="str">
        <f>IF('Registrar recibidas_gastos'!AH82="","",'Registrar recibidas_gastos'!AH82)</f>
        <v/>
      </c>
      <c r="AI82" s="61" t="str">
        <f>IF('Registrar recibidas_gastos'!AI82="","",VLOOKUP(CONCATENATE("MEDIO UTILIZADO",'Registrar recibidas_gastos'!AI82),'CODIGO-LITERAL'!$C:$D,2,FALSE))</f>
        <v/>
      </c>
      <c r="AJ82" s="61" t="str">
        <f>IF('Registrar recibidas_gastos'!AJ82="","",'Registrar recibidas_gastos'!AJ82)</f>
        <v/>
      </c>
      <c r="AK82" s="62"/>
      <c r="AL82" s="69"/>
      <c r="AM82" s="61" t="str">
        <f>IF('Registrar recibidas_gastos'!AM82="","",'Registrar recibidas_gastos'!AM82)</f>
        <v/>
      </c>
      <c r="AN82" s="61" t="str">
        <f>IF('Registrar recibidas_gastos'!AN82="","",VLOOKUP(CONCATENATE("SITUACION",'Registrar recibidas_gastos'!AN82),'CODIGO-LITERAL'!$C:$D,2,FALSE))</f>
        <v/>
      </c>
      <c r="AO82" s="61" t="str">
        <f>IF('Registrar recibidas_gastos'!AO82="","",'Registrar recibidas_gastos'!AO82)</f>
        <v/>
      </c>
      <c r="AP82" s="61" t="str">
        <f>IF('Registrar recibidas_gastos'!AP82="","",'Registrar recibidas_gastos'!AP82)</f>
        <v/>
      </c>
    </row>
    <row r="83" spans="1:42" x14ac:dyDescent="0.25">
      <c r="A83" s="66" t="str">
        <f>IF('Registrar recibidas_gastos'!A83="","",'Registrar recibidas_gastos'!A83)</f>
        <v/>
      </c>
      <c r="B83" s="61" t="str">
        <f>IF('Registrar recibidas_gastos'!B83="","",'Registrar recibidas_gastos'!B83)</f>
        <v/>
      </c>
      <c r="C83" s="61" t="str">
        <f>IF('Registrar recibidas_gastos'!C83="","",VLOOKUP(CONCATENATE("ACTIVIDAD",'Registrar recibidas_gastos'!C83),'CODIGO-LITERAL'!$C:$D,2,FALSE))</f>
        <v/>
      </c>
      <c r="D83" s="60" t="str">
        <f>IF(OR(C83="C",C83="D"),"",IF(ISERROR(VLOOKUP(CONCATENATE(C83,'Registrar recibidas_gastos'!D83),'CODIGO-LITERAL'!$C:$D,2,FALSE)),"",VLOOKUP(CONCATENATE(C83,'Registrar recibidas_gastos'!D83),'CODIGO-LITERAL'!$C:$D,2,FALSE)))</f>
        <v/>
      </c>
      <c r="E83" s="61" t="str">
        <f>IF('Registrar recibidas_gastos'!E83="","",'Registrar recibidas_gastos'!E83)</f>
        <v/>
      </c>
      <c r="F83" s="61" t="str">
        <f>IF('Registrar recibidas_gastos'!F83="","",VLOOKUP(CONCATENATE("TIPO FACTURA GASTO",'Registrar recibidas_gastos'!F83),'CODIGO-LITERAL'!$C:$D,2,FALSE))</f>
        <v/>
      </c>
      <c r="G83" s="62"/>
      <c r="H83" s="62"/>
      <c r="I83" s="67" t="str">
        <f>IF('Registrar recibidas_gastos'!I83="","",'Registrar recibidas_gastos'!I83)</f>
        <v/>
      </c>
      <c r="J83" s="67" t="str">
        <f>IF('Registrar recibidas_gastos'!J83="","",'Registrar recibidas_gastos'!J83)</f>
        <v/>
      </c>
      <c r="K83" s="61" t="str">
        <f>IF('Registrar recibidas_gastos'!K83="","",'Registrar recibidas_gastos'!K83)</f>
        <v/>
      </c>
      <c r="L83" s="61" t="str">
        <f>IF('Registrar recibidas_gastos'!L83="","",'Registrar recibidas_gastos'!L83)</f>
        <v/>
      </c>
      <c r="M83" s="67" t="str">
        <f>IF('Registrar recibidas_gastos'!M83="","",'Registrar recibidas_gastos'!M83)</f>
        <v/>
      </c>
      <c r="N83" s="61" t="str">
        <f>IF('Registrar recibidas_gastos'!N83="","",'Registrar recibidas_gastos'!N83)</f>
        <v/>
      </c>
      <c r="O83" s="61" t="str">
        <f>IF('Registrar recibidas_gastos'!O83="","",'Registrar recibidas_gastos'!O83)</f>
        <v/>
      </c>
      <c r="P83" s="61" t="str">
        <f>IF(OR(LEFT('Registrar recibidas_gastos'!P83,2)="01",'Registrar recibidas_gastos'!P83=""),"",VLOOKUP(CONCATENATE("TIPO NIF",'Registrar recibidas_gastos'!P83),'CODIGO-LITERAL'!$C:$D,2,FALSE))</f>
        <v/>
      </c>
      <c r="Q83" s="61" t="str">
        <f>IF('Registrar recibidas_gastos'!Q83="","",'Registrar recibidas_gastos'!Q83)</f>
        <v/>
      </c>
      <c r="R83" s="61" t="str">
        <f>IF('Registrar recibidas_gastos'!R83="","",'Registrar recibidas_gastos'!R83)</f>
        <v/>
      </c>
      <c r="S83" s="61" t="str">
        <f>IF('Registrar recibidas_gastos'!S83="","",'Registrar recibidas_gastos'!S83)</f>
        <v/>
      </c>
      <c r="T83" s="61" t="str">
        <f>IF('Registrar recibidas_gastos'!T83="","",VLOOKUP(CONCATENATE("CLAVE OPERACION GASTO",'Registrar recibidas_gastos'!T83),'CODIGO-LITERAL'!$C:$D,2,FALSE))</f>
        <v/>
      </c>
      <c r="U83" s="61" t="str">
        <f>IF(T83="","",IF(OR(T83="02",T83="08"),"N",IF('Registrar recibidas_gastos'!U83="","N",'Registrar recibidas_gastos'!U83)))</f>
        <v/>
      </c>
      <c r="V83" s="61" t="str">
        <f>IF(T83="","",IF(OR(T83="07",T83="08",T83="09",F83="F5",F83="LC"),"N",IF('Registrar recibidas_gastos'!V83="","N",'Registrar recibidas_gastos'!V83)))</f>
        <v/>
      </c>
      <c r="W83" s="61" t="str">
        <f>IF(AND(X83="",Y83=""),"",IF(AND(RECIBIDAS_GASTOS!$X83&lt;&gt;"",RECIBIDAS_GASTOS!$Y83&lt;&gt;""),"S",IF('Registrar recibidas_gastos'!W83="","N",'Registrar recibidas_gastos'!W83)))</f>
        <v/>
      </c>
      <c r="X83" s="67" t="str">
        <f>IF('Registrar recibidas_gastos'!X83="","",'Registrar recibidas_gastos'!X83)</f>
        <v/>
      </c>
      <c r="Y83" s="61" t="str">
        <f>IF('Registrar recibidas_gastos'!Y83="","",'Registrar recibidas_gastos'!Y83)</f>
        <v/>
      </c>
      <c r="Z83" s="68" t="str">
        <f>IF('Registrar recibidas_gastos'!Z83="","",IF(AND(F83="",T83=""),"",IF(OR(T83="03",T83="05",T83="09"),AA83,SUM(AA83,AC83,AF83))))</f>
        <v/>
      </c>
      <c r="AA83" s="68" t="str">
        <f>IF('Registrar recibidas_gastos'!AA83="","",ROUND('Registrar recibidas_gastos'!AA83,2))</f>
        <v/>
      </c>
      <c r="AB83" s="61" t="str">
        <f>IF('Registrar recibidas_gastos'!AB83="","",'Registrar recibidas_gastos'!AB83)</f>
        <v/>
      </c>
      <c r="AC83" s="68" t="str">
        <f>IF(OR(T83="03",T83="05"),0,IF('Registrar recibidas_gastos'!AC83="","",ROUND(AA83*AB83/100,2)))</f>
        <v/>
      </c>
      <c r="AD83" s="68" t="str">
        <f>IF('Registrar recibidas_gastos'!AD83="","",ROUND('Registrar recibidas_gastos'!AD83,2))</f>
        <v/>
      </c>
      <c r="AE83" s="61" t="str">
        <f>IF('Registrar recibidas_gastos'!AE83="","",'Registrar recibidas_gastos'!AE83)</f>
        <v/>
      </c>
      <c r="AF83" s="68" t="str">
        <f>IF('Registrar recibidas_gastos'!AF83="","",ROUND(AA83*AE83/100,2))</f>
        <v/>
      </c>
      <c r="AG83" s="67" t="str">
        <f>IF('Registrar recibidas_gastos'!AG83="","",'Registrar recibidas_gastos'!AG83)</f>
        <v/>
      </c>
      <c r="AH83" s="68" t="str">
        <f>IF('Registrar recibidas_gastos'!AH83="","",'Registrar recibidas_gastos'!AH83)</f>
        <v/>
      </c>
      <c r="AI83" s="61" t="str">
        <f>IF('Registrar recibidas_gastos'!AI83="","",VLOOKUP(CONCATENATE("MEDIO UTILIZADO",'Registrar recibidas_gastos'!AI83),'CODIGO-LITERAL'!$C:$D,2,FALSE))</f>
        <v/>
      </c>
      <c r="AJ83" s="61" t="str">
        <f>IF('Registrar recibidas_gastos'!AJ83="","",'Registrar recibidas_gastos'!AJ83)</f>
        <v/>
      </c>
      <c r="AK83" s="62"/>
      <c r="AL83" s="69"/>
      <c r="AM83" s="61" t="str">
        <f>IF('Registrar recibidas_gastos'!AM83="","",'Registrar recibidas_gastos'!AM83)</f>
        <v/>
      </c>
      <c r="AN83" s="61" t="str">
        <f>IF('Registrar recibidas_gastos'!AN83="","",VLOOKUP(CONCATENATE("SITUACION",'Registrar recibidas_gastos'!AN83),'CODIGO-LITERAL'!$C:$D,2,FALSE))</f>
        <v/>
      </c>
      <c r="AO83" s="61" t="str">
        <f>IF('Registrar recibidas_gastos'!AO83="","",'Registrar recibidas_gastos'!AO83)</f>
        <v/>
      </c>
      <c r="AP83" s="61" t="str">
        <f>IF('Registrar recibidas_gastos'!AP83="","",'Registrar recibidas_gastos'!AP83)</f>
        <v/>
      </c>
    </row>
    <row r="84" spans="1:42" x14ac:dyDescent="0.25">
      <c r="A84" s="66" t="str">
        <f>IF('Registrar recibidas_gastos'!A84="","",'Registrar recibidas_gastos'!A84)</f>
        <v/>
      </c>
      <c r="B84" s="61" t="str">
        <f>IF('Registrar recibidas_gastos'!B84="","",'Registrar recibidas_gastos'!B84)</f>
        <v/>
      </c>
      <c r="C84" s="61" t="str">
        <f>IF('Registrar recibidas_gastos'!C84="","",VLOOKUP(CONCATENATE("ACTIVIDAD",'Registrar recibidas_gastos'!C84),'CODIGO-LITERAL'!$C:$D,2,FALSE))</f>
        <v/>
      </c>
      <c r="D84" s="60" t="str">
        <f>IF(OR(C84="C",C84="D"),"",IF(ISERROR(VLOOKUP(CONCATENATE(C84,'Registrar recibidas_gastos'!D84),'CODIGO-LITERAL'!$C:$D,2,FALSE)),"",VLOOKUP(CONCATENATE(C84,'Registrar recibidas_gastos'!D84),'CODIGO-LITERAL'!$C:$D,2,FALSE)))</f>
        <v/>
      </c>
      <c r="E84" s="61" t="str">
        <f>IF('Registrar recibidas_gastos'!E84="","",'Registrar recibidas_gastos'!E84)</f>
        <v/>
      </c>
      <c r="F84" s="61" t="str">
        <f>IF('Registrar recibidas_gastos'!F84="","",VLOOKUP(CONCATENATE("TIPO FACTURA GASTO",'Registrar recibidas_gastos'!F84),'CODIGO-LITERAL'!$C:$D,2,FALSE))</f>
        <v/>
      </c>
      <c r="G84" s="62"/>
      <c r="H84" s="62"/>
      <c r="I84" s="67" t="str">
        <f>IF('Registrar recibidas_gastos'!I84="","",'Registrar recibidas_gastos'!I84)</f>
        <v/>
      </c>
      <c r="J84" s="67" t="str">
        <f>IF('Registrar recibidas_gastos'!J84="","",'Registrar recibidas_gastos'!J84)</f>
        <v/>
      </c>
      <c r="K84" s="61" t="str">
        <f>IF('Registrar recibidas_gastos'!K84="","",'Registrar recibidas_gastos'!K84)</f>
        <v/>
      </c>
      <c r="L84" s="61" t="str">
        <f>IF('Registrar recibidas_gastos'!L84="","",'Registrar recibidas_gastos'!L84)</f>
        <v/>
      </c>
      <c r="M84" s="67" t="str">
        <f>IF('Registrar recibidas_gastos'!M84="","",'Registrar recibidas_gastos'!M84)</f>
        <v/>
      </c>
      <c r="N84" s="61" t="str">
        <f>IF('Registrar recibidas_gastos'!N84="","",'Registrar recibidas_gastos'!N84)</f>
        <v/>
      </c>
      <c r="O84" s="61" t="str">
        <f>IF('Registrar recibidas_gastos'!O84="","",'Registrar recibidas_gastos'!O84)</f>
        <v/>
      </c>
      <c r="P84" s="61" t="str">
        <f>IF(OR(LEFT('Registrar recibidas_gastos'!P84,2)="01",'Registrar recibidas_gastos'!P84=""),"",VLOOKUP(CONCATENATE("TIPO NIF",'Registrar recibidas_gastos'!P84),'CODIGO-LITERAL'!$C:$D,2,FALSE))</f>
        <v/>
      </c>
      <c r="Q84" s="61" t="str">
        <f>IF('Registrar recibidas_gastos'!Q84="","",'Registrar recibidas_gastos'!Q84)</f>
        <v/>
      </c>
      <c r="R84" s="61" t="str">
        <f>IF('Registrar recibidas_gastos'!R84="","",'Registrar recibidas_gastos'!R84)</f>
        <v/>
      </c>
      <c r="S84" s="61" t="str">
        <f>IF('Registrar recibidas_gastos'!S84="","",'Registrar recibidas_gastos'!S84)</f>
        <v/>
      </c>
      <c r="T84" s="61" t="str">
        <f>IF('Registrar recibidas_gastos'!T84="","",VLOOKUP(CONCATENATE("CLAVE OPERACION GASTO",'Registrar recibidas_gastos'!T84),'CODIGO-LITERAL'!$C:$D,2,FALSE))</f>
        <v/>
      </c>
      <c r="U84" s="61" t="str">
        <f>IF(T84="","",IF(OR(T84="02",T84="08"),"N",IF('Registrar recibidas_gastos'!U84="","N",'Registrar recibidas_gastos'!U84)))</f>
        <v/>
      </c>
      <c r="V84" s="61" t="str">
        <f>IF(T84="","",IF(OR(T84="07",T84="08",T84="09",F84="F5",F84="LC"),"N",IF('Registrar recibidas_gastos'!V84="","N",'Registrar recibidas_gastos'!V84)))</f>
        <v/>
      </c>
      <c r="W84" s="61" t="str">
        <f>IF(AND(X84="",Y84=""),"",IF(AND(RECIBIDAS_GASTOS!$X84&lt;&gt;"",RECIBIDAS_GASTOS!$Y84&lt;&gt;""),"S",IF('Registrar recibidas_gastos'!W84="","N",'Registrar recibidas_gastos'!W84)))</f>
        <v/>
      </c>
      <c r="X84" s="67" t="str">
        <f>IF('Registrar recibidas_gastos'!X84="","",'Registrar recibidas_gastos'!X84)</f>
        <v/>
      </c>
      <c r="Y84" s="61" t="str">
        <f>IF('Registrar recibidas_gastos'!Y84="","",'Registrar recibidas_gastos'!Y84)</f>
        <v/>
      </c>
      <c r="Z84" s="68" t="str">
        <f>IF('Registrar recibidas_gastos'!Z84="","",IF(AND(F84="",T84=""),"",IF(OR(T84="03",T84="05",T84="09"),AA84,SUM(AA84,AC84,AF84))))</f>
        <v/>
      </c>
      <c r="AA84" s="68" t="str">
        <f>IF('Registrar recibidas_gastos'!AA84="","",ROUND('Registrar recibidas_gastos'!AA84,2))</f>
        <v/>
      </c>
      <c r="AB84" s="61" t="str">
        <f>IF('Registrar recibidas_gastos'!AB84="","",'Registrar recibidas_gastos'!AB84)</f>
        <v/>
      </c>
      <c r="AC84" s="68" t="str">
        <f>IF(OR(T84="03",T84="05"),0,IF('Registrar recibidas_gastos'!AC84="","",ROUND(AA84*AB84/100,2)))</f>
        <v/>
      </c>
      <c r="AD84" s="68" t="str">
        <f>IF('Registrar recibidas_gastos'!AD84="","",ROUND('Registrar recibidas_gastos'!AD84,2))</f>
        <v/>
      </c>
      <c r="AE84" s="61" t="str">
        <f>IF('Registrar recibidas_gastos'!AE84="","",'Registrar recibidas_gastos'!AE84)</f>
        <v/>
      </c>
      <c r="AF84" s="68" t="str">
        <f>IF('Registrar recibidas_gastos'!AF84="","",ROUND(AA84*AE84/100,2))</f>
        <v/>
      </c>
      <c r="AG84" s="67" t="str">
        <f>IF('Registrar recibidas_gastos'!AG84="","",'Registrar recibidas_gastos'!AG84)</f>
        <v/>
      </c>
      <c r="AH84" s="68" t="str">
        <f>IF('Registrar recibidas_gastos'!AH84="","",'Registrar recibidas_gastos'!AH84)</f>
        <v/>
      </c>
      <c r="AI84" s="61" t="str">
        <f>IF('Registrar recibidas_gastos'!AI84="","",VLOOKUP(CONCATENATE("MEDIO UTILIZADO",'Registrar recibidas_gastos'!AI84),'CODIGO-LITERAL'!$C:$D,2,FALSE))</f>
        <v/>
      </c>
      <c r="AJ84" s="61" t="str">
        <f>IF('Registrar recibidas_gastos'!AJ84="","",'Registrar recibidas_gastos'!AJ84)</f>
        <v/>
      </c>
      <c r="AK84" s="62"/>
      <c r="AL84" s="69"/>
      <c r="AM84" s="61" t="str">
        <f>IF('Registrar recibidas_gastos'!AM84="","",'Registrar recibidas_gastos'!AM84)</f>
        <v/>
      </c>
      <c r="AN84" s="61" t="str">
        <f>IF('Registrar recibidas_gastos'!AN84="","",VLOOKUP(CONCATENATE("SITUACION",'Registrar recibidas_gastos'!AN84),'CODIGO-LITERAL'!$C:$D,2,FALSE))</f>
        <v/>
      </c>
      <c r="AO84" s="61" t="str">
        <f>IF('Registrar recibidas_gastos'!AO84="","",'Registrar recibidas_gastos'!AO84)</f>
        <v/>
      </c>
      <c r="AP84" s="61" t="str">
        <f>IF('Registrar recibidas_gastos'!AP84="","",'Registrar recibidas_gastos'!AP84)</f>
        <v/>
      </c>
    </row>
    <row r="85" spans="1:42" x14ac:dyDescent="0.25">
      <c r="A85" s="66" t="str">
        <f>IF('Registrar recibidas_gastos'!A85="","",'Registrar recibidas_gastos'!A85)</f>
        <v/>
      </c>
      <c r="B85" s="61" t="str">
        <f>IF('Registrar recibidas_gastos'!B85="","",'Registrar recibidas_gastos'!B85)</f>
        <v/>
      </c>
      <c r="C85" s="61" t="str">
        <f>IF('Registrar recibidas_gastos'!C85="","",VLOOKUP(CONCATENATE("ACTIVIDAD",'Registrar recibidas_gastos'!C85),'CODIGO-LITERAL'!$C:$D,2,FALSE))</f>
        <v/>
      </c>
      <c r="D85" s="60" t="str">
        <f>IF(OR(C85="C",C85="D"),"",IF(ISERROR(VLOOKUP(CONCATENATE(C85,'Registrar recibidas_gastos'!D85),'CODIGO-LITERAL'!$C:$D,2,FALSE)),"",VLOOKUP(CONCATENATE(C85,'Registrar recibidas_gastos'!D85),'CODIGO-LITERAL'!$C:$D,2,FALSE)))</f>
        <v/>
      </c>
      <c r="E85" s="61" t="str">
        <f>IF('Registrar recibidas_gastos'!E85="","",'Registrar recibidas_gastos'!E85)</f>
        <v/>
      </c>
      <c r="F85" s="61" t="str">
        <f>IF('Registrar recibidas_gastos'!F85="","",VLOOKUP(CONCATENATE("TIPO FACTURA GASTO",'Registrar recibidas_gastos'!F85),'CODIGO-LITERAL'!$C:$D,2,FALSE))</f>
        <v/>
      </c>
      <c r="G85" s="62"/>
      <c r="H85" s="62"/>
      <c r="I85" s="67" t="str">
        <f>IF('Registrar recibidas_gastos'!I85="","",'Registrar recibidas_gastos'!I85)</f>
        <v/>
      </c>
      <c r="J85" s="67" t="str">
        <f>IF('Registrar recibidas_gastos'!J85="","",'Registrar recibidas_gastos'!J85)</f>
        <v/>
      </c>
      <c r="K85" s="61" t="str">
        <f>IF('Registrar recibidas_gastos'!K85="","",'Registrar recibidas_gastos'!K85)</f>
        <v/>
      </c>
      <c r="L85" s="61" t="str">
        <f>IF('Registrar recibidas_gastos'!L85="","",'Registrar recibidas_gastos'!L85)</f>
        <v/>
      </c>
      <c r="M85" s="67" t="str">
        <f>IF('Registrar recibidas_gastos'!M85="","",'Registrar recibidas_gastos'!M85)</f>
        <v/>
      </c>
      <c r="N85" s="61" t="str">
        <f>IF('Registrar recibidas_gastos'!N85="","",'Registrar recibidas_gastos'!N85)</f>
        <v/>
      </c>
      <c r="O85" s="61" t="str">
        <f>IF('Registrar recibidas_gastos'!O85="","",'Registrar recibidas_gastos'!O85)</f>
        <v/>
      </c>
      <c r="P85" s="61" t="str">
        <f>IF(OR(LEFT('Registrar recibidas_gastos'!P85,2)="01",'Registrar recibidas_gastos'!P85=""),"",VLOOKUP(CONCATENATE("TIPO NIF",'Registrar recibidas_gastos'!P85),'CODIGO-LITERAL'!$C:$D,2,FALSE))</f>
        <v/>
      </c>
      <c r="Q85" s="61" t="str">
        <f>IF('Registrar recibidas_gastos'!Q85="","",'Registrar recibidas_gastos'!Q85)</f>
        <v/>
      </c>
      <c r="R85" s="61" t="str">
        <f>IF('Registrar recibidas_gastos'!R85="","",'Registrar recibidas_gastos'!R85)</f>
        <v/>
      </c>
      <c r="S85" s="61" t="str">
        <f>IF('Registrar recibidas_gastos'!S85="","",'Registrar recibidas_gastos'!S85)</f>
        <v/>
      </c>
      <c r="T85" s="61" t="str">
        <f>IF('Registrar recibidas_gastos'!T85="","",VLOOKUP(CONCATENATE("CLAVE OPERACION GASTO",'Registrar recibidas_gastos'!T85),'CODIGO-LITERAL'!$C:$D,2,FALSE))</f>
        <v/>
      </c>
      <c r="U85" s="61" t="str">
        <f>IF(T85="","",IF(OR(T85="02",T85="08"),"N",IF('Registrar recibidas_gastos'!U85="","N",'Registrar recibidas_gastos'!U85)))</f>
        <v/>
      </c>
      <c r="V85" s="61" t="str">
        <f>IF(T85="","",IF(OR(T85="07",T85="08",T85="09",F85="F5",F85="LC"),"N",IF('Registrar recibidas_gastos'!V85="","N",'Registrar recibidas_gastos'!V85)))</f>
        <v/>
      </c>
      <c r="W85" s="61" t="str">
        <f>IF(AND(X85="",Y85=""),"",IF(AND(RECIBIDAS_GASTOS!$X85&lt;&gt;"",RECIBIDAS_GASTOS!$Y85&lt;&gt;""),"S",IF('Registrar recibidas_gastos'!W85="","N",'Registrar recibidas_gastos'!W85)))</f>
        <v/>
      </c>
      <c r="X85" s="67" t="str">
        <f>IF('Registrar recibidas_gastos'!X85="","",'Registrar recibidas_gastos'!X85)</f>
        <v/>
      </c>
      <c r="Y85" s="61" t="str">
        <f>IF('Registrar recibidas_gastos'!Y85="","",'Registrar recibidas_gastos'!Y85)</f>
        <v/>
      </c>
      <c r="Z85" s="68" t="str">
        <f>IF('Registrar recibidas_gastos'!Z85="","",IF(AND(F85="",T85=""),"",IF(OR(T85="03",T85="05",T85="09"),AA85,SUM(AA85,AC85,AF85))))</f>
        <v/>
      </c>
      <c r="AA85" s="68" t="str">
        <f>IF('Registrar recibidas_gastos'!AA85="","",ROUND('Registrar recibidas_gastos'!AA85,2))</f>
        <v/>
      </c>
      <c r="AB85" s="61" t="str">
        <f>IF('Registrar recibidas_gastos'!AB85="","",'Registrar recibidas_gastos'!AB85)</f>
        <v/>
      </c>
      <c r="AC85" s="68" t="str">
        <f>IF(OR(T85="03",T85="05"),0,IF('Registrar recibidas_gastos'!AC85="","",ROUND(AA85*AB85/100,2)))</f>
        <v/>
      </c>
      <c r="AD85" s="68" t="str">
        <f>IF('Registrar recibidas_gastos'!AD85="","",ROUND('Registrar recibidas_gastos'!AD85,2))</f>
        <v/>
      </c>
      <c r="AE85" s="61" t="str">
        <f>IF('Registrar recibidas_gastos'!AE85="","",'Registrar recibidas_gastos'!AE85)</f>
        <v/>
      </c>
      <c r="AF85" s="68" t="str">
        <f>IF('Registrar recibidas_gastos'!AF85="","",ROUND(AA85*AE85/100,2))</f>
        <v/>
      </c>
      <c r="AG85" s="67" t="str">
        <f>IF('Registrar recibidas_gastos'!AG85="","",'Registrar recibidas_gastos'!AG85)</f>
        <v/>
      </c>
      <c r="AH85" s="68" t="str">
        <f>IF('Registrar recibidas_gastos'!AH85="","",'Registrar recibidas_gastos'!AH85)</f>
        <v/>
      </c>
      <c r="AI85" s="61" t="str">
        <f>IF('Registrar recibidas_gastos'!AI85="","",VLOOKUP(CONCATENATE("MEDIO UTILIZADO",'Registrar recibidas_gastos'!AI85),'CODIGO-LITERAL'!$C:$D,2,FALSE))</f>
        <v/>
      </c>
      <c r="AJ85" s="61" t="str">
        <f>IF('Registrar recibidas_gastos'!AJ85="","",'Registrar recibidas_gastos'!AJ85)</f>
        <v/>
      </c>
      <c r="AK85" s="62"/>
      <c r="AL85" s="69"/>
      <c r="AM85" s="61" t="str">
        <f>IF('Registrar recibidas_gastos'!AM85="","",'Registrar recibidas_gastos'!AM85)</f>
        <v/>
      </c>
      <c r="AN85" s="61" t="str">
        <f>IF('Registrar recibidas_gastos'!AN85="","",VLOOKUP(CONCATENATE("SITUACION",'Registrar recibidas_gastos'!AN85),'CODIGO-LITERAL'!$C:$D,2,FALSE))</f>
        <v/>
      </c>
      <c r="AO85" s="61" t="str">
        <f>IF('Registrar recibidas_gastos'!AO85="","",'Registrar recibidas_gastos'!AO85)</f>
        <v/>
      </c>
      <c r="AP85" s="61" t="str">
        <f>IF('Registrar recibidas_gastos'!AP85="","",'Registrar recibidas_gastos'!AP85)</f>
        <v/>
      </c>
    </row>
    <row r="86" spans="1:42" x14ac:dyDescent="0.25">
      <c r="A86" s="66" t="str">
        <f>IF('Registrar recibidas_gastos'!A86="","",'Registrar recibidas_gastos'!A86)</f>
        <v/>
      </c>
      <c r="B86" s="61" t="str">
        <f>IF('Registrar recibidas_gastos'!B86="","",'Registrar recibidas_gastos'!B86)</f>
        <v/>
      </c>
      <c r="C86" s="61" t="str">
        <f>IF('Registrar recibidas_gastos'!C86="","",VLOOKUP(CONCATENATE("ACTIVIDAD",'Registrar recibidas_gastos'!C86),'CODIGO-LITERAL'!$C:$D,2,FALSE))</f>
        <v/>
      </c>
      <c r="D86" s="60" t="str">
        <f>IF(OR(C86="C",C86="D"),"",IF(ISERROR(VLOOKUP(CONCATENATE(C86,'Registrar recibidas_gastos'!D86),'CODIGO-LITERAL'!$C:$D,2,FALSE)),"",VLOOKUP(CONCATENATE(C86,'Registrar recibidas_gastos'!D86),'CODIGO-LITERAL'!$C:$D,2,FALSE)))</f>
        <v/>
      </c>
      <c r="E86" s="61" t="str">
        <f>IF('Registrar recibidas_gastos'!E86="","",'Registrar recibidas_gastos'!E86)</f>
        <v/>
      </c>
      <c r="F86" s="61" t="str">
        <f>IF('Registrar recibidas_gastos'!F86="","",VLOOKUP(CONCATENATE("TIPO FACTURA GASTO",'Registrar recibidas_gastos'!F86),'CODIGO-LITERAL'!$C:$D,2,FALSE))</f>
        <v/>
      </c>
      <c r="G86" s="62"/>
      <c r="H86" s="62"/>
      <c r="I86" s="67" t="str">
        <f>IF('Registrar recibidas_gastos'!I86="","",'Registrar recibidas_gastos'!I86)</f>
        <v/>
      </c>
      <c r="J86" s="67" t="str">
        <f>IF('Registrar recibidas_gastos'!J86="","",'Registrar recibidas_gastos'!J86)</f>
        <v/>
      </c>
      <c r="K86" s="61" t="str">
        <f>IF('Registrar recibidas_gastos'!K86="","",'Registrar recibidas_gastos'!K86)</f>
        <v/>
      </c>
      <c r="L86" s="61" t="str">
        <f>IF('Registrar recibidas_gastos'!L86="","",'Registrar recibidas_gastos'!L86)</f>
        <v/>
      </c>
      <c r="M86" s="67" t="str">
        <f>IF('Registrar recibidas_gastos'!M86="","",'Registrar recibidas_gastos'!M86)</f>
        <v/>
      </c>
      <c r="N86" s="61" t="str">
        <f>IF('Registrar recibidas_gastos'!N86="","",'Registrar recibidas_gastos'!N86)</f>
        <v/>
      </c>
      <c r="O86" s="61" t="str">
        <f>IF('Registrar recibidas_gastos'!O86="","",'Registrar recibidas_gastos'!O86)</f>
        <v/>
      </c>
      <c r="P86" s="61" t="str">
        <f>IF(OR(LEFT('Registrar recibidas_gastos'!P86,2)="01",'Registrar recibidas_gastos'!P86=""),"",VLOOKUP(CONCATENATE("TIPO NIF",'Registrar recibidas_gastos'!P86),'CODIGO-LITERAL'!$C:$D,2,FALSE))</f>
        <v/>
      </c>
      <c r="Q86" s="61" t="str">
        <f>IF('Registrar recibidas_gastos'!Q86="","",'Registrar recibidas_gastos'!Q86)</f>
        <v/>
      </c>
      <c r="R86" s="61" t="str">
        <f>IF('Registrar recibidas_gastos'!R86="","",'Registrar recibidas_gastos'!R86)</f>
        <v/>
      </c>
      <c r="S86" s="61" t="str">
        <f>IF('Registrar recibidas_gastos'!S86="","",'Registrar recibidas_gastos'!S86)</f>
        <v/>
      </c>
      <c r="T86" s="61" t="str">
        <f>IF('Registrar recibidas_gastos'!T86="","",VLOOKUP(CONCATENATE("CLAVE OPERACION GASTO",'Registrar recibidas_gastos'!T86),'CODIGO-LITERAL'!$C:$D,2,FALSE))</f>
        <v/>
      </c>
      <c r="U86" s="61" t="str">
        <f>IF(T86="","",IF(OR(T86="02",T86="08"),"N",IF('Registrar recibidas_gastos'!U86="","N",'Registrar recibidas_gastos'!U86)))</f>
        <v/>
      </c>
      <c r="V86" s="61" t="str">
        <f>IF(T86="","",IF(OR(T86="07",T86="08",T86="09",F86="F5",F86="LC"),"N",IF('Registrar recibidas_gastos'!V86="","N",'Registrar recibidas_gastos'!V86)))</f>
        <v/>
      </c>
      <c r="W86" s="61" t="str">
        <f>IF(AND(X86="",Y86=""),"",IF(AND(RECIBIDAS_GASTOS!$X86&lt;&gt;"",RECIBIDAS_GASTOS!$Y86&lt;&gt;""),"S",IF('Registrar recibidas_gastos'!W86="","N",'Registrar recibidas_gastos'!W86)))</f>
        <v/>
      </c>
      <c r="X86" s="67" t="str">
        <f>IF('Registrar recibidas_gastos'!X86="","",'Registrar recibidas_gastos'!X86)</f>
        <v/>
      </c>
      <c r="Y86" s="61" t="str">
        <f>IF('Registrar recibidas_gastos'!Y86="","",'Registrar recibidas_gastos'!Y86)</f>
        <v/>
      </c>
      <c r="Z86" s="68" t="str">
        <f>IF('Registrar recibidas_gastos'!Z86="","",IF(AND(F86="",T86=""),"",IF(OR(T86="03",T86="05",T86="09"),AA86,SUM(AA86,AC86,AF86))))</f>
        <v/>
      </c>
      <c r="AA86" s="68" t="str">
        <f>IF('Registrar recibidas_gastos'!AA86="","",ROUND('Registrar recibidas_gastos'!AA86,2))</f>
        <v/>
      </c>
      <c r="AB86" s="61" t="str">
        <f>IF('Registrar recibidas_gastos'!AB86="","",'Registrar recibidas_gastos'!AB86)</f>
        <v/>
      </c>
      <c r="AC86" s="68" t="str">
        <f>IF(OR(T86="03",T86="05"),0,IF('Registrar recibidas_gastos'!AC86="","",ROUND(AA86*AB86/100,2)))</f>
        <v/>
      </c>
      <c r="AD86" s="68" t="str">
        <f>IF('Registrar recibidas_gastos'!AD86="","",ROUND('Registrar recibidas_gastos'!AD86,2))</f>
        <v/>
      </c>
      <c r="AE86" s="61" t="str">
        <f>IF('Registrar recibidas_gastos'!AE86="","",'Registrar recibidas_gastos'!AE86)</f>
        <v/>
      </c>
      <c r="AF86" s="68" t="str">
        <f>IF('Registrar recibidas_gastos'!AF86="","",ROUND(AA86*AE86/100,2))</f>
        <v/>
      </c>
      <c r="AG86" s="67" t="str">
        <f>IF('Registrar recibidas_gastos'!AG86="","",'Registrar recibidas_gastos'!AG86)</f>
        <v/>
      </c>
      <c r="AH86" s="68" t="str">
        <f>IF('Registrar recibidas_gastos'!AH86="","",'Registrar recibidas_gastos'!AH86)</f>
        <v/>
      </c>
      <c r="AI86" s="61" t="str">
        <f>IF('Registrar recibidas_gastos'!AI86="","",VLOOKUP(CONCATENATE("MEDIO UTILIZADO",'Registrar recibidas_gastos'!AI86),'CODIGO-LITERAL'!$C:$D,2,FALSE))</f>
        <v/>
      </c>
      <c r="AJ86" s="61" t="str">
        <f>IF('Registrar recibidas_gastos'!AJ86="","",'Registrar recibidas_gastos'!AJ86)</f>
        <v/>
      </c>
      <c r="AK86" s="62"/>
      <c r="AL86" s="69"/>
      <c r="AM86" s="61" t="str">
        <f>IF('Registrar recibidas_gastos'!AM86="","",'Registrar recibidas_gastos'!AM86)</f>
        <v/>
      </c>
      <c r="AN86" s="61" t="str">
        <f>IF('Registrar recibidas_gastos'!AN86="","",VLOOKUP(CONCATENATE("SITUACION",'Registrar recibidas_gastos'!AN86),'CODIGO-LITERAL'!$C:$D,2,FALSE))</f>
        <v/>
      </c>
      <c r="AO86" s="61" t="str">
        <f>IF('Registrar recibidas_gastos'!AO86="","",'Registrar recibidas_gastos'!AO86)</f>
        <v/>
      </c>
      <c r="AP86" s="61" t="str">
        <f>IF('Registrar recibidas_gastos'!AP86="","",'Registrar recibidas_gastos'!AP86)</f>
        <v/>
      </c>
    </row>
    <row r="87" spans="1:42" x14ac:dyDescent="0.25">
      <c r="A87" s="66" t="str">
        <f>IF('Registrar recibidas_gastos'!A87="","",'Registrar recibidas_gastos'!A87)</f>
        <v/>
      </c>
      <c r="B87" s="61" t="str">
        <f>IF('Registrar recibidas_gastos'!B87="","",'Registrar recibidas_gastos'!B87)</f>
        <v/>
      </c>
      <c r="C87" s="61" t="str">
        <f>IF('Registrar recibidas_gastos'!C87="","",VLOOKUP(CONCATENATE("ACTIVIDAD",'Registrar recibidas_gastos'!C87),'CODIGO-LITERAL'!$C:$D,2,FALSE))</f>
        <v/>
      </c>
      <c r="D87" s="60" t="str">
        <f>IF(OR(C87="C",C87="D"),"",IF(ISERROR(VLOOKUP(CONCATENATE(C87,'Registrar recibidas_gastos'!D87),'CODIGO-LITERAL'!$C:$D,2,FALSE)),"",VLOOKUP(CONCATENATE(C87,'Registrar recibidas_gastos'!D87),'CODIGO-LITERAL'!$C:$D,2,FALSE)))</f>
        <v/>
      </c>
      <c r="E87" s="61" t="str">
        <f>IF('Registrar recibidas_gastos'!E87="","",'Registrar recibidas_gastos'!E87)</f>
        <v/>
      </c>
      <c r="F87" s="61" t="str">
        <f>IF('Registrar recibidas_gastos'!F87="","",VLOOKUP(CONCATENATE("TIPO FACTURA GASTO",'Registrar recibidas_gastos'!F87),'CODIGO-LITERAL'!$C:$D,2,FALSE))</f>
        <v/>
      </c>
      <c r="G87" s="62"/>
      <c r="H87" s="62"/>
      <c r="I87" s="67" t="str">
        <f>IF('Registrar recibidas_gastos'!I87="","",'Registrar recibidas_gastos'!I87)</f>
        <v/>
      </c>
      <c r="J87" s="67" t="str">
        <f>IF('Registrar recibidas_gastos'!J87="","",'Registrar recibidas_gastos'!J87)</f>
        <v/>
      </c>
      <c r="K87" s="61" t="str">
        <f>IF('Registrar recibidas_gastos'!K87="","",'Registrar recibidas_gastos'!K87)</f>
        <v/>
      </c>
      <c r="L87" s="61" t="str">
        <f>IF('Registrar recibidas_gastos'!L87="","",'Registrar recibidas_gastos'!L87)</f>
        <v/>
      </c>
      <c r="M87" s="67" t="str">
        <f>IF('Registrar recibidas_gastos'!M87="","",'Registrar recibidas_gastos'!M87)</f>
        <v/>
      </c>
      <c r="N87" s="61" t="str">
        <f>IF('Registrar recibidas_gastos'!N87="","",'Registrar recibidas_gastos'!N87)</f>
        <v/>
      </c>
      <c r="O87" s="61" t="str">
        <f>IF('Registrar recibidas_gastos'!O87="","",'Registrar recibidas_gastos'!O87)</f>
        <v/>
      </c>
      <c r="P87" s="61" t="str">
        <f>IF(OR(LEFT('Registrar recibidas_gastos'!P87,2)="01",'Registrar recibidas_gastos'!P87=""),"",VLOOKUP(CONCATENATE("TIPO NIF",'Registrar recibidas_gastos'!P87),'CODIGO-LITERAL'!$C:$D,2,FALSE))</f>
        <v/>
      </c>
      <c r="Q87" s="61" t="str">
        <f>IF('Registrar recibidas_gastos'!Q87="","",'Registrar recibidas_gastos'!Q87)</f>
        <v/>
      </c>
      <c r="R87" s="61" t="str">
        <f>IF('Registrar recibidas_gastos'!R87="","",'Registrar recibidas_gastos'!R87)</f>
        <v/>
      </c>
      <c r="S87" s="61" t="str">
        <f>IF('Registrar recibidas_gastos'!S87="","",'Registrar recibidas_gastos'!S87)</f>
        <v/>
      </c>
      <c r="T87" s="61" t="str">
        <f>IF('Registrar recibidas_gastos'!T87="","",VLOOKUP(CONCATENATE("CLAVE OPERACION GASTO",'Registrar recibidas_gastos'!T87),'CODIGO-LITERAL'!$C:$D,2,FALSE))</f>
        <v/>
      </c>
      <c r="U87" s="61" t="str">
        <f>IF(T87="","",IF(OR(T87="02",T87="08"),"N",IF('Registrar recibidas_gastos'!U87="","N",'Registrar recibidas_gastos'!U87)))</f>
        <v/>
      </c>
      <c r="V87" s="61" t="str">
        <f>IF(T87="","",IF(OR(T87="07",T87="08",T87="09",F87="F5",F87="LC"),"N",IF('Registrar recibidas_gastos'!V87="","N",'Registrar recibidas_gastos'!V87)))</f>
        <v/>
      </c>
      <c r="W87" s="61" t="str">
        <f>IF(AND(X87="",Y87=""),"",IF(AND(RECIBIDAS_GASTOS!$X87&lt;&gt;"",RECIBIDAS_GASTOS!$Y87&lt;&gt;""),"S",IF('Registrar recibidas_gastos'!W87="","N",'Registrar recibidas_gastos'!W87)))</f>
        <v/>
      </c>
      <c r="X87" s="67" t="str">
        <f>IF('Registrar recibidas_gastos'!X87="","",'Registrar recibidas_gastos'!X87)</f>
        <v/>
      </c>
      <c r="Y87" s="61" t="str">
        <f>IF('Registrar recibidas_gastos'!Y87="","",'Registrar recibidas_gastos'!Y87)</f>
        <v/>
      </c>
      <c r="Z87" s="68" t="str">
        <f>IF('Registrar recibidas_gastos'!Z87="","",IF(AND(F87="",T87=""),"",IF(OR(T87="03",T87="05",T87="09"),AA87,SUM(AA87,AC87,AF87))))</f>
        <v/>
      </c>
      <c r="AA87" s="68" t="str">
        <f>IF('Registrar recibidas_gastos'!AA87="","",ROUND('Registrar recibidas_gastos'!AA87,2))</f>
        <v/>
      </c>
      <c r="AB87" s="61" t="str">
        <f>IF('Registrar recibidas_gastos'!AB87="","",'Registrar recibidas_gastos'!AB87)</f>
        <v/>
      </c>
      <c r="AC87" s="68" t="str">
        <f>IF(OR(T87="03",T87="05"),0,IF('Registrar recibidas_gastos'!AC87="","",ROUND(AA87*AB87/100,2)))</f>
        <v/>
      </c>
      <c r="AD87" s="68" t="str">
        <f>IF('Registrar recibidas_gastos'!AD87="","",ROUND('Registrar recibidas_gastos'!AD87,2))</f>
        <v/>
      </c>
      <c r="AE87" s="61" t="str">
        <f>IF('Registrar recibidas_gastos'!AE87="","",'Registrar recibidas_gastos'!AE87)</f>
        <v/>
      </c>
      <c r="AF87" s="68" t="str">
        <f>IF('Registrar recibidas_gastos'!AF87="","",ROUND(AA87*AE87/100,2))</f>
        <v/>
      </c>
      <c r="AG87" s="67" t="str">
        <f>IF('Registrar recibidas_gastos'!AG87="","",'Registrar recibidas_gastos'!AG87)</f>
        <v/>
      </c>
      <c r="AH87" s="68" t="str">
        <f>IF('Registrar recibidas_gastos'!AH87="","",'Registrar recibidas_gastos'!AH87)</f>
        <v/>
      </c>
      <c r="AI87" s="61" t="str">
        <f>IF('Registrar recibidas_gastos'!AI87="","",VLOOKUP(CONCATENATE("MEDIO UTILIZADO",'Registrar recibidas_gastos'!AI87),'CODIGO-LITERAL'!$C:$D,2,FALSE))</f>
        <v/>
      </c>
      <c r="AJ87" s="61" t="str">
        <f>IF('Registrar recibidas_gastos'!AJ87="","",'Registrar recibidas_gastos'!AJ87)</f>
        <v/>
      </c>
      <c r="AK87" s="62"/>
      <c r="AL87" s="69"/>
      <c r="AM87" s="61" t="str">
        <f>IF('Registrar recibidas_gastos'!AM87="","",'Registrar recibidas_gastos'!AM87)</f>
        <v/>
      </c>
      <c r="AN87" s="61" t="str">
        <f>IF('Registrar recibidas_gastos'!AN87="","",VLOOKUP(CONCATENATE("SITUACION",'Registrar recibidas_gastos'!AN87),'CODIGO-LITERAL'!$C:$D,2,FALSE))</f>
        <v/>
      </c>
      <c r="AO87" s="61" t="str">
        <f>IF('Registrar recibidas_gastos'!AO87="","",'Registrar recibidas_gastos'!AO87)</f>
        <v/>
      </c>
      <c r="AP87" s="61" t="str">
        <f>IF('Registrar recibidas_gastos'!AP87="","",'Registrar recibidas_gastos'!AP87)</f>
        <v/>
      </c>
    </row>
    <row r="88" spans="1:42" x14ac:dyDescent="0.25">
      <c r="A88" s="66" t="str">
        <f>IF('Registrar recibidas_gastos'!A88="","",'Registrar recibidas_gastos'!A88)</f>
        <v/>
      </c>
      <c r="B88" s="61" t="str">
        <f>IF('Registrar recibidas_gastos'!B88="","",'Registrar recibidas_gastos'!B88)</f>
        <v/>
      </c>
      <c r="C88" s="61" t="str">
        <f>IF('Registrar recibidas_gastos'!C88="","",VLOOKUP(CONCATENATE("ACTIVIDAD",'Registrar recibidas_gastos'!C88),'CODIGO-LITERAL'!$C:$D,2,FALSE))</f>
        <v/>
      </c>
      <c r="D88" s="60" t="str">
        <f>IF(OR(C88="C",C88="D"),"",IF(ISERROR(VLOOKUP(CONCATENATE(C88,'Registrar recibidas_gastos'!D88),'CODIGO-LITERAL'!$C:$D,2,FALSE)),"",VLOOKUP(CONCATENATE(C88,'Registrar recibidas_gastos'!D88),'CODIGO-LITERAL'!$C:$D,2,FALSE)))</f>
        <v/>
      </c>
      <c r="E88" s="61" t="str">
        <f>IF('Registrar recibidas_gastos'!E88="","",'Registrar recibidas_gastos'!E88)</f>
        <v/>
      </c>
      <c r="F88" s="61" t="str">
        <f>IF('Registrar recibidas_gastos'!F88="","",VLOOKUP(CONCATENATE("TIPO FACTURA GASTO",'Registrar recibidas_gastos'!F88),'CODIGO-LITERAL'!$C:$D,2,FALSE))</f>
        <v/>
      </c>
      <c r="G88" s="62"/>
      <c r="H88" s="62"/>
      <c r="I88" s="67" t="str">
        <f>IF('Registrar recibidas_gastos'!I88="","",'Registrar recibidas_gastos'!I88)</f>
        <v/>
      </c>
      <c r="J88" s="67" t="str">
        <f>IF('Registrar recibidas_gastos'!J88="","",'Registrar recibidas_gastos'!J88)</f>
        <v/>
      </c>
      <c r="K88" s="61" t="str">
        <f>IF('Registrar recibidas_gastos'!K88="","",'Registrar recibidas_gastos'!K88)</f>
        <v/>
      </c>
      <c r="L88" s="61" t="str">
        <f>IF('Registrar recibidas_gastos'!L88="","",'Registrar recibidas_gastos'!L88)</f>
        <v/>
      </c>
      <c r="M88" s="67" t="str">
        <f>IF('Registrar recibidas_gastos'!M88="","",'Registrar recibidas_gastos'!M88)</f>
        <v/>
      </c>
      <c r="N88" s="61" t="str">
        <f>IF('Registrar recibidas_gastos'!N88="","",'Registrar recibidas_gastos'!N88)</f>
        <v/>
      </c>
      <c r="O88" s="61" t="str">
        <f>IF('Registrar recibidas_gastos'!O88="","",'Registrar recibidas_gastos'!O88)</f>
        <v/>
      </c>
      <c r="P88" s="61" t="str">
        <f>IF(OR(LEFT('Registrar recibidas_gastos'!P88,2)="01",'Registrar recibidas_gastos'!P88=""),"",VLOOKUP(CONCATENATE("TIPO NIF",'Registrar recibidas_gastos'!P88),'CODIGO-LITERAL'!$C:$D,2,FALSE))</f>
        <v/>
      </c>
      <c r="Q88" s="61" t="str">
        <f>IF('Registrar recibidas_gastos'!Q88="","",'Registrar recibidas_gastos'!Q88)</f>
        <v/>
      </c>
      <c r="R88" s="61" t="str">
        <f>IF('Registrar recibidas_gastos'!R88="","",'Registrar recibidas_gastos'!R88)</f>
        <v/>
      </c>
      <c r="S88" s="61" t="str">
        <f>IF('Registrar recibidas_gastos'!S88="","",'Registrar recibidas_gastos'!S88)</f>
        <v/>
      </c>
      <c r="T88" s="61" t="str">
        <f>IF('Registrar recibidas_gastos'!T88="","",VLOOKUP(CONCATENATE("CLAVE OPERACION GASTO",'Registrar recibidas_gastos'!T88),'CODIGO-LITERAL'!$C:$D,2,FALSE))</f>
        <v/>
      </c>
      <c r="U88" s="61" t="str">
        <f>IF(T88="","",IF(OR(T88="02",T88="08"),"N",IF('Registrar recibidas_gastos'!U88="","N",'Registrar recibidas_gastos'!U88)))</f>
        <v/>
      </c>
      <c r="V88" s="61" t="str">
        <f>IF(T88="","",IF(OR(T88="07",T88="08",T88="09",F88="F5",F88="LC"),"N",IF('Registrar recibidas_gastos'!V88="","N",'Registrar recibidas_gastos'!V88)))</f>
        <v/>
      </c>
      <c r="W88" s="61" t="str">
        <f>IF(AND(X88="",Y88=""),"",IF(AND(RECIBIDAS_GASTOS!$X88&lt;&gt;"",RECIBIDAS_GASTOS!$Y88&lt;&gt;""),"S",IF('Registrar recibidas_gastos'!W88="","N",'Registrar recibidas_gastos'!W88)))</f>
        <v/>
      </c>
      <c r="X88" s="67" t="str">
        <f>IF('Registrar recibidas_gastos'!X88="","",'Registrar recibidas_gastos'!X88)</f>
        <v/>
      </c>
      <c r="Y88" s="61" t="str">
        <f>IF('Registrar recibidas_gastos'!Y88="","",'Registrar recibidas_gastos'!Y88)</f>
        <v/>
      </c>
      <c r="Z88" s="68" t="str">
        <f>IF('Registrar recibidas_gastos'!Z88="","",IF(AND(F88="",T88=""),"",IF(OR(T88="03",T88="05",T88="09"),AA88,SUM(AA88,AC88,AF88))))</f>
        <v/>
      </c>
      <c r="AA88" s="68" t="str">
        <f>IF('Registrar recibidas_gastos'!AA88="","",ROUND('Registrar recibidas_gastos'!AA88,2))</f>
        <v/>
      </c>
      <c r="AB88" s="61" t="str">
        <f>IF('Registrar recibidas_gastos'!AB88="","",'Registrar recibidas_gastos'!AB88)</f>
        <v/>
      </c>
      <c r="AC88" s="68" t="str">
        <f>IF(OR(T88="03",T88="05"),0,IF('Registrar recibidas_gastos'!AC88="","",ROUND(AA88*AB88/100,2)))</f>
        <v/>
      </c>
      <c r="AD88" s="68" t="str">
        <f>IF('Registrar recibidas_gastos'!AD88="","",ROUND('Registrar recibidas_gastos'!AD88,2))</f>
        <v/>
      </c>
      <c r="AE88" s="61" t="str">
        <f>IF('Registrar recibidas_gastos'!AE88="","",'Registrar recibidas_gastos'!AE88)</f>
        <v/>
      </c>
      <c r="AF88" s="68" t="str">
        <f>IF('Registrar recibidas_gastos'!AF88="","",ROUND(AA88*AE88/100,2))</f>
        <v/>
      </c>
      <c r="AG88" s="67" t="str">
        <f>IF('Registrar recibidas_gastos'!AG88="","",'Registrar recibidas_gastos'!AG88)</f>
        <v/>
      </c>
      <c r="AH88" s="68" t="str">
        <f>IF('Registrar recibidas_gastos'!AH88="","",'Registrar recibidas_gastos'!AH88)</f>
        <v/>
      </c>
      <c r="AI88" s="61" t="str">
        <f>IF('Registrar recibidas_gastos'!AI88="","",VLOOKUP(CONCATENATE("MEDIO UTILIZADO",'Registrar recibidas_gastos'!AI88),'CODIGO-LITERAL'!$C:$D,2,FALSE))</f>
        <v/>
      </c>
      <c r="AJ88" s="61" t="str">
        <f>IF('Registrar recibidas_gastos'!AJ88="","",'Registrar recibidas_gastos'!AJ88)</f>
        <v/>
      </c>
      <c r="AK88" s="62"/>
      <c r="AL88" s="69"/>
      <c r="AM88" s="61" t="str">
        <f>IF('Registrar recibidas_gastos'!AM88="","",'Registrar recibidas_gastos'!AM88)</f>
        <v/>
      </c>
      <c r="AN88" s="61" t="str">
        <f>IF('Registrar recibidas_gastos'!AN88="","",VLOOKUP(CONCATENATE("SITUACION",'Registrar recibidas_gastos'!AN88),'CODIGO-LITERAL'!$C:$D,2,FALSE))</f>
        <v/>
      </c>
      <c r="AO88" s="61" t="str">
        <f>IF('Registrar recibidas_gastos'!AO88="","",'Registrar recibidas_gastos'!AO88)</f>
        <v/>
      </c>
      <c r="AP88" s="61" t="str">
        <f>IF('Registrar recibidas_gastos'!AP88="","",'Registrar recibidas_gastos'!AP88)</f>
        <v/>
      </c>
    </row>
    <row r="89" spans="1:42" x14ac:dyDescent="0.25">
      <c r="A89" s="66" t="str">
        <f>IF('Registrar recibidas_gastos'!A89="","",'Registrar recibidas_gastos'!A89)</f>
        <v/>
      </c>
      <c r="B89" s="61" t="str">
        <f>IF('Registrar recibidas_gastos'!B89="","",'Registrar recibidas_gastos'!B89)</f>
        <v/>
      </c>
      <c r="C89" s="61" t="str">
        <f>IF('Registrar recibidas_gastos'!C89="","",VLOOKUP(CONCATENATE("ACTIVIDAD",'Registrar recibidas_gastos'!C89),'CODIGO-LITERAL'!$C:$D,2,FALSE))</f>
        <v/>
      </c>
      <c r="D89" s="60" t="str">
        <f>IF(OR(C89="C",C89="D"),"",IF(ISERROR(VLOOKUP(CONCATENATE(C89,'Registrar recibidas_gastos'!D89),'CODIGO-LITERAL'!$C:$D,2,FALSE)),"",VLOOKUP(CONCATENATE(C89,'Registrar recibidas_gastos'!D89),'CODIGO-LITERAL'!$C:$D,2,FALSE)))</f>
        <v/>
      </c>
      <c r="E89" s="61" t="str">
        <f>IF('Registrar recibidas_gastos'!E89="","",'Registrar recibidas_gastos'!E89)</f>
        <v/>
      </c>
      <c r="F89" s="61" t="str">
        <f>IF('Registrar recibidas_gastos'!F89="","",VLOOKUP(CONCATENATE("TIPO FACTURA GASTO",'Registrar recibidas_gastos'!F89),'CODIGO-LITERAL'!$C:$D,2,FALSE))</f>
        <v/>
      </c>
      <c r="G89" s="62"/>
      <c r="H89" s="62"/>
      <c r="I89" s="67" t="str">
        <f>IF('Registrar recibidas_gastos'!I89="","",'Registrar recibidas_gastos'!I89)</f>
        <v/>
      </c>
      <c r="J89" s="67" t="str">
        <f>IF('Registrar recibidas_gastos'!J89="","",'Registrar recibidas_gastos'!J89)</f>
        <v/>
      </c>
      <c r="K89" s="61" t="str">
        <f>IF('Registrar recibidas_gastos'!K89="","",'Registrar recibidas_gastos'!K89)</f>
        <v/>
      </c>
      <c r="L89" s="61" t="str">
        <f>IF('Registrar recibidas_gastos'!L89="","",'Registrar recibidas_gastos'!L89)</f>
        <v/>
      </c>
      <c r="M89" s="67" t="str">
        <f>IF('Registrar recibidas_gastos'!M89="","",'Registrar recibidas_gastos'!M89)</f>
        <v/>
      </c>
      <c r="N89" s="61" t="str">
        <f>IF('Registrar recibidas_gastos'!N89="","",'Registrar recibidas_gastos'!N89)</f>
        <v/>
      </c>
      <c r="O89" s="61" t="str">
        <f>IF('Registrar recibidas_gastos'!O89="","",'Registrar recibidas_gastos'!O89)</f>
        <v/>
      </c>
      <c r="P89" s="61" t="str">
        <f>IF(OR(LEFT('Registrar recibidas_gastos'!P89,2)="01",'Registrar recibidas_gastos'!P89=""),"",VLOOKUP(CONCATENATE("TIPO NIF",'Registrar recibidas_gastos'!P89),'CODIGO-LITERAL'!$C:$D,2,FALSE))</f>
        <v/>
      </c>
      <c r="Q89" s="61" t="str">
        <f>IF('Registrar recibidas_gastos'!Q89="","",'Registrar recibidas_gastos'!Q89)</f>
        <v/>
      </c>
      <c r="R89" s="61" t="str">
        <f>IF('Registrar recibidas_gastos'!R89="","",'Registrar recibidas_gastos'!R89)</f>
        <v/>
      </c>
      <c r="S89" s="61" t="str">
        <f>IF('Registrar recibidas_gastos'!S89="","",'Registrar recibidas_gastos'!S89)</f>
        <v/>
      </c>
      <c r="T89" s="61" t="str">
        <f>IF('Registrar recibidas_gastos'!T89="","",VLOOKUP(CONCATENATE("CLAVE OPERACION GASTO",'Registrar recibidas_gastos'!T89),'CODIGO-LITERAL'!$C:$D,2,FALSE))</f>
        <v/>
      </c>
      <c r="U89" s="61" t="str">
        <f>IF(T89="","",IF(OR(T89="02",T89="08"),"N",IF('Registrar recibidas_gastos'!U89="","N",'Registrar recibidas_gastos'!U89)))</f>
        <v/>
      </c>
      <c r="V89" s="61" t="str">
        <f>IF(T89="","",IF(OR(T89="07",T89="08",T89="09",F89="F5",F89="LC"),"N",IF('Registrar recibidas_gastos'!V89="","N",'Registrar recibidas_gastos'!V89)))</f>
        <v/>
      </c>
      <c r="W89" s="61" t="str">
        <f>IF(AND(X89="",Y89=""),"",IF(AND(RECIBIDAS_GASTOS!$X89&lt;&gt;"",RECIBIDAS_GASTOS!$Y89&lt;&gt;""),"S",IF('Registrar recibidas_gastos'!W89="","N",'Registrar recibidas_gastos'!W89)))</f>
        <v/>
      </c>
      <c r="X89" s="67" t="str">
        <f>IF('Registrar recibidas_gastos'!X89="","",'Registrar recibidas_gastos'!X89)</f>
        <v/>
      </c>
      <c r="Y89" s="61" t="str">
        <f>IF('Registrar recibidas_gastos'!Y89="","",'Registrar recibidas_gastos'!Y89)</f>
        <v/>
      </c>
      <c r="Z89" s="68" t="str">
        <f>IF('Registrar recibidas_gastos'!Z89="","",IF(AND(F89="",T89=""),"",IF(OR(T89="03",T89="05",T89="09"),AA89,SUM(AA89,AC89,AF89))))</f>
        <v/>
      </c>
      <c r="AA89" s="68" t="str">
        <f>IF('Registrar recibidas_gastos'!AA89="","",ROUND('Registrar recibidas_gastos'!AA89,2))</f>
        <v/>
      </c>
      <c r="AB89" s="61" t="str">
        <f>IF('Registrar recibidas_gastos'!AB89="","",'Registrar recibidas_gastos'!AB89)</f>
        <v/>
      </c>
      <c r="AC89" s="68" t="str">
        <f>IF(OR(T89="03",T89="05"),0,IF('Registrar recibidas_gastos'!AC89="","",ROUND(AA89*AB89/100,2)))</f>
        <v/>
      </c>
      <c r="AD89" s="68" t="str">
        <f>IF('Registrar recibidas_gastos'!AD89="","",ROUND('Registrar recibidas_gastos'!AD89,2))</f>
        <v/>
      </c>
      <c r="AE89" s="61" t="str">
        <f>IF('Registrar recibidas_gastos'!AE89="","",'Registrar recibidas_gastos'!AE89)</f>
        <v/>
      </c>
      <c r="AF89" s="68" t="str">
        <f>IF('Registrar recibidas_gastos'!AF89="","",ROUND(AA89*AE89/100,2))</f>
        <v/>
      </c>
      <c r="AG89" s="67" t="str">
        <f>IF('Registrar recibidas_gastos'!AG89="","",'Registrar recibidas_gastos'!AG89)</f>
        <v/>
      </c>
      <c r="AH89" s="68" t="str">
        <f>IF('Registrar recibidas_gastos'!AH89="","",'Registrar recibidas_gastos'!AH89)</f>
        <v/>
      </c>
      <c r="AI89" s="61" t="str">
        <f>IF('Registrar recibidas_gastos'!AI89="","",VLOOKUP(CONCATENATE("MEDIO UTILIZADO",'Registrar recibidas_gastos'!AI89),'CODIGO-LITERAL'!$C:$D,2,FALSE))</f>
        <v/>
      </c>
      <c r="AJ89" s="61" t="str">
        <f>IF('Registrar recibidas_gastos'!AJ89="","",'Registrar recibidas_gastos'!AJ89)</f>
        <v/>
      </c>
      <c r="AK89" s="62"/>
      <c r="AL89" s="69"/>
      <c r="AM89" s="61" t="str">
        <f>IF('Registrar recibidas_gastos'!AM89="","",'Registrar recibidas_gastos'!AM89)</f>
        <v/>
      </c>
      <c r="AN89" s="61" t="str">
        <f>IF('Registrar recibidas_gastos'!AN89="","",VLOOKUP(CONCATENATE("SITUACION",'Registrar recibidas_gastos'!AN89),'CODIGO-LITERAL'!$C:$D,2,FALSE))</f>
        <v/>
      </c>
      <c r="AO89" s="61" t="str">
        <f>IF('Registrar recibidas_gastos'!AO89="","",'Registrar recibidas_gastos'!AO89)</f>
        <v/>
      </c>
      <c r="AP89" s="61" t="str">
        <f>IF('Registrar recibidas_gastos'!AP89="","",'Registrar recibidas_gastos'!AP89)</f>
        <v/>
      </c>
    </row>
    <row r="90" spans="1:42" x14ac:dyDescent="0.25">
      <c r="A90" s="66" t="str">
        <f>IF('Registrar recibidas_gastos'!A90="","",'Registrar recibidas_gastos'!A90)</f>
        <v/>
      </c>
      <c r="B90" s="61" t="str">
        <f>IF('Registrar recibidas_gastos'!B90="","",'Registrar recibidas_gastos'!B90)</f>
        <v/>
      </c>
      <c r="C90" s="61" t="str">
        <f>IF('Registrar recibidas_gastos'!C90="","",VLOOKUP(CONCATENATE("ACTIVIDAD",'Registrar recibidas_gastos'!C90),'CODIGO-LITERAL'!$C:$D,2,FALSE))</f>
        <v/>
      </c>
      <c r="D90" s="60" t="str">
        <f>IF(OR(C90="C",C90="D"),"",IF(ISERROR(VLOOKUP(CONCATENATE(C90,'Registrar recibidas_gastos'!D90),'CODIGO-LITERAL'!$C:$D,2,FALSE)),"",VLOOKUP(CONCATENATE(C90,'Registrar recibidas_gastos'!D90),'CODIGO-LITERAL'!$C:$D,2,FALSE)))</f>
        <v/>
      </c>
      <c r="E90" s="61" t="str">
        <f>IF('Registrar recibidas_gastos'!E90="","",'Registrar recibidas_gastos'!E90)</f>
        <v/>
      </c>
      <c r="F90" s="61" t="str">
        <f>IF('Registrar recibidas_gastos'!F90="","",VLOOKUP(CONCATENATE("TIPO FACTURA GASTO",'Registrar recibidas_gastos'!F90),'CODIGO-LITERAL'!$C:$D,2,FALSE))</f>
        <v/>
      </c>
      <c r="G90" s="62"/>
      <c r="H90" s="62"/>
      <c r="I90" s="67" t="str">
        <f>IF('Registrar recibidas_gastos'!I90="","",'Registrar recibidas_gastos'!I90)</f>
        <v/>
      </c>
      <c r="J90" s="67" t="str">
        <f>IF('Registrar recibidas_gastos'!J90="","",'Registrar recibidas_gastos'!J90)</f>
        <v/>
      </c>
      <c r="K90" s="61" t="str">
        <f>IF('Registrar recibidas_gastos'!K90="","",'Registrar recibidas_gastos'!K90)</f>
        <v/>
      </c>
      <c r="L90" s="61" t="str">
        <f>IF('Registrar recibidas_gastos'!L90="","",'Registrar recibidas_gastos'!L90)</f>
        <v/>
      </c>
      <c r="M90" s="67" t="str">
        <f>IF('Registrar recibidas_gastos'!M90="","",'Registrar recibidas_gastos'!M90)</f>
        <v/>
      </c>
      <c r="N90" s="61" t="str">
        <f>IF('Registrar recibidas_gastos'!N90="","",'Registrar recibidas_gastos'!N90)</f>
        <v/>
      </c>
      <c r="O90" s="61" t="str">
        <f>IF('Registrar recibidas_gastos'!O90="","",'Registrar recibidas_gastos'!O90)</f>
        <v/>
      </c>
      <c r="P90" s="61" t="str">
        <f>IF(OR(LEFT('Registrar recibidas_gastos'!P90,2)="01",'Registrar recibidas_gastos'!P90=""),"",VLOOKUP(CONCATENATE("TIPO NIF",'Registrar recibidas_gastos'!P90),'CODIGO-LITERAL'!$C:$D,2,FALSE))</f>
        <v/>
      </c>
      <c r="Q90" s="61" t="str">
        <f>IF('Registrar recibidas_gastos'!Q90="","",'Registrar recibidas_gastos'!Q90)</f>
        <v/>
      </c>
      <c r="R90" s="61" t="str">
        <f>IF('Registrar recibidas_gastos'!R90="","",'Registrar recibidas_gastos'!R90)</f>
        <v/>
      </c>
      <c r="S90" s="61" t="str">
        <f>IF('Registrar recibidas_gastos'!S90="","",'Registrar recibidas_gastos'!S90)</f>
        <v/>
      </c>
      <c r="T90" s="61" t="str">
        <f>IF('Registrar recibidas_gastos'!T90="","",VLOOKUP(CONCATENATE("CLAVE OPERACION GASTO",'Registrar recibidas_gastos'!T90),'CODIGO-LITERAL'!$C:$D,2,FALSE))</f>
        <v/>
      </c>
      <c r="U90" s="61" t="str">
        <f>IF(T90="","",IF(OR(T90="02",T90="08"),"N",IF('Registrar recibidas_gastos'!U90="","N",'Registrar recibidas_gastos'!U90)))</f>
        <v/>
      </c>
      <c r="V90" s="61" t="str">
        <f>IF(T90="","",IF(OR(T90="07",T90="08",T90="09",F90="F5",F90="LC"),"N",IF('Registrar recibidas_gastos'!V90="","N",'Registrar recibidas_gastos'!V90)))</f>
        <v/>
      </c>
      <c r="W90" s="61" t="str">
        <f>IF(AND(X90="",Y90=""),"",IF(AND(RECIBIDAS_GASTOS!$X90&lt;&gt;"",RECIBIDAS_GASTOS!$Y90&lt;&gt;""),"S",IF('Registrar recibidas_gastos'!W90="","N",'Registrar recibidas_gastos'!W90)))</f>
        <v/>
      </c>
      <c r="X90" s="67" t="str">
        <f>IF('Registrar recibidas_gastos'!X90="","",'Registrar recibidas_gastos'!X90)</f>
        <v/>
      </c>
      <c r="Y90" s="61" t="str">
        <f>IF('Registrar recibidas_gastos'!Y90="","",'Registrar recibidas_gastos'!Y90)</f>
        <v/>
      </c>
      <c r="Z90" s="68" t="str">
        <f>IF('Registrar recibidas_gastos'!Z90="","",IF(AND(F90="",T90=""),"",IF(OR(T90="03",T90="05",T90="09"),AA90,SUM(AA90,AC90,AF90))))</f>
        <v/>
      </c>
      <c r="AA90" s="68" t="str">
        <f>IF('Registrar recibidas_gastos'!AA90="","",ROUND('Registrar recibidas_gastos'!AA90,2))</f>
        <v/>
      </c>
      <c r="AB90" s="61" t="str">
        <f>IF('Registrar recibidas_gastos'!AB90="","",'Registrar recibidas_gastos'!AB90)</f>
        <v/>
      </c>
      <c r="AC90" s="68" t="str">
        <f>IF(OR(T90="03",T90="05"),0,IF('Registrar recibidas_gastos'!AC90="","",ROUND(AA90*AB90/100,2)))</f>
        <v/>
      </c>
      <c r="AD90" s="68" t="str">
        <f>IF('Registrar recibidas_gastos'!AD90="","",ROUND('Registrar recibidas_gastos'!AD90,2))</f>
        <v/>
      </c>
      <c r="AE90" s="61" t="str">
        <f>IF('Registrar recibidas_gastos'!AE90="","",'Registrar recibidas_gastos'!AE90)</f>
        <v/>
      </c>
      <c r="AF90" s="68" t="str">
        <f>IF('Registrar recibidas_gastos'!AF90="","",ROUND(AA90*AE90/100,2))</f>
        <v/>
      </c>
      <c r="AG90" s="67" t="str">
        <f>IF('Registrar recibidas_gastos'!AG90="","",'Registrar recibidas_gastos'!AG90)</f>
        <v/>
      </c>
      <c r="AH90" s="68" t="str">
        <f>IF('Registrar recibidas_gastos'!AH90="","",'Registrar recibidas_gastos'!AH90)</f>
        <v/>
      </c>
      <c r="AI90" s="61" t="str">
        <f>IF('Registrar recibidas_gastos'!AI90="","",VLOOKUP(CONCATENATE("MEDIO UTILIZADO",'Registrar recibidas_gastos'!AI90),'CODIGO-LITERAL'!$C:$D,2,FALSE))</f>
        <v/>
      </c>
      <c r="AJ90" s="61" t="str">
        <f>IF('Registrar recibidas_gastos'!AJ90="","",'Registrar recibidas_gastos'!AJ90)</f>
        <v/>
      </c>
      <c r="AK90" s="62"/>
      <c r="AL90" s="69"/>
      <c r="AM90" s="61" t="str">
        <f>IF('Registrar recibidas_gastos'!AM90="","",'Registrar recibidas_gastos'!AM90)</f>
        <v/>
      </c>
      <c r="AN90" s="61" t="str">
        <f>IF('Registrar recibidas_gastos'!AN90="","",VLOOKUP(CONCATENATE("SITUACION",'Registrar recibidas_gastos'!AN90),'CODIGO-LITERAL'!$C:$D,2,FALSE))</f>
        <v/>
      </c>
      <c r="AO90" s="61" t="str">
        <f>IF('Registrar recibidas_gastos'!AO90="","",'Registrar recibidas_gastos'!AO90)</f>
        <v/>
      </c>
      <c r="AP90" s="61" t="str">
        <f>IF('Registrar recibidas_gastos'!AP90="","",'Registrar recibidas_gastos'!AP90)</f>
        <v/>
      </c>
    </row>
    <row r="91" spans="1:42" x14ac:dyDescent="0.25">
      <c r="A91" s="66" t="str">
        <f>IF('Registrar recibidas_gastos'!A91="","",'Registrar recibidas_gastos'!A91)</f>
        <v/>
      </c>
      <c r="B91" s="61" t="str">
        <f>IF('Registrar recibidas_gastos'!B91="","",'Registrar recibidas_gastos'!B91)</f>
        <v/>
      </c>
      <c r="C91" s="61" t="str">
        <f>IF('Registrar recibidas_gastos'!C91="","",VLOOKUP(CONCATENATE("ACTIVIDAD",'Registrar recibidas_gastos'!C91),'CODIGO-LITERAL'!$C:$D,2,FALSE))</f>
        <v/>
      </c>
      <c r="D91" s="60" t="str">
        <f>IF(OR(C91="C",C91="D"),"",IF(ISERROR(VLOOKUP(CONCATENATE(C91,'Registrar recibidas_gastos'!D91),'CODIGO-LITERAL'!$C:$D,2,FALSE)),"",VLOOKUP(CONCATENATE(C91,'Registrar recibidas_gastos'!D91),'CODIGO-LITERAL'!$C:$D,2,FALSE)))</f>
        <v/>
      </c>
      <c r="E91" s="61" t="str">
        <f>IF('Registrar recibidas_gastos'!E91="","",'Registrar recibidas_gastos'!E91)</f>
        <v/>
      </c>
      <c r="F91" s="61" t="str">
        <f>IF('Registrar recibidas_gastos'!F91="","",VLOOKUP(CONCATENATE("TIPO FACTURA GASTO",'Registrar recibidas_gastos'!F91),'CODIGO-LITERAL'!$C:$D,2,FALSE))</f>
        <v/>
      </c>
      <c r="G91" s="62"/>
      <c r="H91" s="62"/>
      <c r="I91" s="67" t="str">
        <f>IF('Registrar recibidas_gastos'!I91="","",'Registrar recibidas_gastos'!I91)</f>
        <v/>
      </c>
      <c r="J91" s="67" t="str">
        <f>IF('Registrar recibidas_gastos'!J91="","",'Registrar recibidas_gastos'!J91)</f>
        <v/>
      </c>
      <c r="K91" s="61" t="str">
        <f>IF('Registrar recibidas_gastos'!K91="","",'Registrar recibidas_gastos'!K91)</f>
        <v/>
      </c>
      <c r="L91" s="61" t="str">
        <f>IF('Registrar recibidas_gastos'!L91="","",'Registrar recibidas_gastos'!L91)</f>
        <v/>
      </c>
      <c r="M91" s="67" t="str">
        <f>IF('Registrar recibidas_gastos'!M91="","",'Registrar recibidas_gastos'!M91)</f>
        <v/>
      </c>
      <c r="N91" s="61" t="str">
        <f>IF('Registrar recibidas_gastos'!N91="","",'Registrar recibidas_gastos'!N91)</f>
        <v/>
      </c>
      <c r="O91" s="61" t="str">
        <f>IF('Registrar recibidas_gastos'!O91="","",'Registrar recibidas_gastos'!O91)</f>
        <v/>
      </c>
      <c r="P91" s="61" t="str">
        <f>IF(OR(LEFT('Registrar recibidas_gastos'!P91,2)="01",'Registrar recibidas_gastos'!P91=""),"",VLOOKUP(CONCATENATE("TIPO NIF",'Registrar recibidas_gastos'!P91),'CODIGO-LITERAL'!$C:$D,2,FALSE))</f>
        <v/>
      </c>
      <c r="Q91" s="61" t="str">
        <f>IF('Registrar recibidas_gastos'!Q91="","",'Registrar recibidas_gastos'!Q91)</f>
        <v/>
      </c>
      <c r="R91" s="61" t="str">
        <f>IF('Registrar recibidas_gastos'!R91="","",'Registrar recibidas_gastos'!R91)</f>
        <v/>
      </c>
      <c r="S91" s="61" t="str">
        <f>IF('Registrar recibidas_gastos'!S91="","",'Registrar recibidas_gastos'!S91)</f>
        <v/>
      </c>
      <c r="T91" s="61" t="str">
        <f>IF('Registrar recibidas_gastos'!T91="","",VLOOKUP(CONCATENATE("CLAVE OPERACION GASTO",'Registrar recibidas_gastos'!T91),'CODIGO-LITERAL'!$C:$D,2,FALSE))</f>
        <v/>
      </c>
      <c r="U91" s="61" t="str">
        <f>IF(T91="","",IF(OR(T91="02",T91="08"),"N",IF('Registrar recibidas_gastos'!U91="","N",'Registrar recibidas_gastos'!U91)))</f>
        <v/>
      </c>
      <c r="V91" s="61" t="str">
        <f>IF(T91="","",IF(OR(T91="07",T91="08",T91="09",F91="F5",F91="LC"),"N",IF('Registrar recibidas_gastos'!V91="","N",'Registrar recibidas_gastos'!V91)))</f>
        <v/>
      </c>
      <c r="W91" s="61" t="str">
        <f>IF(AND(X91="",Y91=""),"",IF(AND(RECIBIDAS_GASTOS!$X91&lt;&gt;"",RECIBIDAS_GASTOS!$Y91&lt;&gt;""),"S",IF('Registrar recibidas_gastos'!W91="","N",'Registrar recibidas_gastos'!W91)))</f>
        <v/>
      </c>
      <c r="X91" s="67" t="str">
        <f>IF('Registrar recibidas_gastos'!X91="","",'Registrar recibidas_gastos'!X91)</f>
        <v/>
      </c>
      <c r="Y91" s="61" t="str">
        <f>IF('Registrar recibidas_gastos'!Y91="","",'Registrar recibidas_gastos'!Y91)</f>
        <v/>
      </c>
      <c r="Z91" s="68" t="str">
        <f>IF('Registrar recibidas_gastos'!Z91="","",IF(AND(F91="",T91=""),"",IF(OR(T91="03",T91="05",T91="09"),AA91,SUM(AA91,AC91,AF91))))</f>
        <v/>
      </c>
      <c r="AA91" s="68" t="str">
        <f>IF('Registrar recibidas_gastos'!AA91="","",ROUND('Registrar recibidas_gastos'!AA91,2))</f>
        <v/>
      </c>
      <c r="AB91" s="61" t="str">
        <f>IF('Registrar recibidas_gastos'!AB91="","",'Registrar recibidas_gastos'!AB91)</f>
        <v/>
      </c>
      <c r="AC91" s="68" t="str">
        <f>IF(OR(T91="03",T91="05"),0,IF('Registrar recibidas_gastos'!AC91="","",ROUND(AA91*AB91/100,2)))</f>
        <v/>
      </c>
      <c r="AD91" s="68" t="str">
        <f>IF('Registrar recibidas_gastos'!AD91="","",ROUND('Registrar recibidas_gastos'!AD91,2))</f>
        <v/>
      </c>
      <c r="AE91" s="61" t="str">
        <f>IF('Registrar recibidas_gastos'!AE91="","",'Registrar recibidas_gastos'!AE91)</f>
        <v/>
      </c>
      <c r="AF91" s="68" t="str">
        <f>IF('Registrar recibidas_gastos'!AF91="","",ROUND(AA91*AE91/100,2))</f>
        <v/>
      </c>
      <c r="AG91" s="67" t="str">
        <f>IF('Registrar recibidas_gastos'!AG91="","",'Registrar recibidas_gastos'!AG91)</f>
        <v/>
      </c>
      <c r="AH91" s="68" t="str">
        <f>IF('Registrar recibidas_gastos'!AH91="","",'Registrar recibidas_gastos'!AH91)</f>
        <v/>
      </c>
      <c r="AI91" s="61" t="str">
        <f>IF('Registrar recibidas_gastos'!AI91="","",VLOOKUP(CONCATENATE("MEDIO UTILIZADO",'Registrar recibidas_gastos'!AI91),'CODIGO-LITERAL'!$C:$D,2,FALSE))</f>
        <v/>
      </c>
      <c r="AJ91" s="61" t="str">
        <f>IF('Registrar recibidas_gastos'!AJ91="","",'Registrar recibidas_gastos'!AJ91)</f>
        <v/>
      </c>
      <c r="AK91" s="62"/>
      <c r="AL91" s="69"/>
      <c r="AM91" s="61" t="str">
        <f>IF('Registrar recibidas_gastos'!AM91="","",'Registrar recibidas_gastos'!AM91)</f>
        <v/>
      </c>
      <c r="AN91" s="61" t="str">
        <f>IF('Registrar recibidas_gastos'!AN91="","",VLOOKUP(CONCATENATE("SITUACION",'Registrar recibidas_gastos'!AN91),'CODIGO-LITERAL'!$C:$D,2,FALSE))</f>
        <v/>
      </c>
      <c r="AO91" s="61" t="str">
        <f>IF('Registrar recibidas_gastos'!AO91="","",'Registrar recibidas_gastos'!AO91)</f>
        <v/>
      </c>
      <c r="AP91" s="61" t="str">
        <f>IF('Registrar recibidas_gastos'!AP91="","",'Registrar recibidas_gastos'!AP91)</f>
        <v/>
      </c>
    </row>
    <row r="92" spans="1:42" x14ac:dyDescent="0.25">
      <c r="A92" s="66" t="str">
        <f>IF('Registrar recibidas_gastos'!A92="","",'Registrar recibidas_gastos'!A92)</f>
        <v/>
      </c>
      <c r="B92" s="61" t="str">
        <f>IF('Registrar recibidas_gastos'!B92="","",'Registrar recibidas_gastos'!B92)</f>
        <v/>
      </c>
      <c r="C92" s="61" t="str">
        <f>IF('Registrar recibidas_gastos'!C92="","",VLOOKUP(CONCATENATE("ACTIVIDAD",'Registrar recibidas_gastos'!C92),'CODIGO-LITERAL'!$C:$D,2,FALSE))</f>
        <v/>
      </c>
      <c r="D92" s="60" t="str">
        <f>IF(OR(C92="C",C92="D"),"",IF(ISERROR(VLOOKUP(CONCATENATE(C92,'Registrar recibidas_gastos'!D92),'CODIGO-LITERAL'!$C:$D,2,FALSE)),"",VLOOKUP(CONCATENATE(C92,'Registrar recibidas_gastos'!D92),'CODIGO-LITERAL'!$C:$D,2,FALSE)))</f>
        <v/>
      </c>
      <c r="E92" s="61" t="str">
        <f>IF('Registrar recibidas_gastos'!E92="","",'Registrar recibidas_gastos'!E92)</f>
        <v/>
      </c>
      <c r="F92" s="61" t="str">
        <f>IF('Registrar recibidas_gastos'!F92="","",VLOOKUP(CONCATENATE("TIPO FACTURA GASTO",'Registrar recibidas_gastos'!F92),'CODIGO-LITERAL'!$C:$D,2,FALSE))</f>
        <v/>
      </c>
      <c r="G92" s="62"/>
      <c r="H92" s="62"/>
      <c r="I92" s="67" t="str">
        <f>IF('Registrar recibidas_gastos'!I92="","",'Registrar recibidas_gastos'!I92)</f>
        <v/>
      </c>
      <c r="J92" s="67" t="str">
        <f>IF('Registrar recibidas_gastos'!J92="","",'Registrar recibidas_gastos'!J92)</f>
        <v/>
      </c>
      <c r="K92" s="61" t="str">
        <f>IF('Registrar recibidas_gastos'!K92="","",'Registrar recibidas_gastos'!K92)</f>
        <v/>
      </c>
      <c r="L92" s="61" t="str">
        <f>IF('Registrar recibidas_gastos'!L92="","",'Registrar recibidas_gastos'!L92)</f>
        <v/>
      </c>
      <c r="M92" s="67" t="str">
        <f>IF('Registrar recibidas_gastos'!M92="","",'Registrar recibidas_gastos'!M92)</f>
        <v/>
      </c>
      <c r="N92" s="61" t="str">
        <f>IF('Registrar recibidas_gastos'!N92="","",'Registrar recibidas_gastos'!N92)</f>
        <v/>
      </c>
      <c r="O92" s="61" t="str">
        <f>IF('Registrar recibidas_gastos'!O92="","",'Registrar recibidas_gastos'!O92)</f>
        <v/>
      </c>
      <c r="P92" s="61" t="str">
        <f>IF(OR(LEFT('Registrar recibidas_gastos'!P92,2)="01",'Registrar recibidas_gastos'!P92=""),"",VLOOKUP(CONCATENATE("TIPO NIF",'Registrar recibidas_gastos'!P92),'CODIGO-LITERAL'!$C:$D,2,FALSE))</f>
        <v/>
      </c>
      <c r="Q92" s="61" t="str">
        <f>IF('Registrar recibidas_gastos'!Q92="","",'Registrar recibidas_gastos'!Q92)</f>
        <v/>
      </c>
      <c r="R92" s="61" t="str">
        <f>IF('Registrar recibidas_gastos'!R92="","",'Registrar recibidas_gastos'!R92)</f>
        <v/>
      </c>
      <c r="S92" s="61" t="str">
        <f>IF('Registrar recibidas_gastos'!S92="","",'Registrar recibidas_gastos'!S92)</f>
        <v/>
      </c>
      <c r="T92" s="61" t="str">
        <f>IF('Registrar recibidas_gastos'!T92="","",VLOOKUP(CONCATENATE("CLAVE OPERACION GASTO",'Registrar recibidas_gastos'!T92),'CODIGO-LITERAL'!$C:$D,2,FALSE))</f>
        <v/>
      </c>
      <c r="U92" s="61" t="str">
        <f>IF(T92="","",IF(OR(T92="02",T92="08"),"N",IF('Registrar recibidas_gastos'!U92="","N",'Registrar recibidas_gastos'!U92)))</f>
        <v/>
      </c>
      <c r="V92" s="61" t="str">
        <f>IF(T92="","",IF(OR(T92="07",T92="08",T92="09",F92="F5",F92="LC"),"N",IF('Registrar recibidas_gastos'!V92="","N",'Registrar recibidas_gastos'!V92)))</f>
        <v/>
      </c>
      <c r="W92" s="61" t="str">
        <f>IF(AND(X92="",Y92=""),"",IF(AND(RECIBIDAS_GASTOS!$X92&lt;&gt;"",RECIBIDAS_GASTOS!$Y92&lt;&gt;""),"S",IF('Registrar recibidas_gastos'!W92="","N",'Registrar recibidas_gastos'!W92)))</f>
        <v/>
      </c>
      <c r="X92" s="67" t="str">
        <f>IF('Registrar recibidas_gastos'!X92="","",'Registrar recibidas_gastos'!X92)</f>
        <v/>
      </c>
      <c r="Y92" s="61" t="str">
        <f>IF('Registrar recibidas_gastos'!Y92="","",'Registrar recibidas_gastos'!Y92)</f>
        <v/>
      </c>
      <c r="Z92" s="68" t="str">
        <f>IF('Registrar recibidas_gastos'!Z92="","",IF(AND(F92="",T92=""),"",IF(OR(T92="03",T92="05",T92="09"),AA92,SUM(AA92,AC92,AF92))))</f>
        <v/>
      </c>
      <c r="AA92" s="68" t="str">
        <f>IF('Registrar recibidas_gastos'!AA92="","",ROUND('Registrar recibidas_gastos'!AA92,2))</f>
        <v/>
      </c>
      <c r="AB92" s="61" t="str">
        <f>IF('Registrar recibidas_gastos'!AB92="","",'Registrar recibidas_gastos'!AB92)</f>
        <v/>
      </c>
      <c r="AC92" s="68" t="str">
        <f>IF(OR(T92="03",T92="05"),0,IF('Registrar recibidas_gastos'!AC92="","",ROUND(AA92*AB92/100,2)))</f>
        <v/>
      </c>
      <c r="AD92" s="68" t="str">
        <f>IF('Registrar recibidas_gastos'!AD92="","",ROUND('Registrar recibidas_gastos'!AD92,2))</f>
        <v/>
      </c>
      <c r="AE92" s="61" t="str">
        <f>IF('Registrar recibidas_gastos'!AE92="","",'Registrar recibidas_gastos'!AE92)</f>
        <v/>
      </c>
      <c r="AF92" s="68" t="str">
        <f>IF('Registrar recibidas_gastos'!AF92="","",ROUND(AA92*AE92/100,2))</f>
        <v/>
      </c>
      <c r="AG92" s="67" t="str">
        <f>IF('Registrar recibidas_gastos'!AG92="","",'Registrar recibidas_gastos'!AG92)</f>
        <v/>
      </c>
      <c r="AH92" s="68" t="str">
        <f>IF('Registrar recibidas_gastos'!AH92="","",'Registrar recibidas_gastos'!AH92)</f>
        <v/>
      </c>
      <c r="AI92" s="61" t="str">
        <f>IF('Registrar recibidas_gastos'!AI92="","",VLOOKUP(CONCATENATE("MEDIO UTILIZADO",'Registrar recibidas_gastos'!AI92),'CODIGO-LITERAL'!$C:$D,2,FALSE))</f>
        <v/>
      </c>
      <c r="AJ92" s="61" t="str">
        <f>IF('Registrar recibidas_gastos'!AJ92="","",'Registrar recibidas_gastos'!AJ92)</f>
        <v/>
      </c>
      <c r="AK92" s="62"/>
      <c r="AL92" s="69"/>
      <c r="AM92" s="61" t="str">
        <f>IF('Registrar recibidas_gastos'!AM92="","",'Registrar recibidas_gastos'!AM92)</f>
        <v/>
      </c>
      <c r="AN92" s="61" t="str">
        <f>IF('Registrar recibidas_gastos'!AN92="","",VLOOKUP(CONCATENATE("SITUACION",'Registrar recibidas_gastos'!AN92),'CODIGO-LITERAL'!$C:$D,2,FALSE))</f>
        <v/>
      </c>
      <c r="AO92" s="61" t="str">
        <f>IF('Registrar recibidas_gastos'!AO92="","",'Registrar recibidas_gastos'!AO92)</f>
        <v/>
      </c>
      <c r="AP92" s="61" t="str">
        <f>IF('Registrar recibidas_gastos'!AP92="","",'Registrar recibidas_gastos'!AP92)</f>
        <v/>
      </c>
    </row>
    <row r="93" spans="1:42" x14ac:dyDescent="0.25">
      <c r="A93" s="66" t="str">
        <f>IF('Registrar recibidas_gastos'!A93="","",'Registrar recibidas_gastos'!A93)</f>
        <v/>
      </c>
      <c r="B93" s="61" t="str">
        <f>IF('Registrar recibidas_gastos'!B93="","",'Registrar recibidas_gastos'!B93)</f>
        <v/>
      </c>
      <c r="C93" s="61" t="str">
        <f>IF('Registrar recibidas_gastos'!C93="","",VLOOKUP(CONCATENATE("ACTIVIDAD",'Registrar recibidas_gastos'!C93),'CODIGO-LITERAL'!$C:$D,2,FALSE))</f>
        <v/>
      </c>
      <c r="D93" s="60" t="str">
        <f>IF(OR(C93="C",C93="D"),"",IF(ISERROR(VLOOKUP(CONCATENATE(C93,'Registrar recibidas_gastos'!D93),'CODIGO-LITERAL'!$C:$D,2,FALSE)),"",VLOOKUP(CONCATENATE(C93,'Registrar recibidas_gastos'!D93),'CODIGO-LITERAL'!$C:$D,2,FALSE)))</f>
        <v/>
      </c>
      <c r="E93" s="61" t="str">
        <f>IF('Registrar recibidas_gastos'!E93="","",'Registrar recibidas_gastos'!E93)</f>
        <v/>
      </c>
      <c r="F93" s="61" t="str">
        <f>IF('Registrar recibidas_gastos'!F93="","",VLOOKUP(CONCATENATE("TIPO FACTURA GASTO",'Registrar recibidas_gastos'!F93),'CODIGO-LITERAL'!$C:$D,2,FALSE))</f>
        <v/>
      </c>
      <c r="G93" s="62"/>
      <c r="H93" s="62"/>
      <c r="I93" s="67" t="str">
        <f>IF('Registrar recibidas_gastos'!I93="","",'Registrar recibidas_gastos'!I93)</f>
        <v/>
      </c>
      <c r="J93" s="67" t="str">
        <f>IF('Registrar recibidas_gastos'!J93="","",'Registrar recibidas_gastos'!J93)</f>
        <v/>
      </c>
      <c r="K93" s="61" t="str">
        <f>IF('Registrar recibidas_gastos'!K93="","",'Registrar recibidas_gastos'!K93)</f>
        <v/>
      </c>
      <c r="L93" s="61" t="str">
        <f>IF('Registrar recibidas_gastos'!L93="","",'Registrar recibidas_gastos'!L93)</f>
        <v/>
      </c>
      <c r="M93" s="67" t="str">
        <f>IF('Registrar recibidas_gastos'!M93="","",'Registrar recibidas_gastos'!M93)</f>
        <v/>
      </c>
      <c r="N93" s="61" t="str">
        <f>IF('Registrar recibidas_gastos'!N93="","",'Registrar recibidas_gastos'!N93)</f>
        <v/>
      </c>
      <c r="O93" s="61" t="str">
        <f>IF('Registrar recibidas_gastos'!O93="","",'Registrar recibidas_gastos'!O93)</f>
        <v/>
      </c>
      <c r="P93" s="61" t="str">
        <f>IF(OR(LEFT('Registrar recibidas_gastos'!P93,2)="01",'Registrar recibidas_gastos'!P93=""),"",VLOOKUP(CONCATENATE("TIPO NIF",'Registrar recibidas_gastos'!P93),'CODIGO-LITERAL'!$C:$D,2,FALSE))</f>
        <v/>
      </c>
      <c r="Q93" s="61" t="str">
        <f>IF('Registrar recibidas_gastos'!Q93="","",'Registrar recibidas_gastos'!Q93)</f>
        <v/>
      </c>
      <c r="R93" s="61" t="str">
        <f>IF('Registrar recibidas_gastos'!R93="","",'Registrar recibidas_gastos'!R93)</f>
        <v/>
      </c>
      <c r="S93" s="61" t="str">
        <f>IF('Registrar recibidas_gastos'!S93="","",'Registrar recibidas_gastos'!S93)</f>
        <v/>
      </c>
      <c r="T93" s="61" t="str">
        <f>IF('Registrar recibidas_gastos'!T93="","",VLOOKUP(CONCATENATE("CLAVE OPERACION GASTO",'Registrar recibidas_gastos'!T93),'CODIGO-LITERAL'!$C:$D,2,FALSE))</f>
        <v/>
      </c>
      <c r="U93" s="61" t="str">
        <f>IF(T93="","",IF(OR(T93="02",T93="08"),"N",IF('Registrar recibidas_gastos'!U93="","N",'Registrar recibidas_gastos'!U93)))</f>
        <v/>
      </c>
      <c r="V93" s="61" t="str">
        <f>IF(T93="","",IF(OR(T93="07",T93="08",T93="09",F93="F5",F93="LC"),"N",IF('Registrar recibidas_gastos'!V93="","N",'Registrar recibidas_gastos'!V93)))</f>
        <v/>
      </c>
      <c r="W93" s="61" t="str">
        <f>IF(AND(X93="",Y93=""),"",IF(AND(RECIBIDAS_GASTOS!$X93&lt;&gt;"",RECIBIDAS_GASTOS!$Y93&lt;&gt;""),"S",IF('Registrar recibidas_gastos'!W93="","N",'Registrar recibidas_gastos'!W93)))</f>
        <v/>
      </c>
      <c r="X93" s="67" t="str">
        <f>IF('Registrar recibidas_gastos'!X93="","",'Registrar recibidas_gastos'!X93)</f>
        <v/>
      </c>
      <c r="Y93" s="61" t="str">
        <f>IF('Registrar recibidas_gastos'!Y93="","",'Registrar recibidas_gastos'!Y93)</f>
        <v/>
      </c>
      <c r="Z93" s="68" t="str">
        <f>IF('Registrar recibidas_gastos'!Z93="","",IF(AND(F93="",T93=""),"",IF(OR(T93="03",T93="05",T93="09"),AA93,SUM(AA93,AC93,AF93))))</f>
        <v/>
      </c>
      <c r="AA93" s="68" t="str">
        <f>IF('Registrar recibidas_gastos'!AA93="","",ROUND('Registrar recibidas_gastos'!AA93,2))</f>
        <v/>
      </c>
      <c r="AB93" s="61" t="str">
        <f>IF('Registrar recibidas_gastos'!AB93="","",'Registrar recibidas_gastos'!AB93)</f>
        <v/>
      </c>
      <c r="AC93" s="68" t="str">
        <f>IF(OR(T93="03",T93="05"),0,IF('Registrar recibidas_gastos'!AC93="","",ROUND(AA93*AB93/100,2)))</f>
        <v/>
      </c>
      <c r="AD93" s="68" t="str">
        <f>IF('Registrar recibidas_gastos'!AD93="","",ROUND('Registrar recibidas_gastos'!AD93,2))</f>
        <v/>
      </c>
      <c r="AE93" s="61" t="str">
        <f>IF('Registrar recibidas_gastos'!AE93="","",'Registrar recibidas_gastos'!AE93)</f>
        <v/>
      </c>
      <c r="AF93" s="68" t="str">
        <f>IF('Registrar recibidas_gastos'!AF93="","",ROUND(AA93*AE93/100,2))</f>
        <v/>
      </c>
      <c r="AG93" s="67" t="str">
        <f>IF('Registrar recibidas_gastos'!AG93="","",'Registrar recibidas_gastos'!AG93)</f>
        <v/>
      </c>
      <c r="AH93" s="68" t="str">
        <f>IF('Registrar recibidas_gastos'!AH93="","",'Registrar recibidas_gastos'!AH93)</f>
        <v/>
      </c>
      <c r="AI93" s="61" t="str">
        <f>IF('Registrar recibidas_gastos'!AI93="","",VLOOKUP(CONCATENATE("MEDIO UTILIZADO",'Registrar recibidas_gastos'!AI93),'CODIGO-LITERAL'!$C:$D,2,FALSE))</f>
        <v/>
      </c>
      <c r="AJ93" s="61" t="str">
        <f>IF('Registrar recibidas_gastos'!AJ93="","",'Registrar recibidas_gastos'!AJ93)</f>
        <v/>
      </c>
      <c r="AK93" s="62"/>
      <c r="AL93" s="69"/>
      <c r="AM93" s="61" t="str">
        <f>IF('Registrar recibidas_gastos'!AM93="","",'Registrar recibidas_gastos'!AM93)</f>
        <v/>
      </c>
      <c r="AN93" s="61" t="str">
        <f>IF('Registrar recibidas_gastos'!AN93="","",VLOOKUP(CONCATENATE("SITUACION",'Registrar recibidas_gastos'!AN93),'CODIGO-LITERAL'!$C:$D,2,FALSE))</f>
        <v/>
      </c>
      <c r="AO93" s="61" t="str">
        <f>IF('Registrar recibidas_gastos'!AO93="","",'Registrar recibidas_gastos'!AO93)</f>
        <v/>
      </c>
      <c r="AP93" s="61" t="str">
        <f>IF('Registrar recibidas_gastos'!AP93="","",'Registrar recibidas_gastos'!AP93)</f>
        <v/>
      </c>
    </row>
    <row r="94" spans="1:42" x14ac:dyDescent="0.25">
      <c r="A94" s="66" t="str">
        <f>IF('Registrar recibidas_gastos'!A94="","",'Registrar recibidas_gastos'!A94)</f>
        <v/>
      </c>
      <c r="B94" s="61" t="str">
        <f>IF('Registrar recibidas_gastos'!B94="","",'Registrar recibidas_gastos'!B94)</f>
        <v/>
      </c>
      <c r="C94" s="61" t="str">
        <f>IF('Registrar recibidas_gastos'!C94="","",VLOOKUP(CONCATENATE("ACTIVIDAD",'Registrar recibidas_gastos'!C94),'CODIGO-LITERAL'!$C:$D,2,FALSE))</f>
        <v/>
      </c>
      <c r="D94" s="60" t="str">
        <f>IF(OR(C94="C",C94="D"),"",IF(ISERROR(VLOOKUP(CONCATENATE(C94,'Registrar recibidas_gastos'!D94),'CODIGO-LITERAL'!$C:$D,2,FALSE)),"",VLOOKUP(CONCATENATE(C94,'Registrar recibidas_gastos'!D94),'CODIGO-LITERAL'!$C:$D,2,FALSE)))</f>
        <v/>
      </c>
      <c r="E94" s="61" t="str">
        <f>IF('Registrar recibidas_gastos'!E94="","",'Registrar recibidas_gastos'!E94)</f>
        <v/>
      </c>
      <c r="F94" s="61" t="str">
        <f>IF('Registrar recibidas_gastos'!F94="","",VLOOKUP(CONCATENATE("TIPO FACTURA GASTO",'Registrar recibidas_gastos'!F94),'CODIGO-LITERAL'!$C:$D,2,FALSE))</f>
        <v/>
      </c>
      <c r="G94" s="62"/>
      <c r="H94" s="62"/>
      <c r="I94" s="67" t="str">
        <f>IF('Registrar recibidas_gastos'!I94="","",'Registrar recibidas_gastos'!I94)</f>
        <v/>
      </c>
      <c r="J94" s="67" t="str">
        <f>IF('Registrar recibidas_gastos'!J94="","",'Registrar recibidas_gastos'!J94)</f>
        <v/>
      </c>
      <c r="K94" s="61" t="str">
        <f>IF('Registrar recibidas_gastos'!K94="","",'Registrar recibidas_gastos'!K94)</f>
        <v/>
      </c>
      <c r="L94" s="61" t="str">
        <f>IF('Registrar recibidas_gastos'!L94="","",'Registrar recibidas_gastos'!L94)</f>
        <v/>
      </c>
      <c r="M94" s="67" t="str">
        <f>IF('Registrar recibidas_gastos'!M94="","",'Registrar recibidas_gastos'!M94)</f>
        <v/>
      </c>
      <c r="N94" s="61" t="str">
        <f>IF('Registrar recibidas_gastos'!N94="","",'Registrar recibidas_gastos'!N94)</f>
        <v/>
      </c>
      <c r="O94" s="61" t="str">
        <f>IF('Registrar recibidas_gastos'!O94="","",'Registrar recibidas_gastos'!O94)</f>
        <v/>
      </c>
      <c r="P94" s="61" t="str">
        <f>IF(OR(LEFT('Registrar recibidas_gastos'!P94,2)="01",'Registrar recibidas_gastos'!P94=""),"",VLOOKUP(CONCATENATE("TIPO NIF",'Registrar recibidas_gastos'!P94),'CODIGO-LITERAL'!$C:$D,2,FALSE))</f>
        <v/>
      </c>
      <c r="Q94" s="61" t="str">
        <f>IF('Registrar recibidas_gastos'!Q94="","",'Registrar recibidas_gastos'!Q94)</f>
        <v/>
      </c>
      <c r="R94" s="61" t="str">
        <f>IF('Registrar recibidas_gastos'!R94="","",'Registrar recibidas_gastos'!R94)</f>
        <v/>
      </c>
      <c r="S94" s="61" t="str">
        <f>IF('Registrar recibidas_gastos'!S94="","",'Registrar recibidas_gastos'!S94)</f>
        <v/>
      </c>
      <c r="T94" s="61" t="str">
        <f>IF('Registrar recibidas_gastos'!T94="","",VLOOKUP(CONCATENATE("CLAVE OPERACION GASTO",'Registrar recibidas_gastos'!T94),'CODIGO-LITERAL'!$C:$D,2,FALSE))</f>
        <v/>
      </c>
      <c r="U94" s="61" t="str">
        <f>IF(T94="","",IF(OR(T94="02",T94="08"),"N",IF('Registrar recibidas_gastos'!U94="","N",'Registrar recibidas_gastos'!U94)))</f>
        <v/>
      </c>
      <c r="V94" s="61" t="str">
        <f>IF(T94="","",IF(OR(T94="07",T94="08",T94="09",F94="F5",F94="LC"),"N",IF('Registrar recibidas_gastos'!V94="","N",'Registrar recibidas_gastos'!V94)))</f>
        <v/>
      </c>
      <c r="W94" s="61" t="str">
        <f>IF(AND(X94="",Y94=""),"",IF(AND(RECIBIDAS_GASTOS!$X94&lt;&gt;"",RECIBIDAS_GASTOS!$Y94&lt;&gt;""),"S",IF('Registrar recibidas_gastos'!W94="","N",'Registrar recibidas_gastos'!W94)))</f>
        <v/>
      </c>
      <c r="X94" s="67" t="str">
        <f>IF('Registrar recibidas_gastos'!X94="","",'Registrar recibidas_gastos'!X94)</f>
        <v/>
      </c>
      <c r="Y94" s="61" t="str">
        <f>IF('Registrar recibidas_gastos'!Y94="","",'Registrar recibidas_gastos'!Y94)</f>
        <v/>
      </c>
      <c r="Z94" s="68" t="str">
        <f>IF('Registrar recibidas_gastos'!Z94="","",IF(AND(F94="",T94=""),"",IF(OR(T94="03",T94="05",T94="09"),AA94,SUM(AA94,AC94,AF94))))</f>
        <v/>
      </c>
      <c r="AA94" s="68" t="str">
        <f>IF('Registrar recibidas_gastos'!AA94="","",ROUND('Registrar recibidas_gastos'!AA94,2))</f>
        <v/>
      </c>
      <c r="AB94" s="61" t="str">
        <f>IF('Registrar recibidas_gastos'!AB94="","",'Registrar recibidas_gastos'!AB94)</f>
        <v/>
      </c>
      <c r="AC94" s="68" t="str">
        <f>IF(OR(T94="03",T94="05"),0,IF('Registrar recibidas_gastos'!AC94="","",ROUND(AA94*AB94/100,2)))</f>
        <v/>
      </c>
      <c r="AD94" s="68" t="str">
        <f>IF('Registrar recibidas_gastos'!AD94="","",ROUND('Registrar recibidas_gastos'!AD94,2))</f>
        <v/>
      </c>
      <c r="AE94" s="61" t="str">
        <f>IF('Registrar recibidas_gastos'!AE94="","",'Registrar recibidas_gastos'!AE94)</f>
        <v/>
      </c>
      <c r="AF94" s="68" t="str">
        <f>IF('Registrar recibidas_gastos'!AF94="","",ROUND(AA94*AE94/100,2))</f>
        <v/>
      </c>
      <c r="AG94" s="67" t="str">
        <f>IF('Registrar recibidas_gastos'!AG94="","",'Registrar recibidas_gastos'!AG94)</f>
        <v/>
      </c>
      <c r="AH94" s="68" t="str">
        <f>IF('Registrar recibidas_gastos'!AH94="","",'Registrar recibidas_gastos'!AH94)</f>
        <v/>
      </c>
      <c r="AI94" s="61" t="str">
        <f>IF('Registrar recibidas_gastos'!AI94="","",VLOOKUP(CONCATENATE("MEDIO UTILIZADO",'Registrar recibidas_gastos'!AI94),'CODIGO-LITERAL'!$C:$D,2,FALSE))</f>
        <v/>
      </c>
      <c r="AJ94" s="61" t="str">
        <f>IF('Registrar recibidas_gastos'!AJ94="","",'Registrar recibidas_gastos'!AJ94)</f>
        <v/>
      </c>
      <c r="AK94" s="62"/>
      <c r="AL94" s="69"/>
      <c r="AM94" s="61" t="str">
        <f>IF('Registrar recibidas_gastos'!AM94="","",'Registrar recibidas_gastos'!AM94)</f>
        <v/>
      </c>
      <c r="AN94" s="61" t="str">
        <f>IF('Registrar recibidas_gastos'!AN94="","",VLOOKUP(CONCATENATE("SITUACION",'Registrar recibidas_gastos'!AN94),'CODIGO-LITERAL'!$C:$D,2,FALSE))</f>
        <v/>
      </c>
      <c r="AO94" s="61" t="str">
        <f>IF('Registrar recibidas_gastos'!AO94="","",'Registrar recibidas_gastos'!AO94)</f>
        <v/>
      </c>
      <c r="AP94" s="61" t="str">
        <f>IF('Registrar recibidas_gastos'!AP94="","",'Registrar recibidas_gastos'!AP94)</f>
        <v/>
      </c>
    </row>
    <row r="95" spans="1:42" x14ac:dyDescent="0.25">
      <c r="A95" s="66" t="str">
        <f>IF('Registrar recibidas_gastos'!A95="","",'Registrar recibidas_gastos'!A95)</f>
        <v/>
      </c>
      <c r="B95" s="61" t="str">
        <f>IF('Registrar recibidas_gastos'!B95="","",'Registrar recibidas_gastos'!B95)</f>
        <v/>
      </c>
      <c r="C95" s="61" t="str">
        <f>IF('Registrar recibidas_gastos'!C95="","",VLOOKUP(CONCATENATE("ACTIVIDAD",'Registrar recibidas_gastos'!C95),'CODIGO-LITERAL'!$C:$D,2,FALSE))</f>
        <v/>
      </c>
      <c r="D95" s="60" t="str">
        <f>IF(OR(C95="C",C95="D"),"",IF(ISERROR(VLOOKUP(CONCATENATE(C95,'Registrar recibidas_gastos'!D95),'CODIGO-LITERAL'!$C:$D,2,FALSE)),"",VLOOKUP(CONCATENATE(C95,'Registrar recibidas_gastos'!D95),'CODIGO-LITERAL'!$C:$D,2,FALSE)))</f>
        <v/>
      </c>
      <c r="E95" s="61" t="str">
        <f>IF('Registrar recibidas_gastos'!E95="","",'Registrar recibidas_gastos'!E95)</f>
        <v/>
      </c>
      <c r="F95" s="61" t="str">
        <f>IF('Registrar recibidas_gastos'!F95="","",VLOOKUP(CONCATENATE("TIPO FACTURA GASTO",'Registrar recibidas_gastos'!F95),'CODIGO-LITERAL'!$C:$D,2,FALSE))</f>
        <v/>
      </c>
      <c r="G95" s="62"/>
      <c r="H95" s="62"/>
      <c r="I95" s="67" t="str">
        <f>IF('Registrar recibidas_gastos'!I95="","",'Registrar recibidas_gastos'!I95)</f>
        <v/>
      </c>
      <c r="J95" s="67" t="str">
        <f>IF('Registrar recibidas_gastos'!J95="","",'Registrar recibidas_gastos'!J95)</f>
        <v/>
      </c>
      <c r="K95" s="61" t="str">
        <f>IF('Registrar recibidas_gastos'!K95="","",'Registrar recibidas_gastos'!K95)</f>
        <v/>
      </c>
      <c r="L95" s="61" t="str">
        <f>IF('Registrar recibidas_gastos'!L95="","",'Registrar recibidas_gastos'!L95)</f>
        <v/>
      </c>
      <c r="M95" s="67" t="str">
        <f>IF('Registrar recibidas_gastos'!M95="","",'Registrar recibidas_gastos'!M95)</f>
        <v/>
      </c>
      <c r="N95" s="61" t="str">
        <f>IF('Registrar recibidas_gastos'!N95="","",'Registrar recibidas_gastos'!N95)</f>
        <v/>
      </c>
      <c r="O95" s="61" t="str">
        <f>IF('Registrar recibidas_gastos'!O95="","",'Registrar recibidas_gastos'!O95)</f>
        <v/>
      </c>
      <c r="P95" s="61" t="str">
        <f>IF(OR(LEFT('Registrar recibidas_gastos'!P95,2)="01",'Registrar recibidas_gastos'!P95=""),"",VLOOKUP(CONCATENATE("TIPO NIF",'Registrar recibidas_gastos'!P95),'CODIGO-LITERAL'!$C:$D,2,FALSE))</f>
        <v/>
      </c>
      <c r="Q95" s="61" t="str">
        <f>IF('Registrar recibidas_gastos'!Q95="","",'Registrar recibidas_gastos'!Q95)</f>
        <v/>
      </c>
      <c r="R95" s="61" t="str">
        <f>IF('Registrar recibidas_gastos'!R95="","",'Registrar recibidas_gastos'!R95)</f>
        <v/>
      </c>
      <c r="S95" s="61" t="str">
        <f>IF('Registrar recibidas_gastos'!S95="","",'Registrar recibidas_gastos'!S95)</f>
        <v/>
      </c>
      <c r="T95" s="61" t="str">
        <f>IF('Registrar recibidas_gastos'!T95="","",VLOOKUP(CONCATENATE("CLAVE OPERACION GASTO",'Registrar recibidas_gastos'!T95),'CODIGO-LITERAL'!$C:$D,2,FALSE))</f>
        <v/>
      </c>
      <c r="U95" s="61" t="str">
        <f>IF(T95="","",IF(OR(T95="02",T95="08"),"N",IF('Registrar recibidas_gastos'!U95="","N",'Registrar recibidas_gastos'!U95)))</f>
        <v/>
      </c>
      <c r="V95" s="61" t="str">
        <f>IF(T95="","",IF(OR(T95="07",T95="08",T95="09",F95="F5",F95="LC"),"N",IF('Registrar recibidas_gastos'!V95="","N",'Registrar recibidas_gastos'!V95)))</f>
        <v/>
      </c>
      <c r="W95" s="61" t="str">
        <f>IF(AND(X95="",Y95=""),"",IF(AND(RECIBIDAS_GASTOS!$X95&lt;&gt;"",RECIBIDAS_GASTOS!$Y95&lt;&gt;""),"S",IF('Registrar recibidas_gastos'!W95="","N",'Registrar recibidas_gastos'!W95)))</f>
        <v/>
      </c>
      <c r="X95" s="67" t="str">
        <f>IF('Registrar recibidas_gastos'!X95="","",'Registrar recibidas_gastos'!X95)</f>
        <v/>
      </c>
      <c r="Y95" s="61" t="str">
        <f>IF('Registrar recibidas_gastos'!Y95="","",'Registrar recibidas_gastos'!Y95)</f>
        <v/>
      </c>
      <c r="Z95" s="68" t="str">
        <f>IF('Registrar recibidas_gastos'!Z95="","",IF(AND(F95="",T95=""),"",IF(OR(T95="03",T95="05",T95="09"),AA95,SUM(AA95,AC95,AF95))))</f>
        <v/>
      </c>
      <c r="AA95" s="68" t="str">
        <f>IF('Registrar recibidas_gastos'!AA95="","",ROUND('Registrar recibidas_gastos'!AA95,2))</f>
        <v/>
      </c>
      <c r="AB95" s="61" t="str">
        <f>IF('Registrar recibidas_gastos'!AB95="","",'Registrar recibidas_gastos'!AB95)</f>
        <v/>
      </c>
      <c r="AC95" s="68" t="str">
        <f>IF(OR(T95="03",T95="05"),0,IF('Registrar recibidas_gastos'!AC95="","",ROUND(AA95*AB95/100,2)))</f>
        <v/>
      </c>
      <c r="AD95" s="68" t="str">
        <f>IF('Registrar recibidas_gastos'!AD95="","",ROUND('Registrar recibidas_gastos'!AD95,2))</f>
        <v/>
      </c>
      <c r="AE95" s="61" t="str">
        <f>IF('Registrar recibidas_gastos'!AE95="","",'Registrar recibidas_gastos'!AE95)</f>
        <v/>
      </c>
      <c r="AF95" s="68" t="str">
        <f>IF('Registrar recibidas_gastos'!AF95="","",ROUND(AA95*AE95/100,2))</f>
        <v/>
      </c>
      <c r="AG95" s="67" t="str">
        <f>IF('Registrar recibidas_gastos'!AG95="","",'Registrar recibidas_gastos'!AG95)</f>
        <v/>
      </c>
      <c r="AH95" s="68" t="str">
        <f>IF('Registrar recibidas_gastos'!AH95="","",'Registrar recibidas_gastos'!AH95)</f>
        <v/>
      </c>
      <c r="AI95" s="61" t="str">
        <f>IF('Registrar recibidas_gastos'!AI95="","",VLOOKUP(CONCATENATE("MEDIO UTILIZADO",'Registrar recibidas_gastos'!AI95),'CODIGO-LITERAL'!$C:$D,2,FALSE))</f>
        <v/>
      </c>
      <c r="AJ95" s="61" t="str">
        <f>IF('Registrar recibidas_gastos'!AJ95="","",'Registrar recibidas_gastos'!AJ95)</f>
        <v/>
      </c>
      <c r="AK95" s="62"/>
      <c r="AL95" s="69"/>
      <c r="AM95" s="61" t="str">
        <f>IF('Registrar recibidas_gastos'!AM95="","",'Registrar recibidas_gastos'!AM95)</f>
        <v/>
      </c>
      <c r="AN95" s="61" t="str">
        <f>IF('Registrar recibidas_gastos'!AN95="","",VLOOKUP(CONCATENATE("SITUACION",'Registrar recibidas_gastos'!AN95),'CODIGO-LITERAL'!$C:$D,2,FALSE))</f>
        <v/>
      </c>
      <c r="AO95" s="61" t="str">
        <f>IF('Registrar recibidas_gastos'!AO95="","",'Registrar recibidas_gastos'!AO95)</f>
        <v/>
      </c>
      <c r="AP95" s="61" t="str">
        <f>IF('Registrar recibidas_gastos'!AP95="","",'Registrar recibidas_gastos'!AP95)</f>
        <v/>
      </c>
    </row>
    <row r="96" spans="1:42" x14ac:dyDescent="0.25">
      <c r="A96" s="66" t="str">
        <f>IF('Registrar recibidas_gastos'!A96="","",'Registrar recibidas_gastos'!A96)</f>
        <v/>
      </c>
      <c r="B96" s="61" t="str">
        <f>IF('Registrar recibidas_gastos'!B96="","",'Registrar recibidas_gastos'!B96)</f>
        <v/>
      </c>
      <c r="C96" s="61" t="str">
        <f>IF('Registrar recibidas_gastos'!C96="","",VLOOKUP(CONCATENATE("ACTIVIDAD",'Registrar recibidas_gastos'!C96),'CODIGO-LITERAL'!$C:$D,2,FALSE))</f>
        <v/>
      </c>
      <c r="D96" s="60" t="str">
        <f>IF(OR(C96="C",C96="D"),"",IF(ISERROR(VLOOKUP(CONCATENATE(C96,'Registrar recibidas_gastos'!D96),'CODIGO-LITERAL'!$C:$D,2,FALSE)),"",VLOOKUP(CONCATENATE(C96,'Registrar recibidas_gastos'!D96),'CODIGO-LITERAL'!$C:$D,2,FALSE)))</f>
        <v/>
      </c>
      <c r="E96" s="61" t="str">
        <f>IF('Registrar recibidas_gastos'!E96="","",'Registrar recibidas_gastos'!E96)</f>
        <v/>
      </c>
      <c r="F96" s="61" t="str">
        <f>IF('Registrar recibidas_gastos'!F96="","",VLOOKUP(CONCATENATE("TIPO FACTURA GASTO",'Registrar recibidas_gastos'!F96),'CODIGO-LITERAL'!$C:$D,2,FALSE))</f>
        <v/>
      </c>
      <c r="G96" s="62"/>
      <c r="H96" s="62"/>
      <c r="I96" s="67" t="str">
        <f>IF('Registrar recibidas_gastos'!I96="","",'Registrar recibidas_gastos'!I96)</f>
        <v/>
      </c>
      <c r="J96" s="67" t="str">
        <f>IF('Registrar recibidas_gastos'!J96="","",'Registrar recibidas_gastos'!J96)</f>
        <v/>
      </c>
      <c r="K96" s="61" t="str">
        <f>IF('Registrar recibidas_gastos'!K96="","",'Registrar recibidas_gastos'!K96)</f>
        <v/>
      </c>
      <c r="L96" s="61" t="str">
        <f>IF('Registrar recibidas_gastos'!L96="","",'Registrar recibidas_gastos'!L96)</f>
        <v/>
      </c>
      <c r="M96" s="67" t="str">
        <f>IF('Registrar recibidas_gastos'!M96="","",'Registrar recibidas_gastos'!M96)</f>
        <v/>
      </c>
      <c r="N96" s="61" t="str">
        <f>IF('Registrar recibidas_gastos'!N96="","",'Registrar recibidas_gastos'!N96)</f>
        <v/>
      </c>
      <c r="O96" s="61" t="str">
        <f>IF('Registrar recibidas_gastos'!O96="","",'Registrar recibidas_gastos'!O96)</f>
        <v/>
      </c>
      <c r="P96" s="61" t="str">
        <f>IF(OR(LEFT('Registrar recibidas_gastos'!P96,2)="01",'Registrar recibidas_gastos'!P96=""),"",VLOOKUP(CONCATENATE("TIPO NIF",'Registrar recibidas_gastos'!P96),'CODIGO-LITERAL'!$C:$D,2,FALSE))</f>
        <v/>
      </c>
      <c r="Q96" s="61" t="str">
        <f>IF('Registrar recibidas_gastos'!Q96="","",'Registrar recibidas_gastos'!Q96)</f>
        <v/>
      </c>
      <c r="R96" s="61" t="str">
        <f>IF('Registrar recibidas_gastos'!R96="","",'Registrar recibidas_gastos'!R96)</f>
        <v/>
      </c>
      <c r="S96" s="61" t="str">
        <f>IF('Registrar recibidas_gastos'!S96="","",'Registrar recibidas_gastos'!S96)</f>
        <v/>
      </c>
      <c r="T96" s="61" t="str">
        <f>IF('Registrar recibidas_gastos'!T96="","",VLOOKUP(CONCATENATE("CLAVE OPERACION GASTO",'Registrar recibidas_gastos'!T96),'CODIGO-LITERAL'!$C:$D,2,FALSE))</f>
        <v/>
      </c>
      <c r="U96" s="61" t="str">
        <f>IF(T96="","",IF(OR(T96="02",T96="08"),"N",IF('Registrar recibidas_gastos'!U96="","N",'Registrar recibidas_gastos'!U96)))</f>
        <v/>
      </c>
      <c r="V96" s="61" t="str">
        <f>IF(T96="","",IF(OR(T96="07",T96="08",T96="09",F96="F5",F96="LC"),"N",IF('Registrar recibidas_gastos'!V96="","N",'Registrar recibidas_gastos'!V96)))</f>
        <v/>
      </c>
      <c r="W96" s="61" t="str">
        <f>IF(AND(X96="",Y96=""),"",IF(AND(RECIBIDAS_GASTOS!$X96&lt;&gt;"",RECIBIDAS_GASTOS!$Y96&lt;&gt;""),"S",IF('Registrar recibidas_gastos'!W96="","N",'Registrar recibidas_gastos'!W96)))</f>
        <v/>
      </c>
      <c r="X96" s="67" t="str">
        <f>IF('Registrar recibidas_gastos'!X96="","",'Registrar recibidas_gastos'!X96)</f>
        <v/>
      </c>
      <c r="Y96" s="61" t="str">
        <f>IF('Registrar recibidas_gastos'!Y96="","",'Registrar recibidas_gastos'!Y96)</f>
        <v/>
      </c>
      <c r="Z96" s="68" t="str">
        <f>IF('Registrar recibidas_gastos'!Z96="","",IF(AND(F96="",T96=""),"",IF(OR(T96="03",T96="05",T96="09"),AA96,SUM(AA96,AC96,AF96))))</f>
        <v/>
      </c>
      <c r="AA96" s="68" t="str">
        <f>IF('Registrar recibidas_gastos'!AA96="","",ROUND('Registrar recibidas_gastos'!AA96,2))</f>
        <v/>
      </c>
      <c r="AB96" s="61" t="str">
        <f>IF('Registrar recibidas_gastos'!AB96="","",'Registrar recibidas_gastos'!AB96)</f>
        <v/>
      </c>
      <c r="AC96" s="68" t="str">
        <f>IF(OR(T96="03",T96="05"),0,IF('Registrar recibidas_gastos'!AC96="","",ROUND(AA96*AB96/100,2)))</f>
        <v/>
      </c>
      <c r="AD96" s="68" t="str">
        <f>IF('Registrar recibidas_gastos'!AD96="","",ROUND('Registrar recibidas_gastos'!AD96,2))</f>
        <v/>
      </c>
      <c r="AE96" s="61" t="str">
        <f>IF('Registrar recibidas_gastos'!AE96="","",'Registrar recibidas_gastos'!AE96)</f>
        <v/>
      </c>
      <c r="AF96" s="68" t="str">
        <f>IF('Registrar recibidas_gastos'!AF96="","",ROUND(AA96*AE96/100,2))</f>
        <v/>
      </c>
      <c r="AG96" s="67" t="str">
        <f>IF('Registrar recibidas_gastos'!AG96="","",'Registrar recibidas_gastos'!AG96)</f>
        <v/>
      </c>
      <c r="AH96" s="68" t="str">
        <f>IF('Registrar recibidas_gastos'!AH96="","",'Registrar recibidas_gastos'!AH96)</f>
        <v/>
      </c>
      <c r="AI96" s="61" t="str">
        <f>IF('Registrar recibidas_gastos'!AI96="","",VLOOKUP(CONCATENATE("MEDIO UTILIZADO",'Registrar recibidas_gastos'!AI96),'CODIGO-LITERAL'!$C:$D,2,FALSE))</f>
        <v/>
      </c>
      <c r="AJ96" s="61" t="str">
        <f>IF('Registrar recibidas_gastos'!AJ96="","",'Registrar recibidas_gastos'!AJ96)</f>
        <v/>
      </c>
      <c r="AK96" s="62"/>
      <c r="AL96" s="69"/>
      <c r="AM96" s="61" t="str">
        <f>IF('Registrar recibidas_gastos'!AM96="","",'Registrar recibidas_gastos'!AM96)</f>
        <v/>
      </c>
      <c r="AN96" s="61" t="str">
        <f>IF('Registrar recibidas_gastos'!AN96="","",VLOOKUP(CONCATENATE("SITUACION",'Registrar recibidas_gastos'!AN96),'CODIGO-LITERAL'!$C:$D,2,FALSE))</f>
        <v/>
      </c>
      <c r="AO96" s="61" t="str">
        <f>IF('Registrar recibidas_gastos'!AO96="","",'Registrar recibidas_gastos'!AO96)</f>
        <v/>
      </c>
      <c r="AP96" s="61" t="str">
        <f>IF('Registrar recibidas_gastos'!AP96="","",'Registrar recibidas_gastos'!AP96)</f>
        <v/>
      </c>
    </row>
    <row r="97" spans="1:42" x14ac:dyDescent="0.25">
      <c r="A97" s="66" t="str">
        <f>IF('Registrar recibidas_gastos'!A97="","",'Registrar recibidas_gastos'!A97)</f>
        <v/>
      </c>
      <c r="B97" s="61" t="str">
        <f>IF('Registrar recibidas_gastos'!B97="","",'Registrar recibidas_gastos'!B97)</f>
        <v/>
      </c>
      <c r="C97" s="61" t="str">
        <f>IF('Registrar recibidas_gastos'!C97="","",VLOOKUP(CONCATENATE("ACTIVIDAD",'Registrar recibidas_gastos'!C97),'CODIGO-LITERAL'!$C:$D,2,FALSE))</f>
        <v/>
      </c>
      <c r="D97" s="60" t="str">
        <f>IF(OR(C97="C",C97="D"),"",IF(ISERROR(VLOOKUP(CONCATENATE(C97,'Registrar recibidas_gastos'!D97),'CODIGO-LITERAL'!$C:$D,2,FALSE)),"",VLOOKUP(CONCATENATE(C97,'Registrar recibidas_gastos'!D97),'CODIGO-LITERAL'!$C:$D,2,FALSE)))</f>
        <v/>
      </c>
      <c r="E97" s="61" t="str">
        <f>IF('Registrar recibidas_gastos'!E97="","",'Registrar recibidas_gastos'!E97)</f>
        <v/>
      </c>
      <c r="F97" s="61" t="str">
        <f>IF('Registrar recibidas_gastos'!F97="","",VLOOKUP(CONCATENATE("TIPO FACTURA GASTO",'Registrar recibidas_gastos'!F97),'CODIGO-LITERAL'!$C:$D,2,FALSE))</f>
        <v/>
      </c>
      <c r="G97" s="62"/>
      <c r="H97" s="62"/>
      <c r="I97" s="67" t="str">
        <f>IF('Registrar recibidas_gastos'!I97="","",'Registrar recibidas_gastos'!I97)</f>
        <v/>
      </c>
      <c r="J97" s="67" t="str">
        <f>IF('Registrar recibidas_gastos'!J97="","",'Registrar recibidas_gastos'!J97)</f>
        <v/>
      </c>
      <c r="K97" s="61" t="str">
        <f>IF('Registrar recibidas_gastos'!K97="","",'Registrar recibidas_gastos'!K97)</f>
        <v/>
      </c>
      <c r="L97" s="61" t="str">
        <f>IF('Registrar recibidas_gastos'!L97="","",'Registrar recibidas_gastos'!L97)</f>
        <v/>
      </c>
      <c r="M97" s="67" t="str">
        <f>IF('Registrar recibidas_gastos'!M97="","",'Registrar recibidas_gastos'!M97)</f>
        <v/>
      </c>
      <c r="N97" s="61" t="str">
        <f>IF('Registrar recibidas_gastos'!N97="","",'Registrar recibidas_gastos'!N97)</f>
        <v/>
      </c>
      <c r="O97" s="61" t="str">
        <f>IF('Registrar recibidas_gastos'!O97="","",'Registrar recibidas_gastos'!O97)</f>
        <v/>
      </c>
      <c r="P97" s="61" t="str">
        <f>IF(OR(LEFT('Registrar recibidas_gastos'!P97,2)="01",'Registrar recibidas_gastos'!P97=""),"",VLOOKUP(CONCATENATE("TIPO NIF",'Registrar recibidas_gastos'!P97),'CODIGO-LITERAL'!$C:$D,2,FALSE))</f>
        <v/>
      </c>
      <c r="Q97" s="61" t="str">
        <f>IF('Registrar recibidas_gastos'!Q97="","",'Registrar recibidas_gastos'!Q97)</f>
        <v/>
      </c>
      <c r="R97" s="61" t="str">
        <f>IF('Registrar recibidas_gastos'!R97="","",'Registrar recibidas_gastos'!R97)</f>
        <v/>
      </c>
      <c r="S97" s="61" t="str">
        <f>IF('Registrar recibidas_gastos'!S97="","",'Registrar recibidas_gastos'!S97)</f>
        <v/>
      </c>
      <c r="T97" s="61" t="str">
        <f>IF('Registrar recibidas_gastos'!T97="","",VLOOKUP(CONCATENATE("CLAVE OPERACION GASTO",'Registrar recibidas_gastos'!T97),'CODIGO-LITERAL'!$C:$D,2,FALSE))</f>
        <v/>
      </c>
      <c r="U97" s="61" t="str">
        <f>IF(T97="","",IF(OR(T97="02",T97="08"),"N",IF('Registrar recibidas_gastos'!U97="","N",'Registrar recibidas_gastos'!U97)))</f>
        <v/>
      </c>
      <c r="V97" s="61" t="str">
        <f>IF(T97="","",IF(OR(T97="07",T97="08",T97="09",F97="F5",F97="LC"),"N",IF('Registrar recibidas_gastos'!V97="","N",'Registrar recibidas_gastos'!V97)))</f>
        <v/>
      </c>
      <c r="W97" s="61" t="str">
        <f>IF(AND(X97="",Y97=""),"",IF(AND(RECIBIDAS_GASTOS!$X97&lt;&gt;"",RECIBIDAS_GASTOS!$Y97&lt;&gt;""),"S",IF('Registrar recibidas_gastos'!W97="","N",'Registrar recibidas_gastos'!W97)))</f>
        <v/>
      </c>
      <c r="X97" s="67" t="str">
        <f>IF('Registrar recibidas_gastos'!X97="","",'Registrar recibidas_gastos'!X97)</f>
        <v/>
      </c>
      <c r="Y97" s="61" t="str">
        <f>IF('Registrar recibidas_gastos'!Y97="","",'Registrar recibidas_gastos'!Y97)</f>
        <v/>
      </c>
      <c r="Z97" s="68" t="str">
        <f>IF('Registrar recibidas_gastos'!Z97="","",IF(AND(F97="",T97=""),"",IF(OR(T97="03",T97="05",T97="09"),AA97,SUM(AA97,AC97,AF97))))</f>
        <v/>
      </c>
      <c r="AA97" s="68" t="str">
        <f>IF('Registrar recibidas_gastos'!AA97="","",ROUND('Registrar recibidas_gastos'!AA97,2))</f>
        <v/>
      </c>
      <c r="AB97" s="61" t="str">
        <f>IF('Registrar recibidas_gastos'!AB97="","",'Registrar recibidas_gastos'!AB97)</f>
        <v/>
      </c>
      <c r="AC97" s="68" t="str">
        <f>IF(OR(T97="03",T97="05"),0,IF('Registrar recibidas_gastos'!AC97="","",ROUND(AA97*AB97/100,2)))</f>
        <v/>
      </c>
      <c r="AD97" s="68" t="str">
        <f>IF('Registrar recibidas_gastos'!AD97="","",ROUND('Registrar recibidas_gastos'!AD97,2))</f>
        <v/>
      </c>
      <c r="AE97" s="61" t="str">
        <f>IF('Registrar recibidas_gastos'!AE97="","",'Registrar recibidas_gastos'!AE97)</f>
        <v/>
      </c>
      <c r="AF97" s="68" t="str">
        <f>IF('Registrar recibidas_gastos'!AF97="","",ROUND(AA97*AE97/100,2))</f>
        <v/>
      </c>
      <c r="AG97" s="67" t="str">
        <f>IF('Registrar recibidas_gastos'!AG97="","",'Registrar recibidas_gastos'!AG97)</f>
        <v/>
      </c>
      <c r="AH97" s="68" t="str">
        <f>IF('Registrar recibidas_gastos'!AH97="","",'Registrar recibidas_gastos'!AH97)</f>
        <v/>
      </c>
      <c r="AI97" s="61" t="str">
        <f>IF('Registrar recibidas_gastos'!AI97="","",VLOOKUP(CONCATENATE("MEDIO UTILIZADO",'Registrar recibidas_gastos'!AI97),'CODIGO-LITERAL'!$C:$D,2,FALSE))</f>
        <v/>
      </c>
      <c r="AJ97" s="61" t="str">
        <f>IF('Registrar recibidas_gastos'!AJ97="","",'Registrar recibidas_gastos'!AJ97)</f>
        <v/>
      </c>
      <c r="AK97" s="62"/>
      <c r="AL97" s="69"/>
      <c r="AM97" s="61" t="str">
        <f>IF('Registrar recibidas_gastos'!AM97="","",'Registrar recibidas_gastos'!AM97)</f>
        <v/>
      </c>
      <c r="AN97" s="61" t="str">
        <f>IF('Registrar recibidas_gastos'!AN97="","",VLOOKUP(CONCATENATE("SITUACION",'Registrar recibidas_gastos'!AN97),'CODIGO-LITERAL'!$C:$D,2,FALSE))</f>
        <v/>
      </c>
      <c r="AO97" s="61" t="str">
        <f>IF('Registrar recibidas_gastos'!AO97="","",'Registrar recibidas_gastos'!AO97)</f>
        <v/>
      </c>
      <c r="AP97" s="61" t="str">
        <f>IF('Registrar recibidas_gastos'!AP97="","",'Registrar recibidas_gastos'!AP97)</f>
        <v/>
      </c>
    </row>
    <row r="98" spans="1:42" x14ac:dyDescent="0.25">
      <c r="A98" s="66" t="str">
        <f>IF('Registrar recibidas_gastos'!A98="","",'Registrar recibidas_gastos'!A98)</f>
        <v/>
      </c>
      <c r="B98" s="61" t="str">
        <f>IF('Registrar recibidas_gastos'!B98="","",'Registrar recibidas_gastos'!B98)</f>
        <v/>
      </c>
      <c r="C98" s="61" t="str">
        <f>IF('Registrar recibidas_gastos'!C98="","",VLOOKUP(CONCATENATE("ACTIVIDAD",'Registrar recibidas_gastos'!C98),'CODIGO-LITERAL'!$C:$D,2,FALSE))</f>
        <v/>
      </c>
      <c r="D98" s="60" t="str">
        <f>IF(OR(C98="C",C98="D"),"",IF(ISERROR(VLOOKUP(CONCATENATE(C98,'Registrar recibidas_gastos'!D98),'CODIGO-LITERAL'!$C:$D,2,FALSE)),"",VLOOKUP(CONCATENATE(C98,'Registrar recibidas_gastos'!D98),'CODIGO-LITERAL'!$C:$D,2,FALSE)))</f>
        <v/>
      </c>
      <c r="E98" s="61" t="str">
        <f>IF('Registrar recibidas_gastos'!E98="","",'Registrar recibidas_gastos'!E98)</f>
        <v/>
      </c>
      <c r="F98" s="61" t="str">
        <f>IF('Registrar recibidas_gastos'!F98="","",VLOOKUP(CONCATENATE("TIPO FACTURA GASTO",'Registrar recibidas_gastos'!F98),'CODIGO-LITERAL'!$C:$D,2,FALSE))</f>
        <v/>
      </c>
      <c r="G98" s="62"/>
      <c r="H98" s="62"/>
      <c r="I98" s="67" t="str">
        <f>IF('Registrar recibidas_gastos'!I98="","",'Registrar recibidas_gastos'!I98)</f>
        <v/>
      </c>
      <c r="J98" s="67" t="str">
        <f>IF('Registrar recibidas_gastos'!J98="","",'Registrar recibidas_gastos'!J98)</f>
        <v/>
      </c>
      <c r="K98" s="61" t="str">
        <f>IF('Registrar recibidas_gastos'!K98="","",'Registrar recibidas_gastos'!K98)</f>
        <v/>
      </c>
      <c r="L98" s="61" t="str">
        <f>IF('Registrar recibidas_gastos'!L98="","",'Registrar recibidas_gastos'!L98)</f>
        <v/>
      </c>
      <c r="M98" s="67" t="str">
        <f>IF('Registrar recibidas_gastos'!M98="","",'Registrar recibidas_gastos'!M98)</f>
        <v/>
      </c>
      <c r="N98" s="61" t="str">
        <f>IF('Registrar recibidas_gastos'!N98="","",'Registrar recibidas_gastos'!N98)</f>
        <v/>
      </c>
      <c r="O98" s="61" t="str">
        <f>IF('Registrar recibidas_gastos'!O98="","",'Registrar recibidas_gastos'!O98)</f>
        <v/>
      </c>
      <c r="P98" s="61" t="str">
        <f>IF(OR(LEFT('Registrar recibidas_gastos'!P98,2)="01",'Registrar recibidas_gastos'!P98=""),"",VLOOKUP(CONCATENATE("TIPO NIF",'Registrar recibidas_gastos'!P98),'CODIGO-LITERAL'!$C:$D,2,FALSE))</f>
        <v/>
      </c>
      <c r="Q98" s="61" t="str">
        <f>IF('Registrar recibidas_gastos'!Q98="","",'Registrar recibidas_gastos'!Q98)</f>
        <v/>
      </c>
      <c r="R98" s="61" t="str">
        <f>IF('Registrar recibidas_gastos'!R98="","",'Registrar recibidas_gastos'!R98)</f>
        <v/>
      </c>
      <c r="S98" s="61" t="str">
        <f>IF('Registrar recibidas_gastos'!S98="","",'Registrar recibidas_gastos'!S98)</f>
        <v/>
      </c>
      <c r="T98" s="61" t="str">
        <f>IF('Registrar recibidas_gastos'!T98="","",VLOOKUP(CONCATENATE("CLAVE OPERACION GASTO",'Registrar recibidas_gastos'!T98),'CODIGO-LITERAL'!$C:$D,2,FALSE))</f>
        <v/>
      </c>
      <c r="U98" s="61" t="str">
        <f>IF(T98="","",IF(OR(T98="02",T98="08"),"N",IF('Registrar recibidas_gastos'!U98="","N",'Registrar recibidas_gastos'!U98)))</f>
        <v/>
      </c>
      <c r="V98" s="61" t="str">
        <f>IF(T98="","",IF(OR(T98="07",T98="08",T98="09",F98="F5",F98="LC"),"N",IF('Registrar recibidas_gastos'!V98="","N",'Registrar recibidas_gastos'!V98)))</f>
        <v/>
      </c>
      <c r="W98" s="61" t="str">
        <f>IF(AND(X98="",Y98=""),"",IF(AND(RECIBIDAS_GASTOS!$X98&lt;&gt;"",RECIBIDAS_GASTOS!$Y98&lt;&gt;""),"S",IF('Registrar recibidas_gastos'!W98="","N",'Registrar recibidas_gastos'!W98)))</f>
        <v/>
      </c>
      <c r="X98" s="67" t="str">
        <f>IF('Registrar recibidas_gastos'!X98="","",'Registrar recibidas_gastos'!X98)</f>
        <v/>
      </c>
      <c r="Y98" s="61" t="str">
        <f>IF('Registrar recibidas_gastos'!Y98="","",'Registrar recibidas_gastos'!Y98)</f>
        <v/>
      </c>
      <c r="Z98" s="68" t="str">
        <f>IF('Registrar recibidas_gastos'!Z98="","",IF(AND(F98="",T98=""),"",IF(OR(T98="03",T98="05",T98="09"),AA98,SUM(AA98,AC98,AF98))))</f>
        <v/>
      </c>
      <c r="AA98" s="68" t="str">
        <f>IF('Registrar recibidas_gastos'!AA98="","",ROUND('Registrar recibidas_gastos'!AA98,2))</f>
        <v/>
      </c>
      <c r="AB98" s="61" t="str">
        <f>IF('Registrar recibidas_gastos'!AB98="","",'Registrar recibidas_gastos'!AB98)</f>
        <v/>
      </c>
      <c r="AC98" s="68" t="str">
        <f>IF(OR(T98="03",T98="05"),0,IF('Registrar recibidas_gastos'!AC98="","",ROUND(AA98*AB98/100,2)))</f>
        <v/>
      </c>
      <c r="AD98" s="68" t="str">
        <f>IF('Registrar recibidas_gastos'!AD98="","",ROUND('Registrar recibidas_gastos'!AD98,2))</f>
        <v/>
      </c>
      <c r="AE98" s="61" t="str">
        <f>IF('Registrar recibidas_gastos'!AE98="","",'Registrar recibidas_gastos'!AE98)</f>
        <v/>
      </c>
      <c r="AF98" s="68" t="str">
        <f>IF('Registrar recibidas_gastos'!AF98="","",ROUND(AA98*AE98/100,2))</f>
        <v/>
      </c>
      <c r="AG98" s="67" t="str">
        <f>IF('Registrar recibidas_gastos'!AG98="","",'Registrar recibidas_gastos'!AG98)</f>
        <v/>
      </c>
      <c r="AH98" s="68" t="str">
        <f>IF('Registrar recibidas_gastos'!AH98="","",'Registrar recibidas_gastos'!AH98)</f>
        <v/>
      </c>
      <c r="AI98" s="61" t="str">
        <f>IF('Registrar recibidas_gastos'!AI98="","",VLOOKUP(CONCATENATE("MEDIO UTILIZADO",'Registrar recibidas_gastos'!AI98),'CODIGO-LITERAL'!$C:$D,2,FALSE))</f>
        <v/>
      </c>
      <c r="AJ98" s="61" t="str">
        <f>IF('Registrar recibidas_gastos'!AJ98="","",'Registrar recibidas_gastos'!AJ98)</f>
        <v/>
      </c>
      <c r="AK98" s="62"/>
      <c r="AL98" s="69"/>
      <c r="AM98" s="61" t="str">
        <f>IF('Registrar recibidas_gastos'!AM98="","",'Registrar recibidas_gastos'!AM98)</f>
        <v/>
      </c>
      <c r="AN98" s="61" t="str">
        <f>IF('Registrar recibidas_gastos'!AN98="","",VLOOKUP(CONCATENATE("SITUACION",'Registrar recibidas_gastos'!AN98),'CODIGO-LITERAL'!$C:$D,2,FALSE))</f>
        <v/>
      </c>
      <c r="AO98" s="61" t="str">
        <f>IF('Registrar recibidas_gastos'!AO98="","",'Registrar recibidas_gastos'!AO98)</f>
        <v/>
      </c>
      <c r="AP98" s="61" t="str">
        <f>IF('Registrar recibidas_gastos'!AP98="","",'Registrar recibidas_gastos'!AP98)</f>
        <v/>
      </c>
    </row>
    <row r="99" spans="1:42" x14ac:dyDescent="0.25">
      <c r="A99" s="66" t="str">
        <f>IF('Registrar recibidas_gastos'!A99="","",'Registrar recibidas_gastos'!A99)</f>
        <v/>
      </c>
      <c r="B99" s="61" t="str">
        <f>IF('Registrar recibidas_gastos'!B99="","",'Registrar recibidas_gastos'!B99)</f>
        <v/>
      </c>
      <c r="C99" s="61" t="str">
        <f>IF('Registrar recibidas_gastos'!C99="","",VLOOKUP(CONCATENATE("ACTIVIDAD",'Registrar recibidas_gastos'!C99),'CODIGO-LITERAL'!$C:$D,2,FALSE))</f>
        <v/>
      </c>
      <c r="D99" s="60" t="str">
        <f>IF(OR(C99="C",C99="D"),"",IF(ISERROR(VLOOKUP(CONCATENATE(C99,'Registrar recibidas_gastos'!D99),'CODIGO-LITERAL'!$C:$D,2,FALSE)),"",VLOOKUP(CONCATENATE(C99,'Registrar recibidas_gastos'!D99),'CODIGO-LITERAL'!$C:$D,2,FALSE)))</f>
        <v/>
      </c>
      <c r="E99" s="61" t="str">
        <f>IF('Registrar recibidas_gastos'!E99="","",'Registrar recibidas_gastos'!E99)</f>
        <v/>
      </c>
      <c r="F99" s="61" t="str">
        <f>IF('Registrar recibidas_gastos'!F99="","",VLOOKUP(CONCATENATE("TIPO FACTURA GASTO",'Registrar recibidas_gastos'!F99),'CODIGO-LITERAL'!$C:$D,2,FALSE))</f>
        <v/>
      </c>
      <c r="G99" s="62"/>
      <c r="H99" s="62"/>
      <c r="I99" s="67" t="str">
        <f>IF('Registrar recibidas_gastos'!I99="","",'Registrar recibidas_gastos'!I99)</f>
        <v/>
      </c>
      <c r="J99" s="67" t="str">
        <f>IF('Registrar recibidas_gastos'!J99="","",'Registrar recibidas_gastos'!J99)</f>
        <v/>
      </c>
      <c r="K99" s="61" t="str">
        <f>IF('Registrar recibidas_gastos'!K99="","",'Registrar recibidas_gastos'!K99)</f>
        <v/>
      </c>
      <c r="L99" s="61" t="str">
        <f>IF('Registrar recibidas_gastos'!L99="","",'Registrar recibidas_gastos'!L99)</f>
        <v/>
      </c>
      <c r="M99" s="67" t="str">
        <f>IF('Registrar recibidas_gastos'!M99="","",'Registrar recibidas_gastos'!M99)</f>
        <v/>
      </c>
      <c r="N99" s="61" t="str">
        <f>IF('Registrar recibidas_gastos'!N99="","",'Registrar recibidas_gastos'!N99)</f>
        <v/>
      </c>
      <c r="O99" s="61" t="str">
        <f>IF('Registrar recibidas_gastos'!O99="","",'Registrar recibidas_gastos'!O99)</f>
        <v/>
      </c>
      <c r="P99" s="61" t="str">
        <f>IF(OR(LEFT('Registrar recibidas_gastos'!P99,2)="01",'Registrar recibidas_gastos'!P99=""),"",VLOOKUP(CONCATENATE("TIPO NIF",'Registrar recibidas_gastos'!P99),'CODIGO-LITERAL'!$C:$D,2,FALSE))</f>
        <v/>
      </c>
      <c r="Q99" s="61" t="str">
        <f>IF('Registrar recibidas_gastos'!Q99="","",'Registrar recibidas_gastos'!Q99)</f>
        <v/>
      </c>
      <c r="R99" s="61" t="str">
        <f>IF('Registrar recibidas_gastos'!R99="","",'Registrar recibidas_gastos'!R99)</f>
        <v/>
      </c>
      <c r="S99" s="61" t="str">
        <f>IF('Registrar recibidas_gastos'!S99="","",'Registrar recibidas_gastos'!S99)</f>
        <v/>
      </c>
      <c r="T99" s="61" t="str">
        <f>IF('Registrar recibidas_gastos'!T99="","",VLOOKUP(CONCATENATE("CLAVE OPERACION GASTO",'Registrar recibidas_gastos'!T99),'CODIGO-LITERAL'!$C:$D,2,FALSE))</f>
        <v/>
      </c>
      <c r="U99" s="61" t="str">
        <f>IF(T99="","",IF(OR(T99="02",T99="08"),"N",IF('Registrar recibidas_gastos'!U99="","N",'Registrar recibidas_gastos'!U99)))</f>
        <v/>
      </c>
      <c r="V99" s="61" t="str">
        <f>IF(T99="","",IF(OR(T99="07",T99="08",T99="09",F99="F5",F99="LC"),"N",IF('Registrar recibidas_gastos'!V99="","N",'Registrar recibidas_gastos'!V99)))</f>
        <v/>
      </c>
      <c r="W99" s="61" t="str">
        <f>IF(AND(X99="",Y99=""),"",IF(AND(RECIBIDAS_GASTOS!$X99&lt;&gt;"",RECIBIDAS_GASTOS!$Y99&lt;&gt;""),"S",IF('Registrar recibidas_gastos'!W99="","N",'Registrar recibidas_gastos'!W99)))</f>
        <v/>
      </c>
      <c r="X99" s="67" t="str">
        <f>IF('Registrar recibidas_gastos'!X99="","",'Registrar recibidas_gastos'!X99)</f>
        <v/>
      </c>
      <c r="Y99" s="61" t="str">
        <f>IF('Registrar recibidas_gastos'!Y99="","",'Registrar recibidas_gastos'!Y99)</f>
        <v/>
      </c>
      <c r="Z99" s="68" t="str">
        <f>IF('Registrar recibidas_gastos'!Z99="","",IF(AND(F99="",T99=""),"",IF(OR(T99="03",T99="05",T99="09"),AA99,SUM(AA99,AC99,AF99))))</f>
        <v/>
      </c>
      <c r="AA99" s="68" t="str">
        <f>IF('Registrar recibidas_gastos'!AA99="","",ROUND('Registrar recibidas_gastos'!AA99,2))</f>
        <v/>
      </c>
      <c r="AB99" s="61" t="str">
        <f>IF('Registrar recibidas_gastos'!AB99="","",'Registrar recibidas_gastos'!AB99)</f>
        <v/>
      </c>
      <c r="AC99" s="68" t="str">
        <f>IF(OR(T99="03",T99="05"),0,IF('Registrar recibidas_gastos'!AC99="","",ROUND(AA99*AB99/100,2)))</f>
        <v/>
      </c>
      <c r="AD99" s="68" t="str">
        <f>IF('Registrar recibidas_gastos'!AD99="","",ROUND('Registrar recibidas_gastos'!AD99,2))</f>
        <v/>
      </c>
      <c r="AE99" s="61" t="str">
        <f>IF('Registrar recibidas_gastos'!AE99="","",'Registrar recibidas_gastos'!AE99)</f>
        <v/>
      </c>
      <c r="AF99" s="68" t="str">
        <f>IF('Registrar recibidas_gastos'!AF99="","",ROUND(AA99*AE99/100,2))</f>
        <v/>
      </c>
      <c r="AG99" s="67" t="str">
        <f>IF('Registrar recibidas_gastos'!AG99="","",'Registrar recibidas_gastos'!AG99)</f>
        <v/>
      </c>
      <c r="AH99" s="68" t="str">
        <f>IF('Registrar recibidas_gastos'!AH99="","",'Registrar recibidas_gastos'!AH99)</f>
        <v/>
      </c>
      <c r="AI99" s="61" t="str">
        <f>IF('Registrar recibidas_gastos'!AI99="","",VLOOKUP(CONCATENATE("MEDIO UTILIZADO",'Registrar recibidas_gastos'!AI99),'CODIGO-LITERAL'!$C:$D,2,FALSE))</f>
        <v/>
      </c>
      <c r="AJ99" s="61" t="str">
        <f>IF('Registrar recibidas_gastos'!AJ99="","",'Registrar recibidas_gastos'!AJ99)</f>
        <v/>
      </c>
      <c r="AK99" s="62"/>
      <c r="AL99" s="69"/>
      <c r="AM99" s="61" t="str">
        <f>IF('Registrar recibidas_gastos'!AM99="","",'Registrar recibidas_gastos'!AM99)</f>
        <v/>
      </c>
      <c r="AN99" s="61" t="str">
        <f>IF('Registrar recibidas_gastos'!AN99="","",VLOOKUP(CONCATENATE("SITUACION",'Registrar recibidas_gastos'!AN99),'CODIGO-LITERAL'!$C:$D,2,FALSE))</f>
        <v/>
      </c>
      <c r="AO99" s="61" t="str">
        <f>IF('Registrar recibidas_gastos'!AO99="","",'Registrar recibidas_gastos'!AO99)</f>
        <v/>
      </c>
      <c r="AP99" s="61" t="str">
        <f>IF('Registrar recibidas_gastos'!AP99="","",'Registrar recibidas_gastos'!AP99)</f>
        <v/>
      </c>
    </row>
    <row r="100" spans="1:42" x14ac:dyDescent="0.25">
      <c r="A100" s="66" t="str">
        <f>IF('Registrar recibidas_gastos'!A100="","",'Registrar recibidas_gastos'!A100)</f>
        <v/>
      </c>
      <c r="B100" s="61" t="str">
        <f>IF('Registrar recibidas_gastos'!B100="","",'Registrar recibidas_gastos'!B100)</f>
        <v/>
      </c>
      <c r="C100" s="61" t="str">
        <f>IF('Registrar recibidas_gastos'!C100="","",VLOOKUP(CONCATENATE("ACTIVIDAD",'Registrar recibidas_gastos'!C100),'CODIGO-LITERAL'!$C:$D,2,FALSE))</f>
        <v/>
      </c>
      <c r="D100" s="60" t="str">
        <f>IF(OR(C100="C",C100="D"),"",IF(ISERROR(VLOOKUP(CONCATENATE(C100,'Registrar recibidas_gastos'!D100),'CODIGO-LITERAL'!$C:$D,2,FALSE)),"",VLOOKUP(CONCATENATE(C100,'Registrar recibidas_gastos'!D100),'CODIGO-LITERAL'!$C:$D,2,FALSE)))</f>
        <v/>
      </c>
      <c r="E100" s="61" t="str">
        <f>IF('Registrar recibidas_gastos'!E100="","",'Registrar recibidas_gastos'!E100)</f>
        <v/>
      </c>
      <c r="F100" s="61" t="str">
        <f>IF('Registrar recibidas_gastos'!F100="","",VLOOKUP(CONCATENATE("TIPO FACTURA GASTO",'Registrar recibidas_gastos'!F100),'CODIGO-LITERAL'!$C:$D,2,FALSE))</f>
        <v/>
      </c>
      <c r="G100" s="62"/>
      <c r="H100" s="62"/>
      <c r="I100" s="67" t="str">
        <f>IF('Registrar recibidas_gastos'!I100="","",'Registrar recibidas_gastos'!I100)</f>
        <v/>
      </c>
      <c r="J100" s="67" t="str">
        <f>IF('Registrar recibidas_gastos'!J100="","",'Registrar recibidas_gastos'!J100)</f>
        <v/>
      </c>
      <c r="K100" s="61" t="str">
        <f>IF('Registrar recibidas_gastos'!K100="","",'Registrar recibidas_gastos'!K100)</f>
        <v/>
      </c>
      <c r="L100" s="61" t="str">
        <f>IF('Registrar recibidas_gastos'!L100="","",'Registrar recibidas_gastos'!L100)</f>
        <v/>
      </c>
      <c r="M100" s="67" t="str">
        <f>IF('Registrar recibidas_gastos'!M100="","",'Registrar recibidas_gastos'!M100)</f>
        <v/>
      </c>
      <c r="N100" s="61" t="str">
        <f>IF('Registrar recibidas_gastos'!N100="","",'Registrar recibidas_gastos'!N100)</f>
        <v/>
      </c>
      <c r="O100" s="61" t="str">
        <f>IF('Registrar recibidas_gastos'!O100="","",'Registrar recibidas_gastos'!O100)</f>
        <v/>
      </c>
      <c r="P100" s="61" t="str">
        <f>IF(OR(LEFT('Registrar recibidas_gastos'!P100,2)="01",'Registrar recibidas_gastos'!P100=""),"",VLOOKUP(CONCATENATE("TIPO NIF",'Registrar recibidas_gastos'!P100),'CODIGO-LITERAL'!$C:$D,2,FALSE))</f>
        <v/>
      </c>
      <c r="Q100" s="61" t="str">
        <f>IF('Registrar recibidas_gastos'!Q100="","",'Registrar recibidas_gastos'!Q100)</f>
        <v/>
      </c>
      <c r="R100" s="61" t="str">
        <f>IF('Registrar recibidas_gastos'!R100="","",'Registrar recibidas_gastos'!R100)</f>
        <v/>
      </c>
      <c r="S100" s="61" t="str">
        <f>IF('Registrar recibidas_gastos'!S100="","",'Registrar recibidas_gastos'!S100)</f>
        <v/>
      </c>
      <c r="T100" s="61" t="str">
        <f>IF('Registrar recibidas_gastos'!T100="","",VLOOKUP(CONCATENATE("CLAVE OPERACION GASTO",'Registrar recibidas_gastos'!T100),'CODIGO-LITERAL'!$C:$D,2,FALSE))</f>
        <v/>
      </c>
      <c r="U100" s="61" t="str">
        <f>IF(T100="","",IF(OR(T100="02",T100="08"),"N",IF('Registrar recibidas_gastos'!U100="","N",'Registrar recibidas_gastos'!U100)))</f>
        <v/>
      </c>
      <c r="V100" s="61" t="str">
        <f>IF(T100="","",IF(OR(T100="07",T100="08",T100="09",F100="F5",F100="LC"),"N",IF('Registrar recibidas_gastos'!V100="","N",'Registrar recibidas_gastos'!V100)))</f>
        <v/>
      </c>
      <c r="W100" s="61" t="str">
        <f>IF(AND(X100="",Y100=""),"",IF(AND(RECIBIDAS_GASTOS!$X100&lt;&gt;"",RECIBIDAS_GASTOS!$Y100&lt;&gt;""),"S",IF('Registrar recibidas_gastos'!W100="","N",'Registrar recibidas_gastos'!W100)))</f>
        <v/>
      </c>
      <c r="X100" s="67" t="str">
        <f>IF('Registrar recibidas_gastos'!X100="","",'Registrar recibidas_gastos'!X100)</f>
        <v/>
      </c>
      <c r="Y100" s="61" t="str">
        <f>IF('Registrar recibidas_gastos'!Y100="","",'Registrar recibidas_gastos'!Y100)</f>
        <v/>
      </c>
      <c r="Z100" s="68" t="str">
        <f>IF('Registrar recibidas_gastos'!Z100="","",IF(AND(F100="",T100=""),"",IF(OR(T100="03",T100="05",T100="09"),AA100,SUM(AA100,AC100,AF100))))</f>
        <v/>
      </c>
      <c r="AA100" s="68" t="str">
        <f>IF('Registrar recibidas_gastos'!AA100="","",ROUND('Registrar recibidas_gastos'!AA100,2))</f>
        <v/>
      </c>
      <c r="AB100" s="61" t="str">
        <f>IF('Registrar recibidas_gastos'!AB100="","",'Registrar recibidas_gastos'!AB100)</f>
        <v/>
      </c>
      <c r="AC100" s="68" t="str">
        <f>IF(OR(T100="03",T100="05"),0,IF('Registrar recibidas_gastos'!AC100="","",ROUND(AA100*AB100/100,2)))</f>
        <v/>
      </c>
      <c r="AD100" s="68" t="str">
        <f>IF('Registrar recibidas_gastos'!AD100="","",ROUND('Registrar recibidas_gastos'!AD100,2))</f>
        <v/>
      </c>
      <c r="AE100" s="61" t="str">
        <f>IF('Registrar recibidas_gastos'!AE100="","",'Registrar recibidas_gastos'!AE100)</f>
        <v/>
      </c>
      <c r="AF100" s="68" t="str">
        <f>IF('Registrar recibidas_gastos'!AF100="","",ROUND(AA100*AE100/100,2))</f>
        <v/>
      </c>
      <c r="AG100" s="67" t="str">
        <f>IF('Registrar recibidas_gastos'!AG100="","",'Registrar recibidas_gastos'!AG100)</f>
        <v/>
      </c>
      <c r="AH100" s="68" t="str">
        <f>IF('Registrar recibidas_gastos'!AH100="","",'Registrar recibidas_gastos'!AH100)</f>
        <v/>
      </c>
      <c r="AI100" s="61" t="str">
        <f>IF('Registrar recibidas_gastos'!AI100="","",VLOOKUP(CONCATENATE("MEDIO UTILIZADO",'Registrar recibidas_gastos'!AI100),'CODIGO-LITERAL'!$C:$D,2,FALSE))</f>
        <v/>
      </c>
      <c r="AJ100" s="61" t="str">
        <f>IF('Registrar recibidas_gastos'!AJ100="","",'Registrar recibidas_gastos'!AJ100)</f>
        <v/>
      </c>
      <c r="AK100" s="62"/>
      <c r="AL100" s="69"/>
      <c r="AM100" s="61" t="str">
        <f>IF('Registrar recibidas_gastos'!AM100="","",'Registrar recibidas_gastos'!AM100)</f>
        <v/>
      </c>
      <c r="AN100" s="61" t="str">
        <f>IF('Registrar recibidas_gastos'!AN100="","",VLOOKUP(CONCATENATE("SITUACION",'Registrar recibidas_gastos'!AN100),'CODIGO-LITERAL'!$C:$D,2,FALSE))</f>
        <v/>
      </c>
      <c r="AO100" s="61" t="str">
        <f>IF('Registrar recibidas_gastos'!AO100="","",'Registrar recibidas_gastos'!AO100)</f>
        <v/>
      </c>
      <c r="AP100" s="61" t="str">
        <f>IF('Registrar recibidas_gastos'!AP100="","",'Registrar recibidas_gastos'!AP100)</f>
        <v/>
      </c>
    </row>
    <row r="101" spans="1:42" x14ac:dyDescent="0.25">
      <c r="A101" s="66" t="str">
        <f>IF('Registrar recibidas_gastos'!A101="","",'Registrar recibidas_gastos'!A101)</f>
        <v/>
      </c>
      <c r="B101" s="61" t="str">
        <f>IF('Registrar recibidas_gastos'!B101="","",'Registrar recibidas_gastos'!B101)</f>
        <v/>
      </c>
      <c r="C101" s="61" t="str">
        <f>IF('Registrar recibidas_gastos'!C101="","",VLOOKUP(CONCATENATE("ACTIVIDAD",'Registrar recibidas_gastos'!C101),'CODIGO-LITERAL'!$C:$D,2,FALSE))</f>
        <v/>
      </c>
      <c r="D101" s="60" t="str">
        <f>IF(OR(C101="C",C101="D"),"",IF(ISERROR(VLOOKUP(CONCATENATE(C101,'Registrar recibidas_gastos'!D101),'CODIGO-LITERAL'!$C:$D,2,FALSE)),"",VLOOKUP(CONCATENATE(C101,'Registrar recibidas_gastos'!D101),'CODIGO-LITERAL'!$C:$D,2,FALSE)))</f>
        <v/>
      </c>
      <c r="E101" s="61" t="str">
        <f>IF('Registrar recibidas_gastos'!E101="","",'Registrar recibidas_gastos'!E101)</f>
        <v/>
      </c>
      <c r="F101" s="61" t="str">
        <f>IF('Registrar recibidas_gastos'!F101="","",VLOOKUP(CONCATENATE("TIPO FACTURA GASTO",'Registrar recibidas_gastos'!F101),'CODIGO-LITERAL'!$C:$D,2,FALSE))</f>
        <v/>
      </c>
      <c r="G101" s="62"/>
      <c r="H101" s="62"/>
      <c r="I101" s="67" t="str">
        <f>IF('Registrar recibidas_gastos'!I101="","",'Registrar recibidas_gastos'!I101)</f>
        <v/>
      </c>
      <c r="J101" s="67" t="str">
        <f>IF('Registrar recibidas_gastos'!J101="","",'Registrar recibidas_gastos'!J101)</f>
        <v/>
      </c>
      <c r="K101" s="61" t="str">
        <f>IF('Registrar recibidas_gastos'!K101="","",'Registrar recibidas_gastos'!K101)</f>
        <v/>
      </c>
      <c r="L101" s="61" t="str">
        <f>IF('Registrar recibidas_gastos'!L101="","",'Registrar recibidas_gastos'!L101)</f>
        <v/>
      </c>
      <c r="M101" s="67" t="str">
        <f>IF('Registrar recibidas_gastos'!M101="","",'Registrar recibidas_gastos'!M101)</f>
        <v/>
      </c>
      <c r="N101" s="61" t="str">
        <f>IF('Registrar recibidas_gastos'!N101="","",'Registrar recibidas_gastos'!N101)</f>
        <v/>
      </c>
      <c r="O101" s="61" t="str">
        <f>IF('Registrar recibidas_gastos'!O101="","",'Registrar recibidas_gastos'!O101)</f>
        <v/>
      </c>
      <c r="P101" s="61" t="str">
        <f>IF(OR(LEFT('Registrar recibidas_gastos'!P101,2)="01",'Registrar recibidas_gastos'!P101=""),"",VLOOKUP(CONCATENATE("TIPO NIF",'Registrar recibidas_gastos'!P101),'CODIGO-LITERAL'!$C:$D,2,FALSE))</f>
        <v/>
      </c>
      <c r="Q101" s="61" t="str">
        <f>IF('Registrar recibidas_gastos'!Q101="","",'Registrar recibidas_gastos'!Q101)</f>
        <v/>
      </c>
      <c r="R101" s="61" t="str">
        <f>IF('Registrar recibidas_gastos'!R101="","",'Registrar recibidas_gastos'!R101)</f>
        <v/>
      </c>
      <c r="S101" s="61" t="str">
        <f>IF('Registrar recibidas_gastos'!S101="","",'Registrar recibidas_gastos'!S101)</f>
        <v/>
      </c>
      <c r="T101" s="61" t="str">
        <f>IF('Registrar recibidas_gastos'!T101="","",VLOOKUP(CONCATENATE("CLAVE OPERACION GASTO",'Registrar recibidas_gastos'!T101),'CODIGO-LITERAL'!$C:$D,2,FALSE))</f>
        <v/>
      </c>
      <c r="U101" s="61" t="str">
        <f>IF(T101="","",IF(OR(T101="02",T101="08"),"N",IF('Registrar recibidas_gastos'!U101="","N",'Registrar recibidas_gastos'!U101)))</f>
        <v/>
      </c>
      <c r="V101" s="61" t="str">
        <f>IF(T101="","",IF(OR(T101="07",T101="08",T101="09",F101="F5",F101="LC"),"N",IF('Registrar recibidas_gastos'!V101="","N",'Registrar recibidas_gastos'!V101)))</f>
        <v/>
      </c>
      <c r="W101" s="61" t="str">
        <f>IF(AND(X101="",Y101=""),"",IF(AND(RECIBIDAS_GASTOS!$X101&lt;&gt;"",RECIBIDAS_GASTOS!$Y101&lt;&gt;""),"S",IF('Registrar recibidas_gastos'!W101="","N",'Registrar recibidas_gastos'!W101)))</f>
        <v/>
      </c>
      <c r="X101" s="67" t="str">
        <f>IF('Registrar recibidas_gastos'!X101="","",'Registrar recibidas_gastos'!X101)</f>
        <v/>
      </c>
      <c r="Y101" s="61" t="str">
        <f>IF('Registrar recibidas_gastos'!Y101="","",'Registrar recibidas_gastos'!Y101)</f>
        <v/>
      </c>
      <c r="Z101" s="68" t="str">
        <f>IF('Registrar recibidas_gastos'!Z101="","",IF(AND(F101="",T101=""),"",IF(OR(T101="03",T101="05",T101="09"),AA101,SUM(AA101,AC101,AF101))))</f>
        <v/>
      </c>
      <c r="AA101" s="68" t="str">
        <f>IF('Registrar recibidas_gastos'!AA101="","",ROUND('Registrar recibidas_gastos'!AA101,2))</f>
        <v/>
      </c>
      <c r="AB101" s="61" t="str">
        <f>IF('Registrar recibidas_gastos'!AB101="","",'Registrar recibidas_gastos'!AB101)</f>
        <v/>
      </c>
      <c r="AC101" s="68" t="str">
        <f>IF(OR(T101="03",T101="05"),0,IF('Registrar recibidas_gastos'!AC101="","",ROUND(AA101*AB101/100,2)))</f>
        <v/>
      </c>
      <c r="AD101" s="68" t="str">
        <f>IF('Registrar recibidas_gastos'!AD101="","",ROUND('Registrar recibidas_gastos'!AD101,2))</f>
        <v/>
      </c>
      <c r="AE101" s="61" t="str">
        <f>IF('Registrar recibidas_gastos'!AE101="","",'Registrar recibidas_gastos'!AE101)</f>
        <v/>
      </c>
      <c r="AF101" s="68" t="str">
        <f>IF('Registrar recibidas_gastos'!AF101="","",ROUND(AA101*AE101/100,2))</f>
        <v/>
      </c>
      <c r="AG101" s="67" t="str">
        <f>IF('Registrar recibidas_gastos'!AG101="","",'Registrar recibidas_gastos'!AG101)</f>
        <v/>
      </c>
      <c r="AH101" s="68" t="str">
        <f>IF('Registrar recibidas_gastos'!AH101="","",'Registrar recibidas_gastos'!AH101)</f>
        <v/>
      </c>
      <c r="AI101" s="61" t="str">
        <f>IF('Registrar recibidas_gastos'!AI101="","",VLOOKUP(CONCATENATE("MEDIO UTILIZADO",'Registrar recibidas_gastos'!AI101),'CODIGO-LITERAL'!$C:$D,2,FALSE))</f>
        <v/>
      </c>
      <c r="AJ101" s="61" t="str">
        <f>IF('Registrar recibidas_gastos'!AJ101="","",'Registrar recibidas_gastos'!AJ101)</f>
        <v/>
      </c>
      <c r="AK101" s="62"/>
      <c r="AL101" s="69"/>
      <c r="AM101" s="61" t="str">
        <f>IF('Registrar recibidas_gastos'!AM101="","",'Registrar recibidas_gastos'!AM101)</f>
        <v/>
      </c>
      <c r="AN101" s="61" t="str">
        <f>IF('Registrar recibidas_gastos'!AN101="","",VLOOKUP(CONCATENATE("SITUACION",'Registrar recibidas_gastos'!AN101),'CODIGO-LITERAL'!$C:$D,2,FALSE))</f>
        <v/>
      </c>
      <c r="AO101" s="61" t="str">
        <f>IF('Registrar recibidas_gastos'!AO101="","",'Registrar recibidas_gastos'!AO101)</f>
        <v/>
      </c>
      <c r="AP101" s="61" t="str">
        <f>IF('Registrar recibidas_gastos'!AP101="","",'Registrar recibidas_gastos'!AP101)</f>
        <v/>
      </c>
    </row>
    <row r="102" spans="1:42" x14ac:dyDescent="0.25">
      <c r="A102" s="66" t="str">
        <f>IF('Registrar recibidas_gastos'!A102="","",'Registrar recibidas_gastos'!A102)</f>
        <v/>
      </c>
      <c r="B102" s="61" t="str">
        <f>IF('Registrar recibidas_gastos'!B102="","",'Registrar recibidas_gastos'!B102)</f>
        <v/>
      </c>
      <c r="C102" s="61" t="str">
        <f>IF('Registrar recibidas_gastos'!C102="","",VLOOKUP(CONCATENATE("ACTIVIDAD",'Registrar recibidas_gastos'!C102),'CODIGO-LITERAL'!$C:$D,2,FALSE))</f>
        <v/>
      </c>
      <c r="D102" s="60" t="str">
        <f>IF(OR(C102="C",C102="D"),"",IF(ISERROR(VLOOKUP(CONCATENATE(C102,'Registrar recibidas_gastos'!D102),'CODIGO-LITERAL'!$C:$D,2,FALSE)),"",VLOOKUP(CONCATENATE(C102,'Registrar recibidas_gastos'!D102),'CODIGO-LITERAL'!$C:$D,2,FALSE)))</f>
        <v/>
      </c>
      <c r="E102" s="61" t="str">
        <f>IF('Registrar recibidas_gastos'!E102="","",'Registrar recibidas_gastos'!E102)</f>
        <v/>
      </c>
      <c r="F102" s="61" t="str">
        <f>IF('Registrar recibidas_gastos'!F102="","",VLOOKUP(CONCATENATE("TIPO FACTURA GASTO",'Registrar recibidas_gastos'!F102),'CODIGO-LITERAL'!$C:$D,2,FALSE))</f>
        <v/>
      </c>
      <c r="G102" s="62"/>
      <c r="H102" s="62"/>
      <c r="I102" s="67" t="str">
        <f>IF('Registrar recibidas_gastos'!I102="","",'Registrar recibidas_gastos'!I102)</f>
        <v/>
      </c>
      <c r="J102" s="67" t="str">
        <f>IF('Registrar recibidas_gastos'!J102="","",'Registrar recibidas_gastos'!J102)</f>
        <v/>
      </c>
      <c r="K102" s="61" t="str">
        <f>IF('Registrar recibidas_gastos'!K102="","",'Registrar recibidas_gastos'!K102)</f>
        <v/>
      </c>
      <c r="L102" s="61" t="str">
        <f>IF('Registrar recibidas_gastos'!L102="","",'Registrar recibidas_gastos'!L102)</f>
        <v/>
      </c>
      <c r="M102" s="67" t="str">
        <f>IF('Registrar recibidas_gastos'!M102="","",'Registrar recibidas_gastos'!M102)</f>
        <v/>
      </c>
      <c r="N102" s="61" t="str">
        <f>IF('Registrar recibidas_gastos'!N102="","",'Registrar recibidas_gastos'!N102)</f>
        <v/>
      </c>
      <c r="O102" s="61" t="str">
        <f>IF('Registrar recibidas_gastos'!O102="","",'Registrar recibidas_gastos'!O102)</f>
        <v/>
      </c>
      <c r="P102" s="61" t="str">
        <f>IF(OR(LEFT('Registrar recibidas_gastos'!P102,2)="01",'Registrar recibidas_gastos'!P102=""),"",VLOOKUP(CONCATENATE("TIPO NIF",'Registrar recibidas_gastos'!P102),'CODIGO-LITERAL'!$C:$D,2,FALSE))</f>
        <v/>
      </c>
      <c r="Q102" s="61" t="str">
        <f>IF('Registrar recibidas_gastos'!Q102="","",'Registrar recibidas_gastos'!Q102)</f>
        <v/>
      </c>
      <c r="R102" s="61" t="str">
        <f>IF('Registrar recibidas_gastos'!R102="","",'Registrar recibidas_gastos'!R102)</f>
        <v/>
      </c>
      <c r="S102" s="61" t="str">
        <f>IF('Registrar recibidas_gastos'!S102="","",'Registrar recibidas_gastos'!S102)</f>
        <v/>
      </c>
      <c r="T102" s="61" t="str">
        <f>IF('Registrar recibidas_gastos'!T102="","",VLOOKUP(CONCATENATE("CLAVE OPERACION GASTO",'Registrar recibidas_gastos'!T102),'CODIGO-LITERAL'!$C:$D,2,FALSE))</f>
        <v/>
      </c>
      <c r="U102" s="61" t="str">
        <f>IF(T102="","",IF(OR(T102="02",T102="08"),"N",IF('Registrar recibidas_gastos'!U102="","N",'Registrar recibidas_gastos'!U102)))</f>
        <v/>
      </c>
      <c r="V102" s="61" t="str">
        <f>IF(T102="","",IF(OR(T102="07",T102="08",T102="09",F102="F5",F102="LC"),"N",IF('Registrar recibidas_gastos'!V102="","N",'Registrar recibidas_gastos'!V102)))</f>
        <v/>
      </c>
      <c r="W102" s="61" t="str">
        <f>IF(AND(X102="",Y102=""),"",IF(AND(RECIBIDAS_GASTOS!$X102&lt;&gt;"",RECIBIDAS_GASTOS!$Y102&lt;&gt;""),"S",IF('Registrar recibidas_gastos'!W102="","N",'Registrar recibidas_gastos'!W102)))</f>
        <v/>
      </c>
      <c r="X102" s="67" t="str">
        <f>IF('Registrar recibidas_gastos'!X102="","",'Registrar recibidas_gastos'!X102)</f>
        <v/>
      </c>
      <c r="Y102" s="61" t="str">
        <f>IF('Registrar recibidas_gastos'!Y102="","",'Registrar recibidas_gastos'!Y102)</f>
        <v/>
      </c>
      <c r="Z102" s="68" t="str">
        <f>IF('Registrar recibidas_gastos'!Z102="","",IF(AND(F102="",T102=""),"",IF(OR(T102="03",T102="05",T102="09"),AA102,SUM(AA102,AC102,AF102))))</f>
        <v/>
      </c>
      <c r="AA102" s="68" t="str">
        <f>IF('Registrar recibidas_gastos'!AA102="","",ROUND('Registrar recibidas_gastos'!AA102,2))</f>
        <v/>
      </c>
      <c r="AB102" s="61" t="str">
        <f>IF('Registrar recibidas_gastos'!AB102="","",'Registrar recibidas_gastos'!AB102)</f>
        <v/>
      </c>
      <c r="AC102" s="68" t="str">
        <f>IF(OR(T102="03",T102="05"),0,IF('Registrar recibidas_gastos'!AC102="","",ROUND(AA102*AB102/100,2)))</f>
        <v/>
      </c>
      <c r="AD102" s="68" t="str">
        <f>IF('Registrar recibidas_gastos'!AD102="","",ROUND('Registrar recibidas_gastos'!AD102,2))</f>
        <v/>
      </c>
      <c r="AE102" s="61" t="str">
        <f>IF('Registrar recibidas_gastos'!AE102="","",'Registrar recibidas_gastos'!AE102)</f>
        <v/>
      </c>
      <c r="AF102" s="68" t="str">
        <f>IF('Registrar recibidas_gastos'!AF102="","",ROUND(AA102*AE102/100,2))</f>
        <v/>
      </c>
      <c r="AG102" s="67" t="str">
        <f>IF('Registrar recibidas_gastos'!AG102="","",'Registrar recibidas_gastos'!AG102)</f>
        <v/>
      </c>
      <c r="AH102" s="68" t="str">
        <f>IF('Registrar recibidas_gastos'!AH102="","",'Registrar recibidas_gastos'!AH102)</f>
        <v/>
      </c>
      <c r="AI102" s="61" t="str">
        <f>IF('Registrar recibidas_gastos'!AI102="","",VLOOKUP(CONCATENATE("MEDIO UTILIZADO",'Registrar recibidas_gastos'!AI102),'CODIGO-LITERAL'!$C:$D,2,FALSE))</f>
        <v/>
      </c>
      <c r="AJ102" s="61" t="str">
        <f>IF('Registrar recibidas_gastos'!AJ102="","",'Registrar recibidas_gastos'!AJ102)</f>
        <v/>
      </c>
      <c r="AK102" s="62"/>
      <c r="AL102" s="69"/>
      <c r="AM102" s="61" t="str">
        <f>IF('Registrar recibidas_gastos'!AM102="","",'Registrar recibidas_gastos'!AM102)</f>
        <v/>
      </c>
      <c r="AN102" s="61" t="str">
        <f>IF('Registrar recibidas_gastos'!AN102="","",VLOOKUP(CONCATENATE("SITUACION",'Registrar recibidas_gastos'!AN102),'CODIGO-LITERAL'!$C:$D,2,FALSE))</f>
        <v/>
      </c>
      <c r="AO102" s="61" t="str">
        <f>IF('Registrar recibidas_gastos'!AO102="","",'Registrar recibidas_gastos'!AO102)</f>
        <v/>
      </c>
      <c r="AP102" s="61" t="str">
        <f>IF('Registrar recibidas_gastos'!AP102="","",'Registrar recibidas_gastos'!AP102)</f>
        <v/>
      </c>
    </row>
    <row r="103" spans="1:42" x14ac:dyDescent="0.25">
      <c r="A103" s="66" t="str">
        <f>IF('Registrar recibidas_gastos'!A103="","",'Registrar recibidas_gastos'!A103)</f>
        <v/>
      </c>
      <c r="B103" s="61" t="str">
        <f>IF('Registrar recibidas_gastos'!B103="","",'Registrar recibidas_gastos'!B103)</f>
        <v/>
      </c>
      <c r="C103" s="61" t="str">
        <f>IF('Registrar recibidas_gastos'!C103="","",VLOOKUP(CONCATENATE("ACTIVIDAD",'Registrar recibidas_gastos'!C103),'CODIGO-LITERAL'!$C:$D,2,FALSE))</f>
        <v/>
      </c>
      <c r="D103" s="60" t="str">
        <f>IF(OR(C103="C",C103="D"),"",IF(ISERROR(VLOOKUP(CONCATENATE(C103,'Registrar recibidas_gastos'!D103),'CODIGO-LITERAL'!$C:$D,2,FALSE)),"",VLOOKUP(CONCATENATE(C103,'Registrar recibidas_gastos'!D103),'CODIGO-LITERAL'!$C:$D,2,FALSE)))</f>
        <v/>
      </c>
      <c r="E103" s="61" t="str">
        <f>IF('Registrar recibidas_gastos'!E103="","",'Registrar recibidas_gastos'!E103)</f>
        <v/>
      </c>
      <c r="F103" s="61" t="str">
        <f>IF('Registrar recibidas_gastos'!F103="","",VLOOKUP(CONCATENATE("TIPO FACTURA GASTO",'Registrar recibidas_gastos'!F103),'CODIGO-LITERAL'!$C:$D,2,FALSE))</f>
        <v/>
      </c>
      <c r="G103" s="62"/>
      <c r="H103" s="62"/>
      <c r="I103" s="67" t="str">
        <f>IF('Registrar recibidas_gastos'!I103="","",'Registrar recibidas_gastos'!I103)</f>
        <v/>
      </c>
      <c r="J103" s="67" t="str">
        <f>IF('Registrar recibidas_gastos'!J103="","",'Registrar recibidas_gastos'!J103)</f>
        <v/>
      </c>
      <c r="K103" s="61" t="str">
        <f>IF('Registrar recibidas_gastos'!K103="","",'Registrar recibidas_gastos'!K103)</f>
        <v/>
      </c>
      <c r="L103" s="61" t="str">
        <f>IF('Registrar recibidas_gastos'!L103="","",'Registrar recibidas_gastos'!L103)</f>
        <v/>
      </c>
      <c r="M103" s="67" t="str">
        <f>IF('Registrar recibidas_gastos'!M103="","",'Registrar recibidas_gastos'!M103)</f>
        <v/>
      </c>
      <c r="N103" s="61" t="str">
        <f>IF('Registrar recibidas_gastos'!N103="","",'Registrar recibidas_gastos'!N103)</f>
        <v/>
      </c>
      <c r="O103" s="61" t="str">
        <f>IF('Registrar recibidas_gastos'!O103="","",'Registrar recibidas_gastos'!O103)</f>
        <v/>
      </c>
      <c r="P103" s="61" t="str">
        <f>IF(OR(LEFT('Registrar recibidas_gastos'!P103,2)="01",'Registrar recibidas_gastos'!P103=""),"",VLOOKUP(CONCATENATE("TIPO NIF",'Registrar recibidas_gastos'!P103),'CODIGO-LITERAL'!$C:$D,2,FALSE))</f>
        <v/>
      </c>
      <c r="Q103" s="61" t="str">
        <f>IF('Registrar recibidas_gastos'!Q103="","",'Registrar recibidas_gastos'!Q103)</f>
        <v/>
      </c>
      <c r="R103" s="61" t="str">
        <f>IF('Registrar recibidas_gastos'!R103="","",'Registrar recibidas_gastos'!R103)</f>
        <v/>
      </c>
      <c r="S103" s="61" t="str">
        <f>IF('Registrar recibidas_gastos'!S103="","",'Registrar recibidas_gastos'!S103)</f>
        <v/>
      </c>
      <c r="T103" s="61" t="str">
        <f>IF('Registrar recibidas_gastos'!T103="","",VLOOKUP(CONCATENATE("CLAVE OPERACION GASTO",'Registrar recibidas_gastos'!T103),'CODIGO-LITERAL'!$C:$D,2,FALSE))</f>
        <v/>
      </c>
      <c r="U103" s="61" t="str">
        <f>IF(T103="","",IF(OR(T103="02",T103="08"),"N",IF('Registrar recibidas_gastos'!U103="","N",'Registrar recibidas_gastos'!U103)))</f>
        <v/>
      </c>
      <c r="V103" s="61" t="str">
        <f>IF(T103="","",IF(OR(T103="07",T103="08",T103="09",F103="F5",F103="LC"),"N",IF('Registrar recibidas_gastos'!V103="","N",'Registrar recibidas_gastos'!V103)))</f>
        <v/>
      </c>
      <c r="W103" s="61" t="str">
        <f>IF(AND(X103="",Y103=""),"",IF(AND(RECIBIDAS_GASTOS!$X103&lt;&gt;"",RECIBIDAS_GASTOS!$Y103&lt;&gt;""),"S",IF('Registrar recibidas_gastos'!W103="","N",'Registrar recibidas_gastos'!W103)))</f>
        <v/>
      </c>
      <c r="X103" s="67" t="str">
        <f>IF('Registrar recibidas_gastos'!X103="","",'Registrar recibidas_gastos'!X103)</f>
        <v/>
      </c>
      <c r="Y103" s="61" t="str">
        <f>IF('Registrar recibidas_gastos'!Y103="","",'Registrar recibidas_gastos'!Y103)</f>
        <v/>
      </c>
      <c r="Z103" s="68" t="str">
        <f>IF('Registrar recibidas_gastos'!Z103="","",IF(AND(F103="",T103=""),"",IF(OR(T103="03",T103="05",T103="09"),AA103,SUM(AA103,AC103,AF103))))</f>
        <v/>
      </c>
      <c r="AA103" s="68" t="str">
        <f>IF('Registrar recibidas_gastos'!AA103="","",ROUND('Registrar recibidas_gastos'!AA103,2))</f>
        <v/>
      </c>
      <c r="AB103" s="61" t="str">
        <f>IF('Registrar recibidas_gastos'!AB103="","",'Registrar recibidas_gastos'!AB103)</f>
        <v/>
      </c>
      <c r="AC103" s="68" t="str">
        <f>IF(OR(T103="03",T103="05"),0,IF('Registrar recibidas_gastos'!AC103="","",ROUND(AA103*AB103/100,2)))</f>
        <v/>
      </c>
      <c r="AD103" s="68" t="str">
        <f>IF('Registrar recibidas_gastos'!AD103="","",ROUND('Registrar recibidas_gastos'!AD103,2))</f>
        <v/>
      </c>
      <c r="AE103" s="61" t="str">
        <f>IF('Registrar recibidas_gastos'!AE103="","",'Registrar recibidas_gastos'!AE103)</f>
        <v/>
      </c>
      <c r="AF103" s="68" t="str">
        <f>IF('Registrar recibidas_gastos'!AF103="","",ROUND(AA103*AE103/100,2))</f>
        <v/>
      </c>
      <c r="AG103" s="67" t="str">
        <f>IF('Registrar recibidas_gastos'!AG103="","",'Registrar recibidas_gastos'!AG103)</f>
        <v/>
      </c>
      <c r="AH103" s="68" t="str">
        <f>IF('Registrar recibidas_gastos'!AH103="","",'Registrar recibidas_gastos'!AH103)</f>
        <v/>
      </c>
      <c r="AI103" s="61" t="str">
        <f>IF('Registrar recibidas_gastos'!AI103="","",VLOOKUP(CONCATENATE("MEDIO UTILIZADO",'Registrar recibidas_gastos'!AI103),'CODIGO-LITERAL'!$C:$D,2,FALSE))</f>
        <v/>
      </c>
      <c r="AJ103" s="61" t="str">
        <f>IF('Registrar recibidas_gastos'!AJ103="","",'Registrar recibidas_gastos'!AJ103)</f>
        <v/>
      </c>
      <c r="AK103" s="62"/>
      <c r="AL103" s="69"/>
      <c r="AM103" s="61" t="str">
        <f>IF('Registrar recibidas_gastos'!AM103="","",'Registrar recibidas_gastos'!AM103)</f>
        <v/>
      </c>
      <c r="AN103" s="61" t="str">
        <f>IF('Registrar recibidas_gastos'!AN103="","",VLOOKUP(CONCATENATE("SITUACION",'Registrar recibidas_gastos'!AN103),'CODIGO-LITERAL'!$C:$D,2,FALSE))</f>
        <v/>
      </c>
      <c r="AO103" s="61" t="str">
        <f>IF('Registrar recibidas_gastos'!AO103="","",'Registrar recibidas_gastos'!AO103)</f>
        <v/>
      </c>
      <c r="AP103" s="61" t="str">
        <f>IF('Registrar recibidas_gastos'!AP103="","",'Registrar recibidas_gastos'!AP103)</f>
        <v/>
      </c>
    </row>
  </sheetData>
  <sheetProtection algorithmName="SHA-512" hashValue="Wjs5L1PBUxF3jaIeHOoSCD1etyPrdIcHrgUFWsKnT/DJodm96E+YMPJeAJsFQk8njqL/4ExsZQL6IRuiaHxS4Q==" saltValue="V9TKuwBKvHRJ4eDS5Ah4Jw==" spinCount="100000" sheet="1" objects="1" scenarios="1"/>
  <mergeCells count="31">
    <mergeCell ref="C1:E1"/>
    <mergeCell ref="X1:Y1"/>
    <mergeCell ref="A1:B1"/>
    <mergeCell ref="T1:T2"/>
    <mergeCell ref="AK1:AK2"/>
    <mergeCell ref="AD1:AD2"/>
    <mergeCell ref="AB1:AB2"/>
    <mergeCell ref="AC1:AC2"/>
    <mergeCell ref="Z1:Z2"/>
    <mergeCell ref="N1:N2"/>
    <mergeCell ref="K1:L1"/>
    <mergeCell ref="J1:J2"/>
    <mergeCell ref="S1:S2"/>
    <mergeCell ref="AA1:AA2"/>
    <mergeCell ref="O1:O2"/>
    <mergeCell ref="AN1:AO1"/>
    <mergeCell ref="AP1:AP2"/>
    <mergeCell ref="F1:F2"/>
    <mergeCell ref="G1:G2"/>
    <mergeCell ref="H1:H2"/>
    <mergeCell ref="M1:M2"/>
    <mergeCell ref="V1:V2"/>
    <mergeCell ref="U1:U2"/>
    <mergeCell ref="AM1:AM2"/>
    <mergeCell ref="AG1:AJ1"/>
    <mergeCell ref="P1:R1"/>
    <mergeCell ref="AE1:AE2"/>
    <mergeCell ref="AF1:AF2"/>
    <mergeCell ref="W1:W2"/>
    <mergeCell ref="AL1:AL2"/>
    <mergeCell ref="I1:I2"/>
  </mergeCells>
  <pageMargins left="0.70866141732283472" right="0.70866141732283472" top="0.74803149606299213" bottom="0.74803149606299213" header="0.31496062992125984" footer="0.31496062992125984"/>
  <pageSetup paperSize="8" scale="2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A1:AP103"/>
  <sheetViews>
    <sheetView showGridLines="0" zoomScaleNormal="100" workbookViewId="0">
      <selection activeCell="A4" sqref="A4"/>
    </sheetView>
  </sheetViews>
  <sheetFormatPr baseColWidth="10" defaultRowHeight="15" x14ac:dyDescent="0.25"/>
  <cols>
    <col min="1" max="1" width="12.7109375" style="5" bestFit="1" customWidth="1"/>
    <col min="2" max="2" width="15.5703125" style="5" bestFit="1" customWidth="1"/>
    <col min="3" max="3" width="14.5703125" style="5" bestFit="1" customWidth="1"/>
    <col min="4" max="4" width="14.5703125" style="5" customWidth="1"/>
    <col min="5" max="5" width="22.28515625" style="5" bestFit="1" customWidth="1"/>
    <col min="6" max="6" width="15.5703125" style="5" customWidth="1"/>
    <col min="7" max="7" width="17.7109375" style="5" bestFit="1" customWidth="1"/>
    <col min="8" max="8" width="17.7109375" style="5" customWidth="1"/>
    <col min="9" max="9" width="17.7109375" style="5" bestFit="1" customWidth="1"/>
    <col min="10" max="10" width="17.140625" style="5" bestFit="1" customWidth="1"/>
    <col min="11" max="11" width="14.42578125" style="5" customWidth="1"/>
    <col min="12" max="12" width="17.5703125" style="5" customWidth="1"/>
    <col min="13" max="13" width="15.85546875" style="5" customWidth="1"/>
    <col min="14" max="14" width="19.28515625" style="5" bestFit="1" customWidth="1"/>
    <col min="15" max="15" width="16.5703125" style="5" bestFit="1" customWidth="1"/>
    <col min="16" max="16" width="18.28515625" style="5" bestFit="1" customWidth="1"/>
    <col min="17" max="17" width="13.42578125" style="5" bestFit="1" customWidth="1"/>
    <col min="18" max="18" width="17.7109375" style="5" bestFit="1" customWidth="1"/>
    <col min="19" max="19" width="16.7109375" style="5" bestFit="1" customWidth="1"/>
    <col min="20" max="20" width="18.28515625" style="5" customWidth="1"/>
    <col min="21" max="22" width="17.140625" style="5" customWidth="1"/>
    <col min="23" max="24" width="15.42578125" style="5" bestFit="1" customWidth="1"/>
    <col min="25" max="26" width="16.42578125" style="5" bestFit="1" customWidth="1"/>
    <col min="27" max="27" width="16.85546875" style="5" bestFit="1" customWidth="1"/>
    <col min="28" max="28" width="12.85546875" style="5" bestFit="1" customWidth="1"/>
    <col min="29" max="29" width="22.42578125" style="5" bestFit="1" customWidth="1"/>
    <col min="30" max="30" width="20.5703125" style="5" bestFit="1" customWidth="1"/>
    <col min="31" max="31" width="19.7109375" style="5" bestFit="1" customWidth="1"/>
    <col min="32" max="32" width="18" style="5" bestFit="1" customWidth="1"/>
    <col min="33" max="33" width="26.85546875" style="5" bestFit="1" customWidth="1"/>
    <col min="34" max="34" width="17.7109375" style="5" bestFit="1" customWidth="1"/>
    <col min="35" max="35" width="15.42578125" style="5" bestFit="1" customWidth="1"/>
    <col min="36" max="38" width="17.140625" style="5" customWidth="1"/>
    <col min="39" max="39" width="19.85546875" style="5" customWidth="1"/>
    <col min="40" max="40" width="13.85546875" style="5" customWidth="1"/>
    <col min="41" max="41" width="18.85546875" style="5" bestFit="1" customWidth="1"/>
    <col min="42" max="42" width="16.7109375" style="5" bestFit="1" customWidth="1"/>
    <col min="43" max="16384" width="11.42578125" style="5"/>
  </cols>
  <sheetData>
    <row r="1" spans="1:42" s="23" customFormat="1" ht="12" x14ac:dyDescent="0.25">
      <c r="A1" s="112" t="s">
        <v>56</v>
      </c>
      <c r="B1" s="114"/>
      <c r="C1" s="112" t="s">
        <v>57</v>
      </c>
      <c r="D1" s="112"/>
      <c r="E1" s="120"/>
      <c r="F1" s="112" t="s">
        <v>70</v>
      </c>
      <c r="G1" s="112" t="s">
        <v>71</v>
      </c>
      <c r="H1" s="112"/>
      <c r="I1" s="112" t="s">
        <v>37</v>
      </c>
      <c r="J1" s="112" t="s">
        <v>72</v>
      </c>
      <c r="K1" s="112" t="s">
        <v>73</v>
      </c>
      <c r="L1" s="112" t="s">
        <v>74</v>
      </c>
      <c r="M1" s="112" t="s">
        <v>75</v>
      </c>
      <c r="N1" s="112" t="s">
        <v>76</v>
      </c>
      <c r="O1" s="112"/>
      <c r="P1" s="112"/>
      <c r="Q1" s="112"/>
      <c r="R1" s="112" t="s">
        <v>19</v>
      </c>
      <c r="S1" s="112" t="s">
        <v>22</v>
      </c>
      <c r="T1" s="112"/>
      <c r="U1" s="112" t="s">
        <v>77</v>
      </c>
      <c r="V1" s="112" t="s">
        <v>78</v>
      </c>
      <c r="W1" s="112" t="s">
        <v>79</v>
      </c>
      <c r="X1" s="112"/>
      <c r="Y1" s="112"/>
      <c r="Z1" s="112" t="s">
        <v>23</v>
      </c>
      <c r="AA1" s="122" t="s">
        <v>42</v>
      </c>
      <c r="AB1" s="122"/>
      <c r="AC1" s="122"/>
      <c r="AD1" s="122"/>
      <c r="AE1" s="112" t="s">
        <v>80</v>
      </c>
      <c r="AF1" s="112"/>
      <c r="AG1" s="117"/>
      <c r="AH1" s="112" t="s">
        <v>38</v>
      </c>
      <c r="AI1" s="112"/>
      <c r="AJ1" s="112" t="s">
        <v>82</v>
      </c>
      <c r="AK1" s="112"/>
      <c r="AL1" s="114"/>
      <c r="AM1" s="112" t="s">
        <v>69</v>
      </c>
      <c r="AN1" s="112" t="s">
        <v>93</v>
      </c>
      <c r="AO1" s="112"/>
      <c r="AP1" s="121" t="s">
        <v>94</v>
      </c>
    </row>
    <row r="2" spans="1:42" s="23" customFormat="1" ht="12" x14ac:dyDescent="0.25">
      <c r="A2" s="37" t="s">
        <v>31</v>
      </c>
      <c r="B2" s="37" t="s">
        <v>32</v>
      </c>
      <c r="C2" s="37" t="s">
        <v>55</v>
      </c>
      <c r="D2" s="37" t="s">
        <v>18</v>
      </c>
      <c r="E2" s="37" t="s">
        <v>52</v>
      </c>
      <c r="F2" s="112"/>
      <c r="G2" s="37" t="s">
        <v>44</v>
      </c>
      <c r="H2" s="37" t="s">
        <v>45</v>
      </c>
      <c r="I2" s="112"/>
      <c r="J2" s="112"/>
      <c r="K2" s="112"/>
      <c r="L2" s="112"/>
      <c r="M2" s="112"/>
      <c r="N2" s="37" t="s">
        <v>35</v>
      </c>
      <c r="O2" s="37" t="s">
        <v>48</v>
      </c>
      <c r="P2" s="37" t="s">
        <v>36</v>
      </c>
      <c r="Q2" s="24" t="s">
        <v>49</v>
      </c>
      <c r="R2" s="112"/>
      <c r="S2" s="37" t="s">
        <v>28</v>
      </c>
      <c r="T2" s="37" t="s">
        <v>30</v>
      </c>
      <c r="U2" s="112"/>
      <c r="V2" s="112"/>
      <c r="W2" s="37" t="s">
        <v>18</v>
      </c>
      <c r="X2" s="37" t="s">
        <v>8</v>
      </c>
      <c r="Y2" s="37" t="s">
        <v>11</v>
      </c>
      <c r="Z2" s="112"/>
      <c r="AA2" s="6" t="s">
        <v>40</v>
      </c>
      <c r="AB2" s="6" t="s">
        <v>41</v>
      </c>
      <c r="AC2" s="6" t="s">
        <v>43</v>
      </c>
      <c r="AD2" s="6" t="s">
        <v>27</v>
      </c>
      <c r="AE2" s="37" t="s">
        <v>43</v>
      </c>
      <c r="AF2" s="37" t="s">
        <v>27</v>
      </c>
      <c r="AG2" s="37" t="s">
        <v>47</v>
      </c>
      <c r="AH2" s="37" t="s">
        <v>13</v>
      </c>
      <c r="AI2" s="37" t="s">
        <v>81</v>
      </c>
      <c r="AJ2" s="37" t="s">
        <v>20</v>
      </c>
      <c r="AK2" s="37" t="s">
        <v>21</v>
      </c>
      <c r="AL2" s="37" t="s">
        <v>30</v>
      </c>
      <c r="AM2" s="112"/>
      <c r="AN2" s="35" t="s">
        <v>91</v>
      </c>
      <c r="AO2" s="37" t="s">
        <v>92</v>
      </c>
      <c r="AP2" s="121"/>
    </row>
    <row r="3" spans="1:42" s="70" customFormat="1" ht="12" x14ac:dyDescent="0.25">
      <c r="A3" s="57" t="s">
        <v>33</v>
      </c>
      <c r="B3" s="57" t="s">
        <v>9</v>
      </c>
      <c r="C3" s="57" t="s">
        <v>51</v>
      </c>
      <c r="D3" s="57" t="s">
        <v>9</v>
      </c>
      <c r="E3" s="57" t="s">
        <v>50</v>
      </c>
      <c r="F3" s="57" t="s">
        <v>9</v>
      </c>
      <c r="G3" s="57" t="s">
        <v>10</v>
      </c>
      <c r="H3" s="57" t="s">
        <v>46</v>
      </c>
      <c r="I3" s="57" t="s">
        <v>29</v>
      </c>
      <c r="J3" s="57" t="s">
        <v>15</v>
      </c>
      <c r="K3" s="57" t="s">
        <v>15</v>
      </c>
      <c r="L3" s="57" t="s">
        <v>9</v>
      </c>
      <c r="M3" s="57" t="s">
        <v>39</v>
      </c>
      <c r="N3" s="57" t="s">
        <v>15</v>
      </c>
      <c r="O3" s="57" t="s">
        <v>15</v>
      </c>
      <c r="P3" s="57" t="s">
        <v>15</v>
      </c>
      <c r="Q3" s="57" t="s">
        <v>15</v>
      </c>
      <c r="R3" s="57" t="s">
        <v>29</v>
      </c>
      <c r="S3" s="57" t="s">
        <v>10</v>
      </c>
      <c r="T3" s="57" t="s">
        <v>12</v>
      </c>
      <c r="U3" s="57" t="s">
        <v>12</v>
      </c>
      <c r="V3" s="57" t="s">
        <v>12</v>
      </c>
      <c r="W3" s="57" t="s">
        <v>9</v>
      </c>
      <c r="X3" s="57" t="s">
        <v>9</v>
      </c>
      <c r="Y3" s="57" t="s">
        <v>12</v>
      </c>
      <c r="Z3" s="57" t="s">
        <v>10</v>
      </c>
      <c r="AA3" s="57" t="s">
        <v>15</v>
      </c>
      <c r="AB3" s="57" t="s">
        <v>25</v>
      </c>
      <c r="AC3" s="57" t="s">
        <v>53</v>
      </c>
      <c r="AD3" s="57" t="s">
        <v>15</v>
      </c>
      <c r="AE3" s="57" t="s">
        <v>53</v>
      </c>
      <c r="AF3" s="57" t="s">
        <v>15</v>
      </c>
      <c r="AG3" s="57" t="s">
        <v>15</v>
      </c>
      <c r="AH3" s="57" t="s">
        <v>29</v>
      </c>
      <c r="AI3" s="57" t="s">
        <v>9</v>
      </c>
      <c r="AJ3" s="57" t="s">
        <v>12</v>
      </c>
      <c r="AK3" s="57" t="s">
        <v>12</v>
      </c>
      <c r="AL3" s="57" t="s">
        <v>12</v>
      </c>
      <c r="AM3" s="57" t="s">
        <v>54</v>
      </c>
      <c r="AN3" s="57" t="s">
        <v>51</v>
      </c>
      <c r="AO3" s="57" t="s">
        <v>12</v>
      </c>
      <c r="AP3" s="57" t="s">
        <v>10</v>
      </c>
    </row>
    <row r="4" spans="1:42" s="25" customFormat="1" ht="13.5" x14ac:dyDescent="0.25">
      <c r="A4" s="71" t="str">
        <f>IF('Registrar bienes de inversión'!A4="","",'Registrar bienes de inversión'!A4)</f>
        <v/>
      </c>
      <c r="B4" s="60" t="str">
        <f>IF('Registrar bienes de inversión'!B4="","",'Registrar bienes de inversión'!B4)</f>
        <v/>
      </c>
      <c r="C4" s="60" t="str">
        <f>IF('Registrar bienes de inversión'!C4="","",VLOOKUP(CONCATENATE("ACTIVIDAD",'Registrar bienes de inversión'!C4),'CODIGO-LITERAL'!$C:$D,2,FALSE))</f>
        <v/>
      </c>
      <c r="D4" s="60" t="str">
        <f>IF(OR(C4="C",C4="D"),"",IF(ISERROR(VLOOKUP(CONCATENATE(C4,'Registrar bienes de inversión'!D4),'CODIGO-LITERAL'!$C:$D,2,FALSE)),"",VLOOKUP(CONCATENATE(C4,'Registrar bienes de inversión'!D4),'CODIGO-LITERAL'!$C:$D,2,FALSE)))</f>
        <v/>
      </c>
      <c r="E4" s="60" t="str">
        <f>IF('Registrar bienes de inversión'!E4="","",'Registrar bienes de inversión'!E4)</f>
        <v/>
      </c>
      <c r="F4" s="60" t="str">
        <f>IF('Registrar bienes de inversión'!F4="","",VLOOKUP(CONCATENATE("TIPO BIEN",'Registrar bienes de inversión'!F4),'CODIGO-LITERAL'!$C:$D,2,FALSE))</f>
        <v/>
      </c>
      <c r="G4" s="60" t="str">
        <f>IF('Registrar bienes de inversión'!G4="","",'Registrar bienes de inversión'!G4)</f>
        <v/>
      </c>
      <c r="H4" s="60" t="str">
        <f>IF('Registrar bienes de inversión'!H4="","",'Registrar bienes de inversión'!H4)</f>
        <v/>
      </c>
      <c r="I4" s="64" t="str">
        <f>IF('Registrar bienes de inversión'!I4="","",'Registrar bienes de inversión'!I4)</f>
        <v/>
      </c>
      <c r="J4" s="72" t="str">
        <f>IF('Registrar bienes de inversión'!J4="","",'Registrar bienes de inversión'!J4)</f>
        <v/>
      </c>
      <c r="K4" s="72" t="str">
        <f>IF('Registrar bienes de inversión'!K4="","",'Registrar bienes de inversión'!K4)</f>
        <v/>
      </c>
      <c r="L4" s="60" t="str">
        <f>IF('Registrar bienes de inversión'!L4="","",VLOOKUP(CONCATENATE("METODO AMORTIZACION",'Registrar bienes de inversión'!L4),'CODIGO-LITERAL'!$C:$D,2,FALSE))</f>
        <v/>
      </c>
      <c r="M4" s="72" t="str">
        <f>IF('Registrar bienes de inversión'!M4="","",'Registrar bienes de inversión'!M4)</f>
        <v/>
      </c>
      <c r="N4" s="72" t="str">
        <f>IF('Registrar bienes de inversión'!N4="","",'Registrar bienes de inversión'!N4)</f>
        <v/>
      </c>
      <c r="O4" s="72" t="str">
        <f>IF('Registrar bienes de inversión'!O4="","",'Registrar bienes de inversión'!O4)</f>
        <v/>
      </c>
      <c r="P4" s="72" t="str">
        <f>IF('Registrar bienes de inversión'!P4="","",'Registrar bienes de inversión'!P4)</f>
        <v/>
      </c>
      <c r="Q4" s="72" t="str">
        <f>IF('Registrar bienes de inversión'!Q4="","",'Registrar bienes de inversión'!Q4)</f>
        <v/>
      </c>
      <c r="R4" s="64" t="str">
        <f>IF('Registrar bienes de inversión'!R4="","",'Registrar bienes de inversión'!R4)</f>
        <v/>
      </c>
      <c r="S4" s="60" t="str">
        <f>IF('Registrar bienes de inversión'!S4="","",'Registrar bienes de inversión'!S4)</f>
        <v/>
      </c>
      <c r="T4" s="60" t="str">
        <f>IF('Registrar bienes de inversión'!T4="","",'Registrar bienes de inversión'!T4)</f>
        <v/>
      </c>
      <c r="U4" s="60" t="str">
        <f>IF('Registrar bienes de inversión'!U4="","",'Registrar bienes de inversión'!U4)</f>
        <v/>
      </c>
      <c r="V4" s="60" t="str">
        <f>IF('Registrar bienes de inversión'!V4="","",'Registrar bienes de inversión'!V4)</f>
        <v/>
      </c>
      <c r="W4" s="60" t="str">
        <f>IF(OR('Registrar bienes de inversión'!W4="",LEFT('Registrar bienes de inversión'!W4,2)="01"),"",VLOOKUP(CONCATENATE("TIPO NIF",'Registrar bienes de inversión'!W4),'CODIGO-LITERAL'!$C:$D,2,FALSE))</f>
        <v/>
      </c>
      <c r="X4" s="60" t="str">
        <f>IF('Registrar bienes de inversión'!X4="","",'Registrar bienes de inversión'!X4)</f>
        <v/>
      </c>
      <c r="Y4" s="60" t="str">
        <f>IF('Registrar bienes de inversión'!Y4="","",'Registrar bienes de inversión'!Y4)</f>
        <v/>
      </c>
      <c r="Z4" s="60" t="str">
        <f>IF('Registrar bienes de inversión'!Z4="","",'Registrar bienes de inversión'!Z4)</f>
        <v/>
      </c>
      <c r="AA4" s="72" t="str">
        <f>IF('Registrar bienes de inversión'!AA4="","",ROUND('Registrar bienes de inversión'!AA4,2))</f>
        <v/>
      </c>
      <c r="AB4" s="72" t="str">
        <f>IF('Registrar bienes de inversión'!AB4="","",'Registrar bienes de inversión'!AB4)</f>
        <v/>
      </c>
      <c r="AC4" s="72" t="str">
        <f>IF('Registrar bienes de inversión'!AC4="","",ROUND('Registrar bienes de inversión'!AC4,2))</f>
        <v/>
      </c>
      <c r="AD4" s="72" t="str">
        <f>IF('Registrar bienes de inversión'!AD4="","",ROUND('Registrar bienes de inversión'!AD4,2))</f>
        <v/>
      </c>
      <c r="AE4" s="72" t="str">
        <f>IF('Registrar bienes de inversión'!AE4="","",ROUND('Registrar bienes de inversión'!AE4,2))</f>
        <v/>
      </c>
      <c r="AF4" s="72" t="str">
        <f>IF('Registrar bienes de inversión'!AF4="","",ROUND('Registrar bienes de inversión'!AF4,2))</f>
        <v/>
      </c>
      <c r="AG4" s="72" t="str">
        <f>IF('Registrar bienes de inversión'!AG4="","",ROUND('Registrar bienes de inversión'!AG4,2))</f>
        <v/>
      </c>
      <c r="AH4" s="64" t="str">
        <f>IF('Registrar bienes de inversión'!AH4="","",'Registrar bienes de inversión'!AH4)</f>
        <v/>
      </c>
      <c r="AI4" s="60" t="str">
        <f>IF('Registrar bienes de inversión'!AI4="","",VLOOKUP(CONCATENATE("CAUSA BAJA BIEN",'Registrar bienes de inversión'!AI4),'CODIGO-LITERAL'!$C:$D,2,FALSE))</f>
        <v/>
      </c>
      <c r="AJ4" s="60" t="str">
        <f>IF('Registrar bienes de inversión'!AJ4="","",'Registrar bienes de inversión'!AJ4)</f>
        <v/>
      </c>
      <c r="AK4" s="60" t="str">
        <f>IF('Registrar bienes de inversión'!AK4="","",'Registrar bienes de inversión'!AK4)</f>
        <v/>
      </c>
      <c r="AL4" s="60" t="str">
        <f>IF('Registrar bienes de inversión'!AL4="","",'Registrar bienes de inversión'!AL4)</f>
        <v/>
      </c>
      <c r="AM4" s="60" t="str">
        <f>IF('Registrar bienes de inversión'!AM4="","",'Registrar bienes de inversión'!AM4)</f>
        <v/>
      </c>
      <c r="AN4" s="60" t="str">
        <f>IF('Registrar bienes de inversión'!AN4="","",VLOOKUP(CONCATENATE("SITUACION",'Registrar bienes de inversión'!AN4),'CODIGO-LITERAL'!$C:$D,2,FALSE))</f>
        <v/>
      </c>
      <c r="AO4" s="60" t="str">
        <f>IF('Registrar bienes de inversión'!AO4="","",'Registrar bienes de inversión'!AO4)</f>
        <v/>
      </c>
      <c r="AP4" s="60" t="str">
        <f>IF('Registrar bienes de inversión'!AP4="","",'Registrar bienes de inversión'!AP4)</f>
        <v/>
      </c>
    </row>
    <row r="5" spans="1:42" s="25" customFormat="1" ht="13.5" x14ac:dyDescent="0.25">
      <c r="A5" s="71" t="str">
        <f>IF('Registrar bienes de inversión'!A5="","",'Registrar bienes de inversión'!A5)</f>
        <v/>
      </c>
      <c r="B5" s="60" t="str">
        <f>IF('Registrar bienes de inversión'!B5="","",'Registrar bienes de inversión'!B5)</f>
        <v/>
      </c>
      <c r="C5" s="60" t="str">
        <f>IF('Registrar bienes de inversión'!C5="","",VLOOKUP(CONCATENATE("ACTIVIDAD",'Registrar bienes de inversión'!C5),'CODIGO-LITERAL'!$C:$D,2,FALSE))</f>
        <v/>
      </c>
      <c r="D5" s="60" t="str">
        <f>IF(OR(C5="C",C5="D"),"",IF(ISERROR(VLOOKUP(CONCATENATE(C5,'Registrar bienes de inversión'!D5),'CODIGO-LITERAL'!$C:$D,2,FALSE)),"",VLOOKUP(CONCATENATE(C5,'Registrar bienes de inversión'!D5),'CODIGO-LITERAL'!$C:$D,2,FALSE)))</f>
        <v/>
      </c>
      <c r="E5" s="60" t="str">
        <f>IF('Registrar bienes de inversión'!E5="","",'Registrar bienes de inversión'!E5)</f>
        <v/>
      </c>
      <c r="F5" s="60" t="str">
        <f>IF('Registrar bienes de inversión'!F5="","",VLOOKUP(CONCATENATE("TIPO BIEN",'Registrar bienes de inversión'!F5),'CODIGO-LITERAL'!$C:$D,2,FALSE))</f>
        <v/>
      </c>
      <c r="G5" s="60" t="str">
        <f>IF('Registrar bienes de inversión'!G5="","",'Registrar bienes de inversión'!G5)</f>
        <v/>
      </c>
      <c r="H5" s="60" t="str">
        <f>IF('Registrar bienes de inversión'!H5="","",'Registrar bienes de inversión'!H5)</f>
        <v/>
      </c>
      <c r="I5" s="64" t="str">
        <f>IF('Registrar bienes de inversión'!I5="","",'Registrar bienes de inversión'!I5)</f>
        <v/>
      </c>
      <c r="J5" s="72" t="str">
        <f>IF('Registrar bienes de inversión'!J5="","",'Registrar bienes de inversión'!J5)</f>
        <v/>
      </c>
      <c r="K5" s="72" t="str">
        <f>IF('Registrar bienes de inversión'!K5="","",'Registrar bienes de inversión'!K5)</f>
        <v/>
      </c>
      <c r="L5" s="60" t="str">
        <f>IF('Registrar bienes de inversión'!L5="","",VLOOKUP(CONCATENATE("METODO AMORTIZACION",'Registrar bienes de inversión'!L5),'CODIGO-LITERAL'!$C:$D,2,FALSE))</f>
        <v/>
      </c>
      <c r="M5" s="72" t="str">
        <f>IF('Registrar bienes de inversión'!M5="","",'Registrar bienes de inversión'!M5)</f>
        <v/>
      </c>
      <c r="N5" s="72" t="str">
        <f>IF('Registrar bienes de inversión'!N5="","",'Registrar bienes de inversión'!N5)</f>
        <v/>
      </c>
      <c r="O5" s="72" t="str">
        <f>IF('Registrar bienes de inversión'!O5="","",'Registrar bienes de inversión'!O5)</f>
        <v/>
      </c>
      <c r="P5" s="72" t="str">
        <f>IF('Registrar bienes de inversión'!P5="","",'Registrar bienes de inversión'!P5)</f>
        <v/>
      </c>
      <c r="Q5" s="72" t="str">
        <f>IF('Registrar bienes de inversión'!Q5="","",'Registrar bienes de inversión'!Q5)</f>
        <v/>
      </c>
      <c r="R5" s="64" t="str">
        <f>IF('Registrar bienes de inversión'!R5="","",'Registrar bienes de inversión'!R5)</f>
        <v/>
      </c>
      <c r="S5" s="60" t="str">
        <f>IF('Registrar bienes de inversión'!S5="","",'Registrar bienes de inversión'!S5)</f>
        <v/>
      </c>
      <c r="T5" s="60" t="str">
        <f>IF('Registrar bienes de inversión'!T5="","",'Registrar bienes de inversión'!T5)</f>
        <v/>
      </c>
      <c r="U5" s="60" t="str">
        <f>IF('Registrar bienes de inversión'!U5="","",'Registrar bienes de inversión'!U5)</f>
        <v/>
      </c>
      <c r="V5" s="60" t="str">
        <f>IF('Registrar bienes de inversión'!V5="","",'Registrar bienes de inversión'!V5)</f>
        <v/>
      </c>
      <c r="W5" s="60" t="str">
        <f>IF(OR('Registrar bienes de inversión'!W5="",LEFT('Registrar bienes de inversión'!W5,2)="01"),"",VLOOKUP(CONCATENATE("TIPO NIF",'Registrar bienes de inversión'!W5),'CODIGO-LITERAL'!$C:$D,2,FALSE))</f>
        <v/>
      </c>
      <c r="X5" s="60" t="str">
        <f>IF('Registrar bienes de inversión'!X5="","",'Registrar bienes de inversión'!X5)</f>
        <v/>
      </c>
      <c r="Y5" s="60" t="str">
        <f>IF('Registrar bienes de inversión'!Y5="","",'Registrar bienes de inversión'!Y5)</f>
        <v/>
      </c>
      <c r="Z5" s="60" t="str">
        <f>IF('Registrar bienes de inversión'!Z5="","",'Registrar bienes de inversión'!Z5)</f>
        <v/>
      </c>
      <c r="AA5" s="72" t="str">
        <f>IF('Registrar bienes de inversión'!AA5="","",ROUND('Registrar bienes de inversión'!AA5,2))</f>
        <v/>
      </c>
      <c r="AB5" s="72" t="str">
        <f>IF('Registrar bienes de inversión'!AB5="","",'Registrar bienes de inversión'!AB5)</f>
        <v/>
      </c>
      <c r="AC5" s="72" t="str">
        <f>IF('Registrar bienes de inversión'!AC5="","",ROUND('Registrar bienes de inversión'!AC5,2))</f>
        <v/>
      </c>
      <c r="AD5" s="72" t="str">
        <f>IF('Registrar bienes de inversión'!AD5="","",ROUND('Registrar bienes de inversión'!AD5,2))</f>
        <v/>
      </c>
      <c r="AE5" s="72" t="str">
        <f>IF('Registrar bienes de inversión'!AE5="","",ROUND('Registrar bienes de inversión'!AE5,2))</f>
        <v/>
      </c>
      <c r="AF5" s="72" t="str">
        <f>IF('Registrar bienes de inversión'!AF5="","",ROUND('Registrar bienes de inversión'!AF5,2))</f>
        <v/>
      </c>
      <c r="AG5" s="72" t="str">
        <f>IF('Registrar bienes de inversión'!AG5="","",ROUND('Registrar bienes de inversión'!AG5,2))</f>
        <v/>
      </c>
      <c r="AH5" s="64" t="str">
        <f>IF('Registrar bienes de inversión'!AH5="","",'Registrar bienes de inversión'!AH5)</f>
        <v/>
      </c>
      <c r="AI5" s="60" t="str">
        <f>IF('Registrar bienes de inversión'!AI5="","",VLOOKUP(CONCATENATE("CAUSA BAJA BIEN",'Registrar bienes de inversión'!AI5),'CODIGO-LITERAL'!$C:$D,2,FALSE))</f>
        <v/>
      </c>
      <c r="AJ5" s="60" t="str">
        <f>IF('Registrar bienes de inversión'!AJ5="","",'Registrar bienes de inversión'!AJ5)</f>
        <v/>
      </c>
      <c r="AK5" s="60" t="str">
        <f>IF('Registrar bienes de inversión'!AK5="","",'Registrar bienes de inversión'!AK5)</f>
        <v/>
      </c>
      <c r="AL5" s="60" t="str">
        <f>IF('Registrar bienes de inversión'!AL5="","",'Registrar bienes de inversión'!AL5)</f>
        <v/>
      </c>
      <c r="AM5" s="60" t="str">
        <f>IF('Registrar bienes de inversión'!AM5="","",'Registrar bienes de inversión'!AM5)</f>
        <v/>
      </c>
      <c r="AN5" s="60" t="str">
        <f>IF('Registrar bienes de inversión'!AN5="","",VLOOKUP(CONCATENATE("SITUACION",'Registrar bienes de inversión'!AN5),'CODIGO-LITERAL'!$C:$D,2,FALSE))</f>
        <v/>
      </c>
      <c r="AO5" s="60" t="str">
        <f>IF('Registrar bienes de inversión'!AO5="","",'Registrar bienes de inversión'!AO5)</f>
        <v/>
      </c>
      <c r="AP5" s="60" t="str">
        <f>IF('Registrar bienes de inversión'!AP5="","",'Registrar bienes de inversión'!AP5)</f>
        <v/>
      </c>
    </row>
    <row r="6" spans="1:42" s="25" customFormat="1" ht="13.5" x14ac:dyDescent="0.25">
      <c r="A6" s="71" t="str">
        <f>IF('Registrar bienes de inversión'!A6="","",'Registrar bienes de inversión'!A6)</f>
        <v/>
      </c>
      <c r="B6" s="60" t="str">
        <f>IF('Registrar bienes de inversión'!B6="","",'Registrar bienes de inversión'!B6)</f>
        <v/>
      </c>
      <c r="C6" s="60" t="str">
        <f>IF('Registrar bienes de inversión'!C6="","",VLOOKUP(CONCATENATE("ACTIVIDAD",'Registrar bienes de inversión'!C6),'CODIGO-LITERAL'!$C:$D,2,FALSE))</f>
        <v/>
      </c>
      <c r="D6" s="60" t="str">
        <f>IF(OR(C6="C",C6="D"),"",IF(ISERROR(VLOOKUP(CONCATENATE(C6,'Registrar bienes de inversión'!D6),'CODIGO-LITERAL'!$C:$D,2,FALSE)),"",VLOOKUP(CONCATENATE(C6,'Registrar bienes de inversión'!D6),'CODIGO-LITERAL'!$C:$D,2,FALSE)))</f>
        <v/>
      </c>
      <c r="E6" s="60" t="str">
        <f>IF('Registrar bienes de inversión'!E6="","",'Registrar bienes de inversión'!E6)</f>
        <v/>
      </c>
      <c r="F6" s="60" t="str">
        <f>IF('Registrar bienes de inversión'!F6="","",VLOOKUP(CONCATENATE("TIPO BIEN",'Registrar bienes de inversión'!F6),'CODIGO-LITERAL'!$C:$D,2,FALSE))</f>
        <v/>
      </c>
      <c r="G6" s="60" t="str">
        <f>IF('Registrar bienes de inversión'!G6="","",'Registrar bienes de inversión'!G6)</f>
        <v/>
      </c>
      <c r="H6" s="60" t="str">
        <f>IF('Registrar bienes de inversión'!H6="","",'Registrar bienes de inversión'!H6)</f>
        <v/>
      </c>
      <c r="I6" s="64" t="str">
        <f>IF('Registrar bienes de inversión'!I6="","",'Registrar bienes de inversión'!I6)</f>
        <v/>
      </c>
      <c r="J6" s="72" t="str">
        <f>IF('Registrar bienes de inversión'!J6="","",'Registrar bienes de inversión'!J6)</f>
        <v/>
      </c>
      <c r="K6" s="72" t="str">
        <f>IF('Registrar bienes de inversión'!K6="","",'Registrar bienes de inversión'!K6)</f>
        <v/>
      </c>
      <c r="L6" s="60" t="str">
        <f>IF('Registrar bienes de inversión'!L6="","",VLOOKUP(CONCATENATE("METODO AMORTIZACION",'Registrar bienes de inversión'!L6),'CODIGO-LITERAL'!$C:$D,2,FALSE))</f>
        <v/>
      </c>
      <c r="M6" s="72" t="str">
        <f>IF('Registrar bienes de inversión'!M6="","",'Registrar bienes de inversión'!M6)</f>
        <v/>
      </c>
      <c r="N6" s="72" t="str">
        <f>IF('Registrar bienes de inversión'!N6="","",'Registrar bienes de inversión'!N6)</f>
        <v/>
      </c>
      <c r="O6" s="72" t="str">
        <f>IF('Registrar bienes de inversión'!O6="","",'Registrar bienes de inversión'!O6)</f>
        <v/>
      </c>
      <c r="P6" s="72" t="str">
        <f>IF('Registrar bienes de inversión'!P6="","",'Registrar bienes de inversión'!P6)</f>
        <v/>
      </c>
      <c r="Q6" s="72" t="str">
        <f>IF('Registrar bienes de inversión'!Q6="","",'Registrar bienes de inversión'!Q6)</f>
        <v/>
      </c>
      <c r="R6" s="64" t="str">
        <f>IF('Registrar bienes de inversión'!R6="","",'Registrar bienes de inversión'!R6)</f>
        <v/>
      </c>
      <c r="S6" s="60" t="str">
        <f>IF('Registrar bienes de inversión'!S6="","",'Registrar bienes de inversión'!S6)</f>
        <v/>
      </c>
      <c r="T6" s="60" t="str">
        <f>IF('Registrar bienes de inversión'!T6="","",'Registrar bienes de inversión'!T6)</f>
        <v/>
      </c>
      <c r="U6" s="60" t="str">
        <f>IF('Registrar bienes de inversión'!U6="","",'Registrar bienes de inversión'!U6)</f>
        <v/>
      </c>
      <c r="V6" s="60" t="str">
        <f>IF('Registrar bienes de inversión'!V6="","",'Registrar bienes de inversión'!V6)</f>
        <v/>
      </c>
      <c r="W6" s="60" t="str">
        <f>IF(OR('Registrar bienes de inversión'!W6="",LEFT('Registrar bienes de inversión'!W6,2)="01"),"",VLOOKUP(CONCATENATE("TIPO NIF",'Registrar bienes de inversión'!W6),'CODIGO-LITERAL'!$C:$D,2,FALSE))</f>
        <v/>
      </c>
      <c r="X6" s="60" t="str">
        <f>IF('Registrar bienes de inversión'!X6="","",'Registrar bienes de inversión'!X6)</f>
        <v/>
      </c>
      <c r="Y6" s="60" t="str">
        <f>IF('Registrar bienes de inversión'!Y6="","",'Registrar bienes de inversión'!Y6)</f>
        <v/>
      </c>
      <c r="Z6" s="60" t="str">
        <f>IF('Registrar bienes de inversión'!Z6="","",'Registrar bienes de inversión'!Z6)</f>
        <v/>
      </c>
      <c r="AA6" s="72" t="str">
        <f>IF('Registrar bienes de inversión'!AA6="","",ROUND('Registrar bienes de inversión'!AA6,2))</f>
        <v/>
      </c>
      <c r="AB6" s="72" t="str">
        <f>IF('Registrar bienes de inversión'!AB6="","",'Registrar bienes de inversión'!AB6)</f>
        <v/>
      </c>
      <c r="AC6" s="72" t="str">
        <f>IF('Registrar bienes de inversión'!AC6="","",ROUND('Registrar bienes de inversión'!AC6,2))</f>
        <v/>
      </c>
      <c r="AD6" s="72" t="str">
        <f>IF('Registrar bienes de inversión'!AD6="","",ROUND('Registrar bienes de inversión'!AD6,2))</f>
        <v/>
      </c>
      <c r="AE6" s="72" t="str">
        <f>IF('Registrar bienes de inversión'!AE6="","",ROUND('Registrar bienes de inversión'!AE6,2))</f>
        <v/>
      </c>
      <c r="AF6" s="72" t="str">
        <f>IF('Registrar bienes de inversión'!AF6="","",ROUND('Registrar bienes de inversión'!AF6,2))</f>
        <v/>
      </c>
      <c r="AG6" s="72" t="str">
        <f>IF('Registrar bienes de inversión'!AG6="","",ROUND('Registrar bienes de inversión'!AG6,2))</f>
        <v/>
      </c>
      <c r="AH6" s="64" t="str">
        <f>IF('Registrar bienes de inversión'!AH6="","",'Registrar bienes de inversión'!AH6)</f>
        <v/>
      </c>
      <c r="AI6" s="60" t="str">
        <f>IF('Registrar bienes de inversión'!AI6="","",VLOOKUP(CONCATENATE("CAUSA BAJA BIEN",'Registrar bienes de inversión'!AI6),'CODIGO-LITERAL'!$C:$D,2,FALSE))</f>
        <v/>
      </c>
      <c r="AJ6" s="60" t="str">
        <f>IF('Registrar bienes de inversión'!AJ6="","",'Registrar bienes de inversión'!AJ6)</f>
        <v/>
      </c>
      <c r="AK6" s="60" t="str">
        <f>IF('Registrar bienes de inversión'!AK6="","",'Registrar bienes de inversión'!AK6)</f>
        <v/>
      </c>
      <c r="AL6" s="60" t="str">
        <f>IF('Registrar bienes de inversión'!AL6="","",'Registrar bienes de inversión'!AL6)</f>
        <v/>
      </c>
      <c r="AM6" s="60" t="str">
        <f>IF('Registrar bienes de inversión'!AM6="","",'Registrar bienes de inversión'!AM6)</f>
        <v/>
      </c>
      <c r="AN6" s="60" t="str">
        <f>IF('Registrar bienes de inversión'!AN6="","",VLOOKUP(CONCATENATE("SITUACION",'Registrar bienes de inversión'!AN6),'CODIGO-LITERAL'!$C:$D,2,FALSE))</f>
        <v/>
      </c>
      <c r="AO6" s="60" t="str">
        <f>IF('Registrar bienes de inversión'!AO6="","",'Registrar bienes de inversión'!AO6)</f>
        <v/>
      </c>
      <c r="AP6" s="60" t="str">
        <f>IF('Registrar bienes de inversión'!AP6="","",'Registrar bienes de inversión'!AP6)</f>
        <v/>
      </c>
    </row>
    <row r="7" spans="1:42" s="25" customFormat="1" ht="13.5" x14ac:dyDescent="0.25">
      <c r="A7" s="71" t="str">
        <f>IF('Registrar bienes de inversión'!A7="","",'Registrar bienes de inversión'!A7)</f>
        <v/>
      </c>
      <c r="B7" s="60" t="str">
        <f>IF('Registrar bienes de inversión'!B7="","",'Registrar bienes de inversión'!B7)</f>
        <v/>
      </c>
      <c r="C7" s="60" t="str">
        <f>IF('Registrar bienes de inversión'!C7="","",VLOOKUP(CONCATENATE("ACTIVIDAD",'Registrar bienes de inversión'!C7),'CODIGO-LITERAL'!$C:$D,2,FALSE))</f>
        <v/>
      </c>
      <c r="D7" s="60" t="str">
        <f>IF(OR(C7="C",C7="D"),"",IF(ISERROR(VLOOKUP(CONCATENATE(C7,'Registrar bienes de inversión'!D7),'CODIGO-LITERAL'!$C:$D,2,FALSE)),"",VLOOKUP(CONCATENATE(C7,'Registrar bienes de inversión'!D7),'CODIGO-LITERAL'!$C:$D,2,FALSE)))</f>
        <v/>
      </c>
      <c r="E7" s="60" t="str">
        <f>IF('Registrar bienes de inversión'!E7="","",'Registrar bienes de inversión'!E7)</f>
        <v/>
      </c>
      <c r="F7" s="60" t="str">
        <f>IF('Registrar bienes de inversión'!F7="","",VLOOKUP(CONCATENATE("TIPO BIEN",'Registrar bienes de inversión'!F7),'CODIGO-LITERAL'!$C:$D,2,FALSE))</f>
        <v/>
      </c>
      <c r="G7" s="60" t="str">
        <f>IF('Registrar bienes de inversión'!G7="","",'Registrar bienes de inversión'!G7)</f>
        <v/>
      </c>
      <c r="H7" s="60" t="str">
        <f>IF('Registrar bienes de inversión'!H7="","",'Registrar bienes de inversión'!H7)</f>
        <v/>
      </c>
      <c r="I7" s="64" t="str">
        <f>IF('Registrar bienes de inversión'!I7="","",'Registrar bienes de inversión'!I7)</f>
        <v/>
      </c>
      <c r="J7" s="72" t="str">
        <f>IF('Registrar bienes de inversión'!J7="","",'Registrar bienes de inversión'!J7)</f>
        <v/>
      </c>
      <c r="K7" s="72" t="str">
        <f>IF('Registrar bienes de inversión'!K7="","",'Registrar bienes de inversión'!K7)</f>
        <v/>
      </c>
      <c r="L7" s="60" t="str">
        <f>IF('Registrar bienes de inversión'!L7="","",VLOOKUP(CONCATENATE("METODO AMORTIZACION",'Registrar bienes de inversión'!L7),'CODIGO-LITERAL'!$C:$D,2,FALSE))</f>
        <v/>
      </c>
      <c r="M7" s="72" t="str">
        <f>IF('Registrar bienes de inversión'!M7="","",'Registrar bienes de inversión'!M7)</f>
        <v/>
      </c>
      <c r="N7" s="72" t="str">
        <f>IF('Registrar bienes de inversión'!N7="","",'Registrar bienes de inversión'!N7)</f>
        <v/>
      </c>
      <c r="O7" s="72" t="str">
        <f>IF('Registrar bienes de inversión'!O7="","",'Registrar bienes de inversión'!O7)</f>
        <v/>
      </c>
      <c r="P7" s="72" t="str">
        <f>IF('Registrar bienes de inversión'!P7="","",'Registrar bienes de inversión'!P7)</f>
        <v/>
      </c>
      <c r="Q7" s="72" t="str">
        <f>IF('Registrar bienes de inversión'!Q7="","",'Registrar bienes de inversión'!Q7)</f>
        <v/>
      </c>
      <c r="R7" s="64" t="str">
        <f>IF('Registrar bienes de inversión'!R7="","",'Registrar bienes de inversión'!R7)</f>
        <v/>
      </c>
      <c r="S7" s="60" t="str">
        <f>IF('Registrar bienes de inversión'!S7="","",'Registrar bienes de inversión'!S7)</f>
        <v/>
      </c>
      <c r="T7" s="60" t="str">
        <f>IF('Registrar bienes de inversión'!T7="","",'Registrar bienes de inversión'!T7)</f>
        <v/>
      </c>
      <c r="U7" s="60" t="str">
        <f>IF('Registrar bienes de inversión'!U7="","",'Registrar bienes de inversión'!U7)</f>
        <v/>
      </c>
      <c r="V7" s="60" t="str">
        <f>IF('Registrar bienes de inversión'!V7="","",'Registrar bienes de inversión'!V7)</f>
        <v/>
      </c>
      <c r="W7" s="60" t="str">
        <f>IF(OR('Registrar bienes de inversión'!W7="",LEFT('Registrar bienes de inversión'!W7,2)="01"),"",VLOOKUP(CONCATENATE("TIPO NIF",'Registrar bienes de inversión'!W7),'CODIGO-LITERAL'!$C:$D,2,FALSE))</f>
        <v/>
      </c>
      <c r="X7" s="60" t="str">
        <f>IF('Registrar bienes de inversión'!X7="","",'Registrar bienes de inversión'!X7)</f>
        <v/>
      </c>
      <c r="Y7" s="60" t="str">
        <f>IF('Registrar bienes de inversión'!Y7="","",'Registrar bienes de inversión'!Y7)</f>
        <v/>
      </c>
      <c r="Z7" s="60" t="str">
        <f>IF('Registrar bienes de inversión'!Z7="","",'Registrar bienes de inversión'!Z7)</f>
        <v/>
      </c>
      <c r="AA7" s="72" t="str">
        <f>IF('Registrar bienes de inversión'!AA7="","",ROUND('Registrar bienes de inversión'!AA7,2))</f>
        <v/>
      </c>
      <c r="AB7" s="72" t="str">
        <f>IF('Registrar bienes de inversión'!AB7="","",'Registrar bienes de inversión'!AB7)</f>
        <v/>
      </c>
      <c r="AC7" s="72" t="str">
        <f>IF('Registrar bienes de inversión'!AC7="","",ROUND('Registrar bienes de inversión'!AC7,2))</f>
        <v/>
      </c>
      <c r="AD7" s="72" t="str">
        <f>IF('Registrar bienes de inversión'!AD7="","",ROUND('Registrar bienes de inversión'!AD7,2))</f>
        <v/>
      </c>
      <c r="AE7" s="72" t="str">
        <f>IF('Registrar bienes de inversión'!AE7="","",ROUND('Registrar bienes de inversión'!AE7,2))</f>
        <v/>
      </c>
      <c r="AF7" s="72" t="str">
        <f>IF('Registrar bienes de inversión'!AF7="","",ROUND('Registrar bienes de inversión'!AF7,2))</f>
        <v/>
      </c>
      <c r="AG7" s="72" t="str">
        <f>IF('Registrar bienes de inversión'!AG7="","",ROUND('Registrar bienes de inversión'!AG7,2))</f>
        <v/>
      </c>
      <c r="AH7" s="64" t="str">
        <f>IF('Registrar bienes de inversión'!AH7="","",'Registrar bienes de inversión'!AH7)</f>
        <v/>
      </c>
      <c r="AI7" s="60" t="str">
        <f>IF('Registrar bienes de inversión'!AI7="","",VLOOKUP(CONCATENATE("CAUSA BAJA BIEN",'Registrar bienes de inversión'!AI7),'CODIGO-LITERAL'!$C:$D,2,FALSE))</f>
        <v/>
      </c>
      <c r="AJ7" s="60" t="str">
        <f>IF('Registrar bienes de inversión'!AJ7="","",'Registrar bienes de inversión'!AJ7)</f>
        <v/>
      </c>
      <c r="AK7" s="60" t="str">
        <f>IF('Registrar bienes de inversión'!AK7="","",'Registrar bienes de inversión'!AK7)</f>
        <v/>
      </c>
      <c r="AL7" s="60" t="str">
        <f>IF('Registrar bienes de inversión'!AL7="","",'Registrar bienes de inversión'!AL7)</f>
        <v/>
      </c>
      <c r="AM7" s="60" t="str">
        <f>IF('Registrar bienes de inversión'!AM7="","",'Registrar bienes de inversión'!AM7)</f>
        <v/>
      </c>
      <c r="AN7" s="60" t="str">
        <f>IF('Registrar bienes de inversión'!AN7="","",VLOOKUP(CONCATENATE("SITUACION",'Registrar bienes de inversión'!AN7),'CODIGO-LITERAL'!$C:$D,2,FALSE))</f>
        <v/>
      </c>
      <c r="AO7" s="60" t="str">
        <f>IF('Registrar bienes de inversión'!AO7="","",'Registrar bienes de inversión'!AO7)</f>
        <v/>
      </c>
      <c r="AP7" s="60" t="str">
        <f>IF('Registrar bienes de inversión'!AP7="","",'Registrar bienes de inversión'!AP7)</f>
        <v/>
      </c>
    </row>
    <row r="8" spans="1:42" s="25" customFormat="1" ht="13.5" x14ac:dyDescent="0.25">
      <c r="A8" s="71" t="str">
        <f>IF('Registrar bienes de inversión'!A8="","",'Registrar bienes de inversión'!A8)</f>
        <v/>
      </c>
      <c r="B8" s="60" t="str">
        <f>IF('Registrar bienes de inversión'!B8="","",'Registrar bienes de inversión'!B8)</f>
        <v/>
      </c>
      <c r="C8" s="60" t="str">
        <f>IF('Registrar bienes de inversión'!C8="","",VLOOKUP(CONCATENATE("ACTIVIDAD",'Registrar bienes de inversión'!C8),'CODIGO-LITERAL'!$C:$D,2,FALSE))</f>
        <v/>
      </c>
      <c r="D8" s="60" t="str">
        <f>IF(OR(C8="C",C8="D"),"",IF(ISERROR(VLOOKUP(CONCATENATE(C8,'Registrar bienes de inversión'!D8),'CODIGO-LITERAL'!$C:$D,2,FALSE)),"",VLOOKUP(CONCATENATE(C8,'Registrar bienes de inversión'!D8),'CODIGO-LITERAL'!$C:$D,2,FALSE)))</f>
        <v/>
      </c>
      <c r="E8" s="60" t="str">
        <f>IF('Registrar bienes de inversión'!E8="","",'Registrar bienes de inversión'!E8)</f>
        <v/>
      </c>
      <c r="F8" s="60" t="str">
        <f>IF('Registrar bienes de inversión'!F8="","",VLOOKUP(CONCATENATE("TIPO BIEN",'Registrar bienes de inversión'!F8),'CODIGO-LITERAL'!$C:$D,2,FALSE))</f>
        <v/>
      </c>
      <c r="G8" s="60" t="str">
        <f>IF('Registrar bienes de inversión'!G8="","",'Registrar bienes de inversión'!G8)</f>
        <v/>
      </c>
      <c r="H8" s="60" t="str">
        <f>IF('Registrar bienes de inversión'!H8="","",'Registrar bienes de inversión'!H8)</f>
        <v/>
      </c>
      <c r="I8" s="64" t="str">
        <f>IF('Registrar bienes de inversión'!I8="","",'Registrar bienes de inversión'!I8)</f>
        <v/>
      </c>
      <c r="J8" s="72" t="str">
        <f>IF('Registrar bienes de inversión'!J8="","",'Registrar bienes de inversión'!J8)</f>
        <v/>
      </c>
      <c r="K8" s="72" t="str">
        <f>IF('Registrar bienes de inversión'!K8="","",'Registrar bienes de inversión'!K8)</f>
        <v/>
      </c>
      <c r="L8" s="60" t="str">
        <f>IF('Registrar bienes de inversión'!L8="","",VLOOKUP(CONCATENATE("METODO AMORTIZACION",'Registrar bienes de inversión'!L8),'CODIGO-LITERAL'!$C:$D,2,FALSE))</f>
        <v/>
      </c>
      <c r="M8" s="72" t="str">
        <f>IF('Registrar bienes de inversión'!M8="","",'Registrar bienes de inversión'!M8)</f>
        <v/>
      </c>
      <c r="N8" s="72" t="str">
        <f>IF('Registrar bienes de inversión'!N8="","",'Registrar bienes de inversión'!N8)</f>
        <v/>
      </c>
      <c r="O8" s="72" t="str">
        <f>IF('Registrar bienes de inversión'!O8="","",'Registrar bienes de inversión'!O8)</f>
        <v/>
      </c>
      <c r="P8" s="72" t="str">
        <f>IF('Registrar bienes de inversión'!P8="","",'Registrar bienes de inversión'!P8)</f>
        <v/>
      </c>
      <c r="Q8" s="72" t="str">
        <f>IF('Registrar bienes de inversión'!Q8="","",'Registrar bienes de inversión'!Q8)</f>
        <v/>
      </c>
      <c r="R8" s="64" t="str">
        <f>IF('Registrar bienes de inversión'!R8="","",'Registrar bienes de inversión'!R8)</f>
        <v/>
      </c>
      <c r="S8" s="60" t="str">
        <f>IF('Registrar bienes de inversión'!S8="","",'Registrar bienes de inversión'!S8)</f>
        <v/>
      </c>
      <c r="T8" s="60" t="str">
        <f>IF('Registrar bienes de inversión'!T8="","",'Registrar bienes de inversión'!T8)</f>
        <v/>
      </c>
      <c r="U8" s="60" t="str">
        <f>IF('Registrar bienes de inversión'!U8="","",'Registrar bienes de inversión'!U8)</f>
        <v/>
      </c>
      <c r="V8" s="60" t="str">
        <f>IF('Registrar bienes de inversión'!V8="","",'Registrar bienes de inversión'!V8)</f>
        <v/>
      </c>
      <c r="W8" s="60" t="str">
        <f>IF(OR('Registrar bienes de inversión'!W8="",LEFT('Registrar bienes de inversión'!W8,2)="01"),"",VLOOKUP(CONCATENATE("TIPO NIF",'Registrar bienes de inversión'!W8),'CODIGO-LITERAL'!$C:$D,2,FALSE))</f>
        <v/>
      </c>
      <c r="X8" s="60" t="str">
        <f>IF('Registrar bienes de inversión'!X8="","",'Registrar bienes de inversión'!X8)</f>
        <v/>
      </c>
      <c r="Y8" s="60" t="str">
        <f>IF('Registrar bienes de inversión'!Y8="","",'Registrar bienes de inversión'!Y8)</f>
        <v/>
      </c>
      <c r="Z8" s="60" t="str">
        <f>IF('Registrar bienes de inversión'!Z8="","",'Registrar bienes de inversión'!Z8)</f>
        <v/>
      </c>
      <c r="AA8" s="72" t="str">
        <f>IF('Registrar bienes de inversión'!AA8="","",ROUND('Registrar bienes de inversión'!AA8,2))</f>
        <v/>
      </c>
      <c r="AB8" s="72" t="str">
        <f>IF('Registrar bienes de inversión'!AB8="","",'Registrar bienes de inversión'!AB8)</f>
        <v/>
      </c>
      <c r="AC8" s="72" t="str">
        <f>IF('Registrar bienes de inversión'!AC8="","",ROUND('Registrar bienes de inversión'!AC8,2))</f>
        <v/>
      </c>
      <c r="AD8" s="72" t="str">
        <f>IF('Registrar bienes de inversión'!AD8="","",ROUND('Registrar bienes de inversión'!AD8,2))</f>
        <v/>
      </c>
      <c r="AE8" s="72" t="str">
        <f>IF('Registrar bienes de inversión'!AE8="","",ROUND('Registrar bienes de inversión'!AE8,2))</f>
        <v/>
      </c>
      <c r="AF8" s="72" t="str">
        <f>IF('Registrar bienes de inversión'!AF8="","",ROUND('Registrar bienes de inversión'!AF8,2))</f>
        <v/>
      </c>
      <c r="AG8" s="72" t="str">
        <f>IF('Registrar bienes de inversión'!AG8="","",ROUND('Registrar bienes de inversión'!AG8,2))</f>
        <v/>
      </c>
      <c r="AH8" s="64" t="str">
        <f>IF('Registrar bienes de inversión'!AH8="","",'Registrar bienes de inversión'!AH8)</f>
        <v/>
      </c>
      <c r="AI8" s="60" t="str">
        <f>IF('Registrar bienes de inversión'!AI8="","",VLOOKUP(CONCATENATE("CAUSA BAJA BIEN",'Registrar bienes de inversión'!AI8),'CODIGO-LITERAL'!$C:$D,2,FALSE))</f>
        <v/>
      </c>
      <c r="AJ8" s="60" t="str">
        <f>IF('Registrar bienes de inversión'!AJ8="","",'Registrar bienes de inversión'!AJ8)</f>
        <v/>
      </c>
      <c r="AK8" s="60" t="str">
        <f>IF('Registrar bienes de inversión'!AK8="","",'Registrar bienes de inversión'!AK8)</f>
        <v/>
      </c>
      <c r="AL8" s="60" t="str">
        <f>IF('Registrar bienes de inversión'!AL8="","",'Registrar bienes de inversión'!AL8)</f>
        <v/>
      </c>
      <c r="AM8" s="60" t="str">
        <f>IF('Registrar bienes de inversión'!AM8="","",'Registrar bienes de inversión'!AM8)</f>
        <v/>
      </c>
      <c r="AN8" s="60" t="str">
        <f>IF('Registrar bienes de inversión'!AN8="","",VLOOKUP(CONCATENATE("SITUACION",'Registrar bienes de inversión'!AN8),'CODIGO-LITERAL'!$C:$D,2,FALSE))</f>
        <v/>
      </c>
      <c r="AO8" s="60" t="str">
        <f>IF('Registrar bienes de inversión'!AO8="","",'Registrar bienes de inversión'!AO8)</f>
        <v/>
      </c>
      <c r="AP8" s="60" t="str">
        <f>IF('Registrar bienes de inversión'!AP8="","",'Registrar bienes de inversión'!AP8)</f>
        <v/>
      </c>
    </row>
    <row r="9" spans="1:42" s="25" customFormat="1" ht="13.5" x14ac:dyDescent="0.25">
      <c r="A9" s="71" t="str">
        <f>IF('Registrar bienes de inversión'!A9="","",'Registrar bienes de inversión'!A9)</f>
        <v/>
      </c>
      <c r="B9" s="60" t="str">
        <f>IF('Registrar bienes de inversión'!B9="","",'Registrar bienes de inversión'!B9)</f>
        <v/>
      </c>
      <c r="C9" s="60" t="str">
        <f>IF('Registrar bienes de inversión'!C9="","",VLOOKUP(CONCATENATE("ACTIVIDAD",'Registrar bienes de inversión'!C9),'CODIGO-LITERAL'!$C:$D,2,FALSE))</f>
        <v/>
      </c>
      <c r="D9" s="60" t="str">
        <f>IF(OR(C9="C",C9="D"),"",IF(ISERROR(VLOOKUP(CONCATENATE(C9,'Registrar bienes de inversión'!D9),'CODIGO-LITERAL'!$C:$D,2,FALSE)),"",VLOOKUP(CONCATENATE(C9,'Registrar bienes de inversión'!D9),'CODIGO-LITERAL'!$C:$D,2,FALSE)))</f>
        <v/>
      </c>
      <c r="E9" s="60" t="str">
        <f>IF('Registrar bienes de inversión'!E9="","",'Registrar bienes de inversión'!E9)</f>
        <v/>
      </c>
      <c r="F9" s="60" t="str">
        <f>IF('Registrar bienes de inversión'!F9="","",VLOOKUP(CONCATENATE("TIPO BIEN",'Registrar bienes de inversión'!F9),'CODIGO-LITERAL'!$C:$D,2,FALSE))</f>
        <v/>
      </c>
      <c r="G9" s="60" t="str">
        <f>IF('Registrar bienes de inversión'!G9="","",'Registrar bienes de inversión'!G9)</f>
        <v/>
      </c>
      <c r="H9" s="60" t="str">
        <f>IF('Registrar bienes de inversión'!H9="","",'Registrar bienes de inversión'!H9)</f>
        <v/>
      </c>
      <c r="I9" s="64" t="str">
        <f>IF('Registrar bienes de inversión'!I9="","",'Registrar bienes de inversión'!I9)</f>
        <v/>
      </c>
      <c r="J9" s="72" t="str">
        <f>IF('Registrar bienes de inversión'!J9="","",'Registrar bienes de inversión'!J9)</f>
        <v/>
      </c>
      <c r="K9" s="72" t="str">
        <f>IF('Registrar bienes de inversión'!K9="","",'Registrar bienes de inversión'!K9)</f>
        <v/>
      </c>
      <c r="L9" s="60" t="str">
        <f>IF('Registrar bienes de inversión'!L9="","",VLOOKUP(CONCATENATE("METODO AMORTIZACION",'Registrar bienes de inversión'!L9),'CODIGO-LITERAL'!$C:$D,2,FALSE))</f>
        <v/>
      </c>
      <c r="M9" s="72" t="str">
        <f>IF('Registrar bienes de inversión'!M9="","",'Registrar bienes de inversión'!M9)</f>
        <v/>
      </c>
      <c r="N9" s="72" t="str">
        <f>IF('Registrar bienes de inversión'!N9="","",'Registrar bienes de inversión'!N9)</f>
        <v/>
      </c>
      <c r="O9" s="72" t="str">
        <f>IF('Registrar bienes de inversión'!O9="","",'Registrar bienes de inversión'!O9)</f>
        <v/>
      </c>
      <c r="P9" s="72" t="str">
        <f>IF('Registrar bienes de inversión'!P9="","",'Registrar bienes de inversión'!P9)</f>
        <v/>
      </c>
      <c r="Q9" s="72" t="str">
        <f>IF('Registrar bienes de inversión'!Q9="","",'Registrar bienes de inversión'!Q9)</f>
        <v/>
      </c>
      <c r="R9" s="64" t="str">
        <f>IF('Registrar bienes de inversión'!R9="","",'Registrar bienes de inversión'!R9)</f>
        <v/>
      </c>
      <c r="S9" s="60" t="str">
        <f>IF('Registrar bienes de inversión'!S9="","",'Registrar bienes de inversión'!S9)</f>
        <v/>
      </c>
      <c r="T9" s="60" t="str">
        <f>IF('Registrar bienes de inversión'!T9="","",'Registrar bienes de inversión'!T9)</f>
        <v/>
      </c>
      <c r="U9" s="60" t="str">
        <f>IF('Registrar bienes de inversión'!U9="","",'Registrar bienes de inversión'!U9)</f>
        <v/>
      </c>
      <c r="V9" s="60" t="str">
        <f>IF('Registrar bienes de inversión'!V9="","",'Registrar bienes de inversión'!V9)</f>
        <v/>
      </c>
      <c r="W9" s="60" t="str">
        <f>IF(OR('Registrar bienes de inversión'!W9="",LEFT('Registrar bienes de inversión'!W9,2)="01"),"",VLOOKUP(CONCATENATE("TIPO NIF",'Registrar bienes de inversión'!W9),'CODIGO-LITERAL'!$C:$D,2,FALSE))</f>
        <v/>
      </c>
      <c r="X9" s="60" t="str">
        <f>IF('Registrar bienes de inversión'!X9="","",'Registrar bienes de inversión'!X9)</f>
        <v/>
      </c>
      <c r="Y9" s="60" t="str">
        <f>IF('Registrar bienes de inversión'!Y9="","",'Registrar bienes de inversión'!Y9)</f>
        <v/>
      </c>
      <c r="Z9" s="60" t="str">
        <f>IF('Registrar bienes de inversión'!Z9="","",'Registrar bienes de inversión'!Z9)</f>
        <v/>
      </c>
      <c r="AA9" s="72" t="str">
        <f>IF('Registrar bienes de inversión'!AA9="","",ROUND('Registrar bienes de inversión'!AA9,2))</f>
        <v/>
      </c>
      <c r="AB9" s="72" t="str">
        <f>IF('Registrar bienes de inversión'!AB9="","",'Registrar bienes de inversión'!AB9)</f>
        <v/>
      </c>
      <c r="AC9" s="72" t="str">
        <f>IF('Registrar bienes de inversión'!AC9="","",ROUND('Registrar bienes de inversión'!AC9,2))</f>
        <v/>
      </c>
      <c r="AD9" s="72" t="str">
        <f>IF('Registrar bienes de inversión'!AD9="","",ROUND('Registrar bienes de inversión'!AD9,2))</f>
        <v/>
      </c>
      <c r="AE9" s="72" t="str">
        <f>IF('Registrar bienes de inversión'!AE9="","",ROUND('Registrar bienes de inversión'!AE9,2))</f>
        <v/>
      </c>
      <c r="AF9" s="72" t="str">
        <f>IF('Registrar bienes de inversión'!AF9="","",ROUND('Registrar bienes de inversión'!AF9,2))</f>
        <v/>
      </c>
      <c r="AG9" s="72" t="str">
        <f>IF('Registrar bienes de inversión'!AG9="","",ROUND('Registrar bienes de inversión'!AG9,2))</f>
        <v/>
      </c>
      <c r="AH9" s="64" t="str">
        <f>IF('Registrar bienes de inversión'!AH9="","",'Registrar bienes de inversión'!AH9)</f>
        <v/>
      </c>
      <c r="AI9" s="60" t="str">
        <f>IF('Registrar bienes de inversión'!AI9="","",VLOOKUP(CONCATENATE("CAUSA BAJA BIEN",'Registrar bienes de inversión'!AI9),'CODIGO-LITERAL'!$C:$D,2,FALSE))</f>
        <v/>
      </c>
      <c r="AJ9" s="60" t="str">
        <f>IF('Registrar bienes de inversión'!AJ9="","",'Registrar bienes de inversión'!AJ9)</f>
        <v/>
      </c>
      <c r="AK9" s="60" t="str">
        <f>IF('Registrar bienes de inversión'!AK9="","",'Registrar bienes de inversión'!AK9)</f>
        <v/>
      </c>
      <c r="AL9" s="60" t="str">
        <f>IF('Registrar bienes de inversión'!AL9="","",'Registrar bienes de inversión'!AL9)</f>
        <v/>
      </c>
      <c r="AM9" s="60" t="str">
        <f>IF('Registrar bienes de inversión'!AM9="","",'Registrar bienes de inversión'!AM9)</f>
        <v/>
      </c>
      <c r="AN9" s="60" t="str">
        <f>IF('Registrar bienes de inversión'!AN9="","",VLOOKUP(CONCATENATE("SITUACION",'Registrar bienes de inversión'!AN9),'CODIGO-LITERAL'!$C:$D,2,FALSE))</f>
        <v/>
      </c>
      <c r="AO9" s="60" t="str">
        <f>IF('Registrar bienes de inversión'!AO9="","",'Registrar bienes de inversión'!AO9)</f>
        <v/>
      </c>
      <c r="AP9" s="60" t="str">
        <f>IF('Registrar bienes de inversión'!AP9="","",'Registrar bienes de inversión'!AP9)</f>
        <v/>
      </c>
    </row>
    <row r="10" spans="1:42" s="25" customFormat="1" ht="13.5" x14ac:dyDescent="0.25">
      <c r="A10" s="71" t="str">
        <f>IF('Registrar bienes de inversión'!A10="","",'Registrar bienes de inversión'!A10)</f>
        <v/>
      </c>
      <c r="B10" s="60" t="str">
        <f>IF('Registrar bienes de inversión'!B10="","",'Registrar bienes de inversión'!B10)</f>
        <v/>
      </c>
      <c r="C10" s="60" t="str">
        <f>IF('Registrar bienes de inversión'!C10="","",VLOOKUP(CONCATENATE("ACTIVIDAD",'Registrar bienes de inversión'!C10),'CODIGO-LITERAL'!$C:$D,2,FALSE))</f>
        <v/>
      </c>
      <c r="D10" s="60" t="str">
        <f>IF(OR(C10="C",C10="D"),"",IF(ISERROR(VLOOKUP(CONCATENATE(C10,'Registrar bienes de inversión'!D10),'CODIGO-LITERAL'!$C:$D,2,FALSE)),"",VLOOKUP(CONCATENATE(C10,'Registrar bienes de inversión'!D10),'CODIGO-LITERAL'!$C:$D,2,FALSE)))</f>
        <v/>
      </c>
      <c r="E10" s="60" t="str">
        <f>IF('Registrar bienes de inversión'!E10="","",'Registrar bienes de inversión'!E10)</f>
        <v/>
      </c>
      <c r="F10" s="60" t="str">
        <f>IF('Registrar bienes de inversión'!F10="","",VLOOKUP(CONCATENATE("TIPO BIEN",'Registrar bienes de inversión'!F10),'CODIGO-LITERAL'!$C:$D,2,FALSE))</f>
        <v/>
      </c>
      <c r="G10" s="60" t="str">
        <f>IF('Registrar bienes de inversión'!G10="","",'Registrar bienes de inversión'!G10)</f>
        <v/>
      </c>
      <c r="H10" s="60" t="str">
        <f>IF('Registrar bienes de inversión'!H10="","",'Registrar bienes de inversión'!H10)</f>
        <v/>
      </c>
      <c r="I10" s="64" t="str">
        <f>IF('Registrar bienes de inversión'!I10="","",'Registrar bienes de inversión'!I10)</f>
        <v/>
      </c>
      <c r="J10" s="72" t="str">
        <f>IF('Registrar bienes de inversión'!J10="","",'Registrar bienes de inversión'!J10)</f>
        <v/>
      </c>
      <c r="K10" s="72" t="str">
        <f>IF('Registrar bienes de inversión'!K10="","",'Registrar bienes de inversión'!K10)</f>
        <v/>
      </c>
      <c r="L10" s="60" t="str">
        <f>IF('Registrar bienes de inversión'!L10="","",VLOOKUP(CONCATENATE("METODO AMORTIZACION",'Registrar bienes de inversión'!L10),'CODIGO-LITERAL'!$C:$D,2,FALSE))</f>
        <v/>
      </c>
      <c r="M10" s="72" t="str">
        <f>IF('Registrar bienes de inversión'!M10="","",'Registrar bienes de inversión'!M10)</f>
        <v/>
      </c>
      <c r="N10" s="72" t="str">
        <f>IF('Registrar bienes de inversión'!N10="","",'Registrar bienes de inversión'!N10)</f>
        <v/>
      </c>
      <c r="O10" s="72" t="str">
        <f>IF('Registrar bienes de inversión'!O10="","",'Registrar bienes de inversión'!O10)</f>
        <v/>
      </c>
      <c r="P10" s="72" t="str">
        <f>IF('Registrar bienes de inversión'!P10="","",'Registrar bienes de inversión'!P10)</f>
        <v/>
      </c>
      <c r="Q10" s="72" t="str">
        <f>IF('Registrar bienes de inversión'!Q10="","",'Registrar bienes de inversión'!Q10)</f>
        <v/>
      </c>
      <c r="R10" s="64" t="str">
        <f>IF('Registrar bienes de inversión'!R10="","",'Registrar bienes de inversión'!R10)</f>
        <v/>
      </c>
      <c r="S10" s="60" t="str">
        <f>IF('Registrar bienes de inversión'!S10="","",'Registrar bienes de inversión'!S10)</f>
        <v/>
      </c>
      <c r="T10" s="60" t="str">
        <f>IF('Registrar bienes de inversión'!T10="","",'Registrar bienes de inversión'!T10)</f>
        <v/>
      </c>
      <c r="U10" s="60" t="str">
        <f>IF('Registrar bienes de inversión'!U10="","",'Registrar bienes de inversión'!U10)</f>
        <v/>
      </c>
      <c r="V10" s="60" t="str">
        <f>IF('Registrar bienes de inversión'!V10="","",'Registrar bienes de inversión'!V10)</f>
        <v/>
      </c>
      <c r="W10" s="60" t="str">
        <f>IF(OR('Registrar bienes de inversión'!W10="",LEFT('Registrar bienes de inversión'!W10,2)="01"),"",VLOOKUP(CONCATENATE("TIPO NIF",'Registrar bienes de inversión'!W10),'CODIGO-LITERAL'!$C:$D,2,FALSE))</f>
        <v/>
      </c>
      <c r="X10" s="60" t="str">
        <f>IF('Registrar bienes de inversión'!X10="","",'Registrar bienes de inversión'!X10)</f>
        <v/>
      </c>
      <c r="Y10" s="60" t="str">
        <f>IF('Registrar bienes de inversión'!Y10="","",'Registrar bienes de inversión'!Y10)</f>
        <v/>
      </c>
      <c r="Z10" s="60" t="str">
        <f>IF('Registrar bienes de inversión'!Z10="","",'Registrar bienes de inversión'!Z10)</f>
        <v/>
      </c>
      <c r="AA10" s="72" t="str">
        <f>IF('Registrar bienes de inversión'!AA10="","",ROUND('Registrar bienes de inversión'!AA10,2))</f>
        <v/>
      </c>
      <c r="AB10" s="72" t="str">
        <f>IF('Registrar bienes de inversión'!AB10="","",'Registrar bienes de inversión'!AB10)</f>
        <v/>
      </c>
      <c r="AC10" s="72" t="str">
        <f>IF('Registrar bienes de inversión'!AC10="","",ROUND('Registrar bienes de inversión'!AC10,2))</f>
        <v/>
      </c>
      <c r="AD10" s="72" t="str">
        <f>IF('Registrar bienes de inversión'!AD10="","",ROUND('Registrar bienes de inversión'!AD10,2))</f>
        <v/>
      </c>
      <c r="AE10" s="72" t="str">
        <f>IF('Registrar bienes de inversión'!AE10="","",ROUND('Registrar bienes de inversión'!AE10,2))</f>
        <v/>
      </c>
      <c r="AF10" s="72" t="str">
        <f>IF('Registrar bienes de inversión'!AF10="","",ROUND('Registrar bienes de inversión'!AF10,2))</f>
        <v/>
      </c>
      <c r="AG10" s="72" t="str">
        <f>IF('Registrar bienes de inversión'!AG10="","",ROUND('Registrar bienes de inversión'!AG10,2))</f>
        <v/>
      </c>
      <c r="AH10" s="64" t="str">
        <f>IF('Registrar bienes de inversión'!AH10="","",'Registrar bienes de inversión'!AH10)</f>
        <v/>
      </c>
      <c r="AI10" s="60" t="str">
        <f>IF('Registrar bienes de inversión'!AI10="","",VLOOKUP(CONCATENATE("CAUSA BAJA BIEN",'Registrar bienes de inversión'!AI10),'CODIGO-LITERAL'!$C:$D,2,FALSE))</f>
        <v/>
      </c>
      <c r="AJ10" s="60" t="str">
        <f>IF('Registrar bienes de inversión'!AJ10="","",'Registrar bienes de inversión'!AJ10)</f>
        <v/>
      </c>
      <c r="AK10" s="60" t="str">
        <f>IF('Registrar bienes de inversión'!AK10="","",'Registrar bienes de inversión'!AK10)</f>
        <v/>
      </c>
      <c r="AL10" s="60" t="str">
        <f>IF('Registrar bienes de inversión'!AL10="","",'Registrar bienes de inversión'!AL10)</f>
        <v/>
      </c>
      <c r="AM10" s="60" t="str">
        <f>IF('Registrar bienes de inversión'!AM10="","",'Registrar bienes de inversión'!AM10)</f>
        <v/>
      </c>
      <c r="AN10" s="60" t="str">
        <f>IF('Registrar bienes de inversión'!AN10="","",VLOOKUP(CONCATENATE("SITUACION",'Registrar bienes de inversión'!AN10),'CODIGO-LITERAL'!$C:$D,2,FALSE))</f>
        <v/>
      </c>
      <c r="AO10" s="60" t="str">
        <f>IF('Registrar bienes de inversión'!AO10="","",'Registrar bienes de inversión'!AO10)</f>
        <v/>
      </c>
      <c r="AP10" s="60" t="str">
        <f>IF('Registrar bienes de inversión'!AP10="","",'Registrar bienes de inversión'!AP10)</f>
        <v/>
      </c>
    </row>
    <row r="11" spans="1:42" s="25" customFormat="1" ht="13.5" x14ac:dyDescent="0.25">
      <c r="A11" s="71" t="str">
        <f>IF('Registrar bienes de inversión'!A11="","",'Registrar bienes de inversión'!A11)</f>
        <v/>
      </c>
      <c r="B11" s="60" t="str">
        <f>IF('Registrar bienes de inversión'!B11="","",'Registrar bienes de inversión'!B11)</f>
        <v/>
      </c>
      <c r="C11" s="60" t="str">
        <f>IF('Registrar bienes de inversión'!C11="","",VLOOKUP(CONCATENATE("ACTIVIDAD",'Registrar bienes de inversión'!C11),'CODIGO-LITERAL'!$C:$D,2,FALSE))</f>
        <v/>
      </c>
      <c r="D11" s="60" t="str">
        <f>IF(OR(C11="C",C11="D"),"",IF(ISERROR(VLOOKUP(CONCATENATE(C11,'Registrar bienes de inversión'!D11),'CODIGO-LITERAL'!$C:$D,2,FALSE)),"",VLOOKUP(CONCATENATE(C11,'Registrar bienes de inversión'!D11),'CODIGO-LITERAL'!$C:$D,2,FALSE)))</f>
        <v/>
      </c>
      <c r="E11" s="60" t="str">
        <f>IF('Registrar bienes de inversión'!E11="","",'Registrar bienes de inversión'!E11)</f>
        <v/>
      </c>
      <c r="F11" s="60" t="str">
        <f>IF('Registrar bienes de inversión'!F11="","",VLOOKUP(CONCATENATE("TIPO BIEN",'Registrar bienes de inversión'!F11),'CODIGO-LITERAL'!$C:$D,2,FALSE))</f>
        <v/>
      </c>
      <c r="G11" s="60" t="str">
        <f>IF('Registrar bienes de inversión'!G11="","",'Registrar bienes de inversión'!G11)</f>
        <v/>
      </c>
      <c r="H11" s="60" t="str">
        <f>IF('Registrar bienes de inversión'!H11="","",'Registrar bienes de inversión'!H11)</f>
        <v/>
      </c>
      <c r="I11" s="64" t="str">
        <f>IF('Registrar bienes de inversión'!I11="","",'Registrar bienes de inversión'!I11)</f>
        <v/>
      </c>
      <c r="J11" s="72" t="str">
        <f>IF('Registrar bienes de inversión'!J11="","",'Registrar bienes de inversión'!J11)</f>
        <v/>
      </c>
      <c r="K11" s="72" t="str">
        <f>IF('Registrar bienes de inversión'!K11="","",'Registrar bienes de inversión'!K11)</f>
        <v/>
      </c>
      <c r="L11" s="60" t="str">
        <f>IF('Registrar bienes de inversión'!L11="","",VLOOKUP(CONCATENATE("METODO AMORTIZACION",'Registrar bienes de inversión'!L11),'CODIGO-LITERAL'!$C:$D,2,FALSE))</f>
        <v/>
      </c>
      <c r="M11" s="72" t="str">
        <f>IF('Registrar bienes de inversión'!M11="","",'Registrar bienes de inversión'!M11)</f>
        <v/>
      </c>
      <c r="N11" s="72" t="str">
        <f>IF('Registrar bienes de inversión'!N11="","",'Registrar bienes de inversión'!N11)</f>
        <v/>
      </c>
      <c r="O11" s="72" t="str">
        <f>IF('Registrar bienes de inversión'!O11="","",'Registrar bienes de inversión'!O11)</f>
        <v/>
      </c>
      <c r="P11" s="72" t="str">
        <f>IF('Registrar bienes de inversión'!P11="","",'Registrar bienes de inversión'!P11)</f>
        <v/>
      </c>
      <c r="Q11" s="72" t="str">
        <f>IF('Registrar bienes de inversión'!Q11="","",'Registrar bienes de inversión'!Q11)</f>
        <v/>
      </c>
      <c r="R11" s="64" t="str">
        <f>IF('Registrar bienes de inversión'!R11="","",'Registrar bienes de inversión'!R11)</f>
        <v/>
      </c>
      <c r="S11" s="60" t="str">
        <f>IF('Registrar bienes de inversión'!S11="","",'Registrar bienes de inversión'!S11)</f>
        <v/>
      </c>
      <c r="T11" s="60" t="str">
        <f>IF('Registrar bienes de inversión'!T11="","",'Registrar bienes de inversión'!T11)</f>
        <v/>
      </c>
      <c r="U11" s="60" t="str">
        <f>IF('Registrar bienes de inversión'!U11="","",'Registrar bienes de inversión'!U11)</f>
        <v/>
      </c>
      <c r="V11" s="60" t="str">
        <f>IF('Registrar bienes de inversión'!V11="","",'Registrar bienes de inversión'!V11)</f>
        <v/>
      </c>
      <c r="W11" s="60" t="str">
        <f>IF(OR('Registrar bienes de inversión'!W11="",LEFT('Registrar bienes de inversión'!W11,2)="01"),"",VLOOKUP(CONCATENATE("TIPO NIF",'Registrar bienes de inversión'!W11),'CODIGO-LITERAL'!$C:$D,2,FALSE))</f>
        <v/>
      </c>
      <c r="X11" s="60" t="str">
        <f>IF('Registrar bienes de inversión'!X11="","",'Registrar bienes de inversión'!X11)</f>
        <v/>
      </c>
      <c r="Y11" s="60" t="str">
        <f>IF('Registrar bienes de inversión'!Y11="","",'Registrar bienes de inversión'!Y11)</f>
        <v/>
      </c>
      <c r="Z11" s="60" t="str">
        <f>IF('Registrar bienes de inversión'!Z11="","",'Registrar bienes de inversión'!Z11)</f>
        <v/>
      </c>
      <c r="AA11" s="72" t="str">
        <f>IF('Registrar bienes de inversión'!AA11="","",ROUND('Registrar bienes de inversión'!AA11,2))</f>
        <v/>
      </c>
      <c r="AB11" s="72" t="str">
        <f>IF('Registrar bienes de inversión'!AB11="","",'Registrar bienes de inversión'!AB11)</f>
        <v/>
      </c>
      <c r="AC11" s="72" t="str">
        <f>IF('Registrar bienes de inversión'!AC11="","",ROUND('Registrar bienes de inversión'!AC11,2))</f>
        <v/>
      </c>
      <c r="AD11" s="72" t="str">
        <f>IF('Registrar bienes de inversión'!AD11="","",ROUND('Registrar bienes de inversión'!AD11,2))</f>
        <v/>
      </c>
      <c r="AE11" s="72" t="str">
        <f>IF('Registrar bienes de inversión'!AE11="","",ROUND('Registrar bienes de inversión'!AE11,2))</f>
        <v/>
      </c>
      <c r="AF11" s="72" t="str">
        <f>IF('Registrar bienes de inversión'!AF11="","",ROUND('Registrar bienes de inversión'!AF11,2))</f>
        <v/>
      </c>
      <c r="AG11" s="72" t="str">
        <f>IF('Registrar bienes de inversión'!AG11="","",ROUND('Registrar bienes de inversión'!AG11,2))</f>
        <v/>
      </c>
      <c r="AH11" s="64" t="str">
        <f>IF('Registrar bienes de inversión'!AH11="","",'Registrar bienes de inversión'!AH11)</f>
        <v/>
      </c>
      <c r="AI11" s="60" t="str">
        <f>IF('Registrar bienes de inversión'!AI11="","",VLOOKUP(CONCATENATE("CAUSA BAJA BIEN",'Registrar bienes de inversión'!AI11),'CODIGO-LITERAL'!$C:$D,2,FALSE))</f>
        <v/>
      </c>
      <c r="AJ11" s="60" t="str">
        <f>IF('Registrar bienes de inversión'!AJ11="","",'Registrar bienes de inversión'!AJ11)</f>
        <v/>
      </c>
      <c r="AK11" s="60" t="str">
        <f>IF('Registrar bienes de inversión'!AK11="","",'Registrar bienes de inversión'!AK11)</f>
        <v/>
      </c>
      <c r="AL11" s="60" t="str">
        <f>IF('Registrar bienes de inversión'!AL11="","",'Registrar bienes de inversión'!AL11)</f>
        <v/>
      </c>
      <c r="AM11" s="60" t="str">
        <f>IF('Registrar bienes de inversión'!AM11="","",'Registrar bienes de inversión'!AM11)</f>
        <v/>
      </c>
      <c r="AN11" s="60" t="str">
        <f>IF('Registrar bienes de inversión'!AN11="","",VLOOKUP(CONCATENATE("SITUACION",'Registrar bienes de inversión'!AN11),'CODIGO-LITERAL'!$C:$D,2,FALSE))</f>
        <v/>
      </c>
      <c r="AO11" s="60" t="str">
        <f>IF('Registrar bienes de inversión'!AO11="","",'Registrar bienes de inversión'!AO11)</f>
        <v/>
      </c>
      <c r="AP11" s="60" t="str">
        <f>IF('Registrar bienes de inversión'!AP11="","",'Registrar bienes de inversión'!AP11)</f>
        <v/>
      </c>
    </row>
    <row r="12" spans="1:42" s="25" customFormat="1" ht="13.5" x14ac:dyDescent="0.25">
      <c r="A12" s="71" t="str">
        <f>IF('Registrar bienes de inversión'!A12="","",'Registrar bienes de inversión'!A12)</f>
        <v/>
      </c>
      <c r="B12" s="60" t="str">
        <f>IF('Registrar bienes de inversión'!B12="","",'Registrar bienes de inversión'!B12)</f>
        <v/>
      </c>
      <c r="C12" s="60" t="str">
        <f>IF('Registrar bienes de inversión'!C12="","",VLOOKUP(CONCATENATE("ACTIVIDAD",'Registrar bienes de inversión'!C12),'CODIGO-LITERAL'!$C:$D,2,FALSE))</f>
        <v/>
      </c>
      <c r="D12" s="60" t="str">
        <f>IF(OR(C12="C",C12="D"),"",IF(ISERROR(VLOOKUP(CONCATENATE(C12,'Registrar bienes de inversión'!D12),'CODIGO-LITERAL'!$C:$D,2,FALSE)),"",VLOOKUP(CONCATENATE(C12,'Registrar bienes de inversión'!D12),'CODIGO-LITERAL'!$C:$D,2,FALSE)))</f>
        <v/>
      </c>
      <c r="E12" s="60" t="str">
        <f>IF('Registrar bienes de inversión'!E12="","",'Registrar bienes de inversión'!E12)</f>
        <v/>
      </c>
      <c r="F12" s="60" t="str">
        <f>IF('Registrar bienes de inversión'!F12="","",VLOOKUP(CONCATENATE("TIPO BIEN",'Registrar bienes de inversión'!F12),'CODIGO-LITERAL'!$C:$D,2,FALSE))</f>
        <v/>
      </c>
      <c r="G12" s="60" t="str">
        <f>IF('Registrar bienes de inversión'!G12="","",'Registrar bienes de inversión'!G12)</f>
        <v/>
      </c>
      <c r="H12" s="60" t="str">
        <f>IF('Registrar bienes de inversión'!H12="","",'Registrar bienes de inversión'!H12)</f>
        <v/>
      </c>
      <c r="I12" s="64" t="str">
        <f>IF('Registrar bienes de inversión'!I12="","",'Registrar bienes de inversión'!I12)</f>
        <v/>
      </c>
      <c r="J12" s="72" t="str">
        <f>IF('Registrar bienes de inversión'!J12="","",'Registrar bienes de inversión'!J12)</f>
        <v/>
      </c>
      <c r="K12" s="72" t="str">
        <f>IF('Registrar bienes de inversión'!K12="","",'Registrar bienes de inversión'!K12)</f>
        <v/>
      </c>
      <c r="L12" s="60" t="str">
        <f>IF('Registrar bienes de inversión'!L12="","",VLOOKUP(CONCATENATE("METODO AMORTIZACION",'Registrar bienes de inversión'!L12),'CODIGO-LITERAL'!$C:$D,2,FALSE))</f>
        <v/>
      </c>
      <c r="M12" s="72" t="str">
        <f>IF('Registrar bienes de inversión'!M12="","",'Registrar bienes de inversión'!M12)</f>
        <v/>
      </c>
      <c r="N12" s="72" t="str">
        <f>IF('Registrar bienes de inversión'!N12="","",'Registrar bienes de inversión'!N12)</f>
        <v/>
      </c>
      <c r="O12" s="72" t="str">
        <f>IF('Registrar bienes de inversión'!O12="","",'Registrar bienes de inversión'!O12)</f>
        <v/>
      </c>
      <c r="P12" s="72" t="str">
        <f>IF('Registrar bienes de inversión'!P12="","",'Registrar bienes de inversión'!P12)</f>
        <v/>
      </c>
      <c r="Q12" s="72" t="str">
        <f>IF('Registrar bienes de inversión'!Q12="","",'Registrar bienes de inversión'!Q12)</f>
        <v/>
      </c>
      <c r="R12" s="64" t="str">
        <f>IF('Registrar bienes de inversión'!R12="","",'Registrar bienes de inversión'!R12)</f>
        <v/>
      </c>
      <c r="S12" s="60" t="str">
        <f>IF('Registrar bienes de inversión'!S12="","",'Registrar bienes de inversión'!S12)</f>
        <v/>
      </c>
      <c r="T12" s="60" t="str">
        <f>IF('Registrar bienes de inversión'!T12="","",'Registrar bienes de inversión'!T12)</f>
        <v/>
      </c>
      <c r="U12" s="60" t="str">
        <f>IF('Registrar bienes de inversión'!U12="","",'Registrar bienes de inversión'!U12)</f>
        <v/>
      </c>
      <c r="V12" s="60" t="str">
        <f>IF('Registrar bienes de inversión'!V12="","",'Registrar bienes de inversión'!V12)</f>
        <v/>
      </c>
      <c r="W12" s="60" t="str">
        <f>IF(OR('Registrar bienes de inversión'!W12="",LEFT('Registrar bienes de inversión'!W12,2)="01"),"",VLOOKUP(CONCATENATE("TIPO NIF",'Registrar bienes de inversión'!W12),'CODIGO-LITERAL'!$C:$D,2,FALSE))</f>
        <v/>
      </c>
      <c r="X12" s="60" t="str">
        <f>IF('Registrar bienes de inversión'!X12="","",'Registrar bienes de inversión'!X12)</f>
        <v/>
      </c>
      <c r="Y12" s="60" t="str">
        <f>IF('Registrar bienes de inversión'!Y12="","",'Registrar bienes de inversión'!Y12)</f>
        <v/>
      </c>
      <c r="Z12" s="60" t="str">
        <f>IF('Registrar bienes de inversión'!Z12="","",'Registrar bienes de inversión'!Z12)</f>
        <v/>
      </c>
      <c r="AA12" s="72" t="str">
        <f>IF('Registrar bienes de inversión'!AA12="","",ROUND('Registrar bienes de inversión'!AA12,2))</f>
        <v/>
      </c>
      <c r="AB12" s="72" t="str">
        <f>IF('Registrar bienes de inversión'!AB12="","",'Registrar bienes de inversión'!AB12)</f>
        <v/>
      </c>
      <c r="AC12" s="72" t="str">
        <f>IF('Registrar bienes de inversión'!AC12="","",ROUND('Registrar bienes de inversión'!AC12,2))</f>
        <v/>
      </c>
      <c r="AD12" s="72" t="str">
        <f>IF('Registrar bienes de inversión'!AD12="","",ROUND('Registrar bienes de inversión'!AD12,2))</f>
        <v/>
      </c>
      <c r="AE12" s="72" t="str">
        <f>IF('Registrar bienes de inversión'!AE12="","",ROUND('Registrar bienes de inversión'!AE12,2))</f>
        <v/>
      </c>
      <c r="AF12" s="72" t="str">
        <f>IF('Registrar bienes de inversión'!AF12="","",ROUND('Registrar bienes de inversión'!AF12,2))</f>
        <v/>
      </c>
      <c r="AG12" s="72" t="str">
        <f>IF('Registrar bienes de inversión'!AG12="","",ROUND('Registrar bienes de inversión'!AG12,2))</f>
        <v/>
      </c>
      <c r="AH12" s="64" t="str">
        <f>IF('Registrar bienes de inversión'!AH12="","",'Registrar bienes de inversión'!AH12)</f>
        <v/>
      </c>
      <c r="AI12" s="60" t="str">
        <f>IF('Registrar bienes de inversión'!AI12="","",VLOOKUP(CONCATENATE("CAUSA BAJA BIEN",'Registrar bienes de inversión'!AI12),'CODIGO-LITERAL'!$C:$D,2,FALSE))</f>
        <v/>
      </c>
      <c r="AJ12" s="60" t="str">
        <f>IF('Registrar bienes de inversión'!AJ12="","",'Registrar bienes de inversión'!AJ12)</f>
        <v/>
      </c>
      <c r="AK12" s="60" t="str">
        <f>IF('Registrar bienes de inversión'!AK12="","",'Registrar bienes de inversión'!AK12)</f>
        <v/>
      </c>
      <c r="AL12" s="60" t="str">
        <f>IF('Registrar bienes de inversión'!AL12="","",'Registrar bienes de inversión'!AL12)</f>
        <v/>
      </c>
      <c r="AM12" s="60" t="str">
        <f>IF('Registrar bienes de inversión'!AM12="","",'Registrar bienes de inversión'!AM12)</f>
        <v/>
      </c>
      <c r="AN12" s="60" t="str">
        <f>IF('Registrar bienes de inversión'!AN12="","",VLOOKUP(CONCATENATE("SITUACION",'Registrar bienes de inversión'!AN12),'CODIGO-LITERAL'!$C:$D,2,FALSE))</f>
        <v/>
      </c>
      <c r="AO12" s="60" t="str">
        <f>IF('Registrar bienes de inversión'!AO12="","",'Registrar bienes de inversión'!AO12)</f>
        <v/>
      </c>
      <c r="AP12" s="60" t="str">
        <f>IF('Registrar bienes de inversión'!AP12="","",'Registrar bienes de inversión'!AP12)</f>
        <v/>
      </c>
    </row>
    <row r="13" spans="1:42" s="25" customFormat="1" ht="13.5" x14ac:dyDescent="0.25">
      <c r="A13" s="71" t="str">
        <f>IF('Registrar bienes de inversión'!A13="","",'Registrar bienes de inversión'!A13)</f>
        <v/>
      </c>
      <c r="B13" s="60" t="str">
        <f>IF('Registrar bienes de inversión'!B13="","",'Registrar bienes de inversión'!B13)</f>
        <v/>
      </c>
      <c r="C13" s="60" t="str">
        <f>IF('Registrar bienes de inversión'!C13="","",VLOOKUP(CONCATENATE("ACTIVIDAD",'Registrar bienes de inversión'!C13),'CODIGO-LITERAL'!$C:$D,2,FALSE))</f>
        <v/>
      </c>
      <c r="D13" s="60" t="str">
        <f>IF(OR(C13="C",C13="D"),"",IF(ISERROR(VLOOKUP(CONCATENATE(C13,'Registrar bienes de inversión'!D13),'CODIGO-LITERAL'!$C:$D,2,FALSE)),"",VLOOKUP(CONCATENATE(C13,'Registrar bienes de inversión'!D13),'CODIGO-LITERAL'!$C:$D,2,FALSE)))</f>
        <v/>
      </c>
      <c r="E13" s="60" t="str">
        <f>IF('Registrar bienes de inversión'!E13="","",'Registrar bienes de inversión'!E13)</f>
        <v/>
      </c>
      <c r="F13" s="60" t="str">
        <f>IF('Registrar bienes de inversión'!F13="","",VLOOKUP(CONCATENATE("TIPO BIEN",'Registrar bienes de inversión'!F13),'CODIGO-LITERAL'!$C:$D,2,FALSE))</f>
        <v/>
      </c>
      <c r="G13" s="60" t="str">
        <f>IF('Registrar bienes de inversión'!G13="","",'Registrar bienes de inversión'!G13)</f>
        <v/>
      </c>
      <c r="H13" s="60" t="str">
        <f>IF('Registrar bienes de inversión'!H13="","",'Registrar bienes de inversión'!H13)</f>
        <v/>
      </c>
      <c r="I13" s="64" t="str">
        <f>IF('Registrar bienes de inversión'!I13="","",'Registrar bienes de inversión'!I13)</f>
        <v/>
      </c>
      <c r="J13" s="72" t="str">
        <f>IF('Registrar bienes de inversión'!J13="","",'Registrar bienes de inversión'!J13)</f>
        <v/>
      </c>
      <c r="K13" s="72" t="str">
        <f>IF('Registrar bienes de inversión'!K13="","",'Registrar bienes de inversión'!K13)</f>
        <v/>
      </c>
      <c r="L13" s="60" t="str">
        <f>IF('Registrar bienes de inversión'!L13="","",VLOOKUP(CONCATENATE("METODO AMORTIZACION",'Registrar bienes de inversión'!L13),'CODIGO-LITERAL'!$C:$D,2,FALSE))</f>
        <v/>
      </c>
      <c r="M13" s="72" t="str">
        <f>IF('Registrar bienes de inversión'!M13="","",'Registrar bienes de inversión'!M13)</f>
        <v/>
      </c>
      <c r="N13" s="72" t="str">
        <f>IF('Registrar bienes de inversión'!N13="","",'Registrar bienes de inversión'!N13)</f>
        <v/>
      </c>
      <c r="O13" s="72" t="str">
        <f>IF('Registrar bienes de inversión'!O13="","",'Registrar bienes de inversión'!O13)</f>
        <v/>
      </c>
      <c r="P13" s="72" t="str">
        <f>IF('Registrar bienes de inversión'!P13="","",'Registrar bienes de inversión'!P13)</f>
        <v/>
      </c>
      <c r="Q13" s="72" t="str">
        <f>IF('Registrar bienes de inversión'!Q13="","",'Registrar bienes de inversión'!Q13)</f>
        <v/>
      </c>
      <c r="R13" s="64" t="str">
        <f>IF('Registrar bienes de inversión'!R13="","",'Registrar bienes de inversión'!R13)</f>
        <v/>
      </c>
      <c r="S13" s="60" t="str">
        <f>IF('Registrar bienes de inversión'!S13="","",'Registrar bienes de inversión'!S13)</f>
        <v/>
      </c>
      <c r="T13" s="60" t="str">
        <f>IF('Registrar bienes de inversión'!T13="","",'Registrar bienes de inversión'!T13)</f>
        <v/>
      </c>
      <c r="U13" s="60" t="str">
        <f>IF('Registrar bienes de inversión'!U13="","",'Registrar bienes de inversión'!U13)</f>
        <v/>
      </c>
      <c r="V13" s="60" t="str">
        <f>IF('Registrar bienes de inversión'!V13="","",'Registrar bienes de inversión'!V13)</f>
        <v/>
      </c>
      <c r="W13" s="60" t="str">
        <f>IF(OR('Registrar bienes de inversión'!W13="",LEFT('Registrar bienes de inversión'!W13,2)="01"),"",VLOOKUP(CONCATENATE("TIPO NIF",'Registrar bienes de inversión'!W13),'CODIGO-LITERAL'!$C:$D,2,FALSE))</f>
        <v/>
      </c>
      <c r="X13" s="60" t="str">
        <f>IF('Registrar bienes de inversión'!X13="","",'Registrar bienes de inversión'!X13)</f>
        <v/>
      </c>
      <c r="Y13" s="60" t="str">
        <f>IF('Registrar bienes de inversión'!Y13="","",'Registrar bienes de inversión'!Y13)</f>
        <v/>
      </c>
      <c r="Z13" s="60" t="str">
        <f>IF('Registrar bienes de inversión'!Z13="","",'Registrar bienes de inversión'!Z13)</f>
        <v/>
      </c>
      <c r="AA13" s="72" t="str">
        <f>IF('Registrar bienes de inversión'!AA13="","",ROUND('Registrar bienes de inversión'!AA13,2))</f>
        <v/>
      </c>
      <c r="AB13" s="72" t="str">
        <f>IF('Registrar bienes de inversión'!AB13="","",'Registrar bienes de inversión'!AB13)</f>
        <v/>
      </c>
      <c r="AC13" s="72" t="str">
        <f>IF('Registrar bienes de inversión'!AC13="","",ROUND('Registrar bienes de inversión'!AC13,2))</f>
        <v/>
      </c>
      <c r="AD13" s="72" t="str">
        <f>IF('Registrar bienes de inversión'!AD13="","",ROUND('Registrar bienes de inversión'!AD13,2))</f>
        <v/>
      </c>
      <c r="AE13" s="72" t="str">
        <f>IF('Registrar bienes de inversión'!AE13="","",ROUND('Registrar bienes de inversión'!AE13,2))</f>
        <v/>
      </c>
      <c r="AF13" s="72" t="str">
        <f>IF('Registrar bienes de inversión'!AF13="","",ROUND('Registrar bienes de inversión'!AF13,2))</f>
        <v/>
      </c>
      <c r="AG13" s="72" t="str">
        <f>IF('Registrar bienes de inversión'!AG13="","",ROUND('Registrar bienes de inversión'!AG13,2))</f>
        <v/>
      </c>
      <c r="AH13" s="64" t="str">
        <f>IF('Registrar bienes de inversión'!AH13="","",'Registrar bienes de inversión'!AH13)</f>
        <v/>
      </c>
      <c r="AI13" s="60" t="str">
        <f>IF('Registrar bienes de inversión'!AI13="","",VLOOKUP(CONCATENATE("CAUSA BAJA BIEN",'Registrar bienes de inversión'!AI13),'CODIGO-LITERAL'!$C:$D,2,FALSE))</f>
        <v/>
      </c>
      <c r="AJ13" s="60" t="str">
        <f>IF('Registrar bienes de inversión'!AJ13="","",'Registrar bienes de inversión'!AJ13)</f>
        <v/>
      </c>
      <c r="AK13" s="60" t="str">
        <f>IF('Registrar bienes de inversión'!AK13="","",'Registrar bienes de inversión'!AK13)</f>
        <v/>
      </c>
      <c r="AL13" s="60" t="str">
        <f>IF('Registrar bienes de inversión'!AL13="","",'Registrar bienes de inversión'!AL13)</f>
        <v/>
      </c>
      <c r="AM13" s="60" t="str">
        <f>IF('Registrar bienes de inversión'!AM13="","",'Registrar bienes de inversión'!AM13)</f>
        <v/>
      </c>
      <c r="AN13" s="60" t="str">
        <f>IF('Registrar bienes de inversión'!AN13="","",VLOOKUP(CONCATENATE("SITUACION",'Registrar bienes de inversión'!AN13),'CODIGO-LITERAL'!$C:$D,2,FALSE))</f>
        <v/>
      </c>
      <c r="AO13" s="60" t="str">
        <f>IF('Registrar bienes de inversión'!AO13="","",'Registrar bienes de inversión'!AO13)</f>
        <v/>
      </c>
      <c r="AP13" s="60" t="str">
        <f>IF('Registrar bienes de inversión'!AP13="","",'Registrar bienes de inversión'!AP13)</f>
        <v/>
      </c>
    </row>
    <row r="14" spans="1:42" s="25" customFormat="1" ht="13.5" x14ac:dyDescent="0.25">
      <c r="A14" s="71" t="str">
        <f>IF('Registrar bienes de inversión'!A14="","",'Registrar bienes de inversión'!A14)</f>
        <v/>
      </c>
      <c r="B14" s="60" t="str">
        <f>IF('Registrar bienes de inversión'!B14="","",'Registrar bienes de inversión'!B14)</f>
        <v/>
      </c>
      <c r="C14" s="60" t="str">
        <f>IF('Registrar bienes de inversión'!C14="","",VLOOKUP(CONCATENATE("ACTIVIDAD",'Registrar bienes de inversión'!C14),'CODIGO-LITERAL'!$C:$D,2,FALSE))</f>
        <v/>
      </c>
      <c r="D14" s="60" t="str">
        <f>IF(OR(C14="C",C14="D"),"",IF(ISERROR(VLOOKUP(CONCATENATE(C14,'Registrar bienes de inversión'!D14),'CODIGO-LITERAL'!$C:$D,2,FALSE)),"",VLOOKUP(CONCATENATE(C14,'Registrar bienes de inversión'!D14),'CODIGO-LITERAL'!$C:$D,2,FALSE)))</f>
        <v/>
      </c>
      <c r="E14" s="60" t="str">
        <f>IF('Registrar bienes de inversión'!E14="","",'Registrar bienes de inversión'!E14)</f>
        <v/>
      </c>
      <c r="F14" s="60" t="str">
        <f>IF('Registrar bienes de inversión'!F14="","",VLOOKUP(CONCATENATE("TIPO BIEN",'Registrar bienes de inversión'!F14),'CODIGO-LITERAL'!$C:$D,2,FALSE))</f>
        <v/>
      </c>
      <c r="G14" s="60" t="str">
        <f>IF('Registrar bienes de inversión'!G14="","",'Registrar bienes de inversión'!G14)</f>
        <v/>
      </c>
      <c r="H14" s="60" t="str">
        <f>IF('Registrar bienes de inversión'!H14="","",'Registrar bienes de inversión'!H14)</f>
        <v/>
      </c>
      <c r="I14" s="64" t="str">
        <f>IF('Registrar bienes de inversión'!I14="","",'Registrar bienes de inversión'!I14)</f>
        <v/>
      </c>
      <c r="J14" s="72" t="str">
        <f>IF('Registrar bienes de inversión'!J14="","",'Registrar bienes de inversión'!J14)</f>
        <v/>
      </c>
      <c r="K14" s="72" t="str">
        <f>IF('Registrar bienes de inversión'!K14="","",'Registrar bienes de inversión'!K14)</f>
        <v/>
      </c>
      <c r="L14" s="60" t="str">
        <f>IF('Registrar bienes de inversión'!L14="","",VLOOKUP(CONCATENATE("METODO AMORTIZACION",'Registrar bienes de inversión'!L14),'CODIGO-LITERAL'!$C:$D,2,FALSE))</f>
        <v/>
      </c>
      <c r="M14" s="72" t="str">
        <f>IF('Registrar bienes de inversión'!M14="","",'Registrar bienes de inversión'!M14)</f>
        <v/>
      </c>
      <c r="N14" s="72" t="str">
        <f>IF('Registrar bienes de inversión'!N14="","",'Registrar bienes de inversión'!N14)</f>
        <v/>
      </c>
      <c r="O14" s="72" t="str">
        <f>IF('Registrar bienes de inversión'!O14="","",'Registrar bienes de inversión'!O14)</f>
        <v/>
      </c>
      <c r="P14" s="72" t="str">
        <f>IF('Registrar bienes de inversión'!P14="","",'Registrar bienes de inversión'!P14)</f>
        <v/>
      </c>
      <c r="Q14" s="72" t="str">
        <f>IF('Registrar bienes de inversión'!Q14="","",'Registrar bienes de inversión'!Q14)</f>
        <v/>
      </c>
      <c r="R14" s="64" t="str">
        <f>IF('Registrar bienes de inversión'!R14="","",'Registrar bienes de inversión'!R14)</f>
        <v/>
      </c>
      <c r="S14" s="60" t="str">
        <f>IF('Registrar bienes de inversión'!S14="","",'Registrar bienes de inversión'!S14)</f>
        <v/>
      </c>
      <c r="T14" s="60" t="str">
        <f>IF('Registrar bienes de inversión'!T14="","",'Registrar bienes de inversión'!T14)</f>
        <v/>
      </c>
      <c r="U14" s="60" t="str">
        <f>IF('Registrar bienes de inversión'!U14="","",'Registrar bienes de inversión'!U14)</f>
        <v/>
      </c>
      <c r="V14" s="60" t="str">
        <f>IF('Registrar bienes de inversión'!V14="","",'Registrar bienes de inversión'!V14)</f>
        <v/>
      </c>
      <c r="W14" s="60" t="str">
        <f>IF(OR('Registrar bienes de inversión'!W14="",LEFT('Registrar bienes de inversión'!W14,2)="01"),"",VLOOKUP(CONCATENATE("TIPO NIF",'Registrar bienes de inversión'!W14),'CODIGO-LITERAL'!$C:$D,2,FALSE))</f>
        <v/>
      </c>
      <c r="X14" s="60" t="str">
        <f>IF('Registrar bienes de inversión'!X14="","",'Registrar bienes de inversión'!X14)</f>
        <v/>
      </c>
      <c r="Y14" s="60" t="str">
        <f>IF('Registrar bienes de inversión'!Y14="","",'Registrar bienes de inversión'!Y14)</f>
        <v/>
      </c>
      <c r="Z14" s="60" t="str">
        <f>IF('Registrar bienes de inversión'!Z14="","",'Registrar bienes de inversión'!Z14)</f>
        <v/>
      </c>
      <c r="AA14" s="72" t="str">
        <f>IF('Registrar bienes de inversión'!AA14="","",ROUND('Registrar bienes de inversión'!AA14,2))</f>
        <v/>
      </c>
      <c r="AB14" s="72" t="str">
        <f>IF('Registrar bienes de inversión'!AB14="","",'Registrar bienes de inversión'!AB14)</f>
        <v/>
      </c>
      <c r="AC14" s="72" t="str">
        <f>IF('Registrar bienes de inversión'!AC14="","",ROUND('Registrar bienes de inversión'!AC14,2))</f>
        <v/>
      </c>
      <c r="AD14" s="72" t="str">
        <f>IF('Registrar bienes de inversión'!AD14="","",ROUND('Registrar bienes de inversión'!AD14,2))</f>
        <v/>
      </c>
      <c r="AE14" s="72" t="str">
        <f>IF('Registrar bienes de inversión'!AE14="","",ROUND('Registrar bienes de inversión'!AE14,2))</f>
        <v/>
      </c>
      <c r="AF14" s="72" t="str">
        <f>IF('Registrar bienes de inversión'!AF14="","",ROUND('Registrar bienes de inversión'!AF14,2))</f>
        <v/>
      </c>
      <c r="AG14" s="72" t="str">
        <f>IF('Registrar bienes de inversión'!AG14="","",ROUND('Registrar bienes de inversión'!AG14,2))</f>
        <v/>
      </c>
      <c r="AH14" s="64" t="str">
        <f>IF('Registrar bienes de inversión'!AH14="","",'Registrar bienes de inversión'!AH14)</f>
        <v/>
      </c>
      <c r="AI14" s="60" t="str">
        <f>IF('Registrar bienes de inversión'!AI14="","",VLOOKUP(CONCATENATE("CAUSA BAJA BIEN",'Registrar bienes de inversión'!AI14),'CODIGO-LITERAL'!$C:$D,2,FALSE))</f>
        <v/>
      </c>
      <c r="AJ14" s="60" t="str">
        <f>IF('Registrar bienes de inversión'!AJ14="","",'Registrar bienes de inversión'!AJ14)</f>
        <v/>
      </c>
      <c r="AK14" s="60" t="str">
        <f>IF('Registrar bienes de inversión'!AK14="","",'Registrar bienes de inversión'!AK14)</f>
        <v/>
      </c>
      <c r="AL14" s="60" t="str">
        <f>IF('Registrar bienes de inversión'!AL14="","",'Registrar bienes de inversión'!AL14)</f>
        <v/>
      </c>
      <c r="AM14" s="60" t="str">
        <f>IF('Registrar bienes de inversión'!AM14="","",'Registrar bienes de inversión'!AM14)</f>
        <v/>
      </c>
      <c r="AN14" s="60" t="str">
        <f>IF('Registrar bienes de inversión'!AN14="","",VLOOKUP(CONCATENATE("SITUACION",'Registrar bienes de inversión'!AN14),'CODIGO-LITERAL'!$C:$D,2,FALSE))</f>
        <v/>
      </c>
      <c r="AO14" s="60" t="str">
        <f>IF('Registrar bienes de inversión'!AO14="","",'Registrar bienes de inversión'!AO14)</f>
        <v/>
      </c>
      <c r="AP14" s="60" t="str">
        <f>IF('Registrar bienes de inversión'!AP14="","",'Registrar bienes de inversión'!AP14)</f>
        <v/>
      </c>
    </row>
    <row r="15" spans="1:42" s="25" customFormat="1" ht="13.5" x14ac:dyDescent="0.25">
      <c r="A15" s="71" t="str">
        <f>IF('Registrar bienes de inversión'!A15="","",'Registrar bienes de inversión'!A15)</f>
        <v/>
      </c>
      <c r="B15" s="60" t="str">
        <f>IF('Registrar bienes de inversión'!B15="","",'Registrar bienes de inversión'!B15)</f>
        <v/>
      </c>
      <c r="C15" s="60" t="str">
        <f>IF('Registrar bienes de inversión'!C15="","",VLOOKUP(CONCATENATE("ACTIVIDAD",'Registrar bienes de inversión'!C15),'CODIGO-LITERAL'!$C:$D,2,FALSE))</f>
        <v/>
      </c>
      <c r="D15" s="60" t="str">
        <f>IF(OR(C15="C",C15="D"),"",IF(ISERROR(VLOOKUP(CONCATENATE(C15,'Registrar bienes de inversión'!D15),'CODIGO-LITERAL'!$C:$D,2,FALSE)),"",VLOOKUP(CONCATENATE(C15,'Registrar bienes de inversión'!D15),'CODIGO-LITERAL'!$C:$D,2,FALSE)))</f>
        <v/>
      </c>
      <c r="E15" s="60" t="str">
        <f>IF('Registrar bienes de inversión'!E15="","",'Registrar bienes de inversión'!E15)</f>
        <v/>
      </c>
      <c r="F15" s="60" t="str">
        <f>IF('Registrar bienes de inversión'!F15="","",VLOOKUP(CONCATENATE("TIPO BIEN",'Registrar bienes de inversión'!F15),'CODIGO-LITERAL'!$C:$D,2,FALSE))</f>
        <v/>
      </c>
      <c r="G15" s="60" t="str">
        <f>IF('Registrar bienes de inversión'!G15="","",'Registrar bienes de inversión'!G15)</f>
        <v/>
      </c>
      <c r="H15" s="60" t="str">
        <f>IF('Registrar bienes de inversión'!H15="","",'Registrar bienes de inversión'!H15)</f>
        <v/>
      </c>
      <c r="I15" s="64" t="str">
        <f>IF('Registrar bienes de inversión'!I15="","",'Registrar bienes de inversión'!I15)</f>
        <v/>
      </c>
      <c r="J15" s="72" t="str">
        <f>IF('Registrar bienes de inversión'!J15="","",'Registrar bienes de inversión'!J15)</f>
        <v/>
      </c>
      <c r="K15" s="72" t="str">
        <f>IF('Registrar bienes de inversión'!K15="","",'Registrar bienes de inversión'!K15)</f>
        <v/>
      </c>
      <c r="L15" s="60" t="str">
        <f>IF('Registrar bienes de inversión'!L15="","",VLOOKUP(CONCATENATE("METODO AMORTIZACION",'Registrar bienes de inversión'!L15),'CODIGO-LITERAL'!$C:$D,2,FALSE))</f>
        <v/>
      </c>
      <c r="M15" s="72" t="str">
        <f>IF('Registrar bienes de inversión'!M15="","",'Registrar bienes de inversión'!M15)</f>
        <v/>
      </c>
      <c r="N15" s="72" t="str">
        <f>IF('Registrar bienes de inversión'!N15="","",'Registrar bienes de inversión'!N15)</f>
        <v/>
      </c>
      <c r="O15" s="72" t="str">
        <f>IF('Registrar bienes de inversión'!O15="","",'Registrar bienes de inversión'!O15)</f>
        <v/>
      </c>
      <c r="P15" s="72" t="str">
        <f>IF('Registrar bienes de inversión'!P15="","",'Registrar bienes de inversión'!P15)</f>
        <v/>
      </c>
      <c r="Q15" s="72" t="str">
        <f>IF('Registrar bienes de inversión'!Q15="","",'Registrar bienes de inversión'!Q15)</f>
        <v/>
      </c>
      <c r="R15" s="64" t="str">
        <f>IF('Registrar bienes de inversión'!R15="","",'Registrar bienes de inversión'!R15)</f>
        <v/>
      </c>
      <c r="S15" s="60" t="str">
        <f>IF('Registrar bienes de inversión'!S15="","",'Registrar bienes de inversión'!S15)</f>
        <v/>
      </c>
      <c r="T15" s="60" t="str">
        <f>IF('Registrar bienes de inversión'!T15="","",'Registrar bienes de inversión'!T15)</f>
        <v/>
      </c>
      <c r="U15" s="60" t="str">
        <f>IF('Registrar bienes de inversión'!U15="","",'Registrar bienes de inversión'!U15)</f>
        <v/>
      </c>
      <c r="V15" s="60" t="str">
        <f>IF('Registrar bienes de inversión'!V15="","",'Registrar bienes de inversión'!V15)</f>
        <v/>
      </c>
      <c r="W15" s="60" t="str">
        <f>IF(OR('Registrar bienes de inversión'!W15="",LEFT('Registrar bienes de inversión'!W15,2)="01"),"",VLOOKUP(CONCATENATE("TIPO NIF",'Registrar bienes de inversión'!W15),'CODIGO-LITERAL'!$C:$D,2,FALSE))</f>
        <v/>
      </c>
      <c r="X15" s="60" t="str">
        <f>IF('Registrar bienes de inversión'!X15="","",'Registrar bienes de inversión'!X15)</f>
        <v/>
      </c>
      <c r="Y15" s="60" t="str">
        <f>IF('Registrar bienes de inversión'!Y15="","",'Registrar bienes de inversión'!Y15)</f>
        <v/>
      </c>
      <c r="Z15" s="60" t="str">
        <f>IF('Registrar bienes de inversión'!Z15="","",'Registrar bienes de inversión'!Z15)</f>
        <v/>
      </c>
      <c r="AA15" s="72" t="str">
        <f>IF('Registrar bienes de inversión'!AA15="","",ROUND('Registrar bienes de inversión'!AA15,2))</f>
        <v/>
      </c>
      <c r="AB15" s="72" t="str">
        <f>IF('Registrar bienes de inversión'!AB15="","",'Registrar bienes de inversión'!AB15)</f>
        <v/>
      </c>
      <c r="AC15" s="72" t="str">
        <f>IF('Registrar bienes de inversión'!AC15="","",ROUND('Registrar bienes de inversión'!AC15,2))</f>
        <v/>
      </c>
      <c r="AD15" s="72" t="str">
        <f>IF('Registrar bienes de inversión'!AD15="","",ROUND('Registrar bienes de inversión'!AD15,2))</f>
        <v/>
      </c>
      <c r="AE15" s="72" t="str">
        <f>IF('Registrar bienes de inversión'!AE15="","",ROUND('Registrar bienes de inversión'!AE15,2))</f>
        <v/>
      </c>
      <c r="AF15" s="72" t="str">
        <f>IF('Registrar bienes de inversión'!AF15="","",ROUND('Registrar bienes de inversión'!AF15,2))</f>
        <v/>
      </c>
      <c r="AG15" s="72" t="str">
        <f>IF('Registrar bienes de inversión'!AG15="","",ROUND('Registrar bienes de inversión'!AG15,2))</f>
        <v/>
      </c>
      <c r="AH15" s="64" t="str">
        <f>IF('Registrar bienes de inversión'!AH15="","",'Registrar bienes de inversión'!AH15)</f>
        <v/>
      </c>
      <c r="AI15" s="60" t="str">
        <f>IF('Registrar bienes de inversión'!AI15="","",VLOOKUP(CONCATENATE("CAUSA BAJA BIEN",'Registrar bienes de inversión'!AI15),'CODIGO-LITERAL'!$C:$D,2,FALSE))</f>
        <v/>
      </c>
      <c r="AJ15" s="60" t="str">
        <f>IF('Registrar bienes de inversión'!AJ15="","",'Registrar bienes de inversión'!AJ15)</f>
        <v/>
      </c>
      <c r="AK15" s="60" t="str">
        <f>IF('Registrar bienes de inversión'!AK15="","",'Registrar bienes de inversión'!AK15)</f>
        <v/>
      </c>
      <c r="AL15" s="60" t="str">
        <f>IF('Registrar bienes de inversión'!AL15="","",'Registrar bienes de inversión'!AL15)</f>
        <v/>
      </c>
      <c r="AM15" s="60" t="str">
        <f>IF('Registrar bienes de inversión'!AM15="","",'Registrar bienes de inversión'!AM15)</f>
        <v/>
      </c>
      <c r="AN15" s="60" t="str">
        <f>IF('Registrar bienes de inversión'!AN15="","",VLOOKUP(CONCATENATE("SITUACION",'Registrar bienes de inversión'!AN15),'CODIGO-LITERAL'!$C:$D,2,FALSE))</f>
        <v/>
      </c>
      <c r="AO15" s="60" t="str">
        <f>IF('Registrar bienes de inversión'!AO15="","",'Registrar bienes de inversión'!AO15)</f>
        <v/>
      </c>
      <c r="AP15" s="60" t="str">
        <f>IF('Registrar bienes de inversión'!AP15="","",'Registrar bienes de inversión'!AP15)</f>
        <v/>
      </c>
    </row>
    <row r="16" spans="1:42" s="25" customFormat="1" ht="13.5" x14ac:dyDescent="0.25">
      <c r="A16" s="71" t="str">
        <f>IF('Registrar bienes de inversión'!A16="","",'Registrar bienes de inversión'!A16)</f>
        <v/>
      </c>
      <c r="B16" s="60" t="str">
        <f>IF('Registrar bienes de inversión'!B16="","",'Registrar bienes de inversión'!B16)</f>
        <v/>
      </c>
      <c r="C16" s="60" t="str">
        <f>IF('Registrar bienes de inversión'!C16="","",VLOOKUP(CONCATENATE("ACTIVIDAD",'Registrar bienes de inversión'!C16),'CODIGO-LITERAL'!$C:$D,2,FALSE))</f>
        <v/>
      </c>
      <c r="D16" s="60" t="str">
        <f>IF(OR(C16="C",C16="D"),"",IF(ISERROR(VLOOKUP(CONCATENATE(C16,'Registrar bienes de inversión'!D16),'CODIGO-LITERAL'!$C:$D,2,FALSE)),"",VLOOKUP(CONCATENATE(C16,'Registrar bienes de inversión'!D16),'CODIGO-LITERAL'!$C:$D,2,FALSE)))</f>
        <v/>
      </c>
      <c r="E16" s="60" t="str">
        <f>IF('Registrar bienes de inversión'!E16="","",'Registrar bienes de inversión'!E16)</f>
        <v/>
      </c>
      <c r="F16" s="60" t="str">
        <f>IF('Registrar bienes de inversión'!F16="","",VLOOKUP(CONCATENATE("TIPO BIEN",'Registrar bienes de inversión'!F16),'CODIGO-LITERAL'!$C:$D,2,FALSE))</f>
        <v/>
      </c>
      <c r="G16" s="60" t="str">
        <f>IF('Registrar bienes de inversión'!G16="","",'Registrar bienes de inversión'!G16)</f>
        <v/>
      </c>
      <c r="H16" s="60" t="str">
        <f>IF('Registrar bienes de inversión'!H16="","",'Registrar bienes de inversión'!H16)</f>
        <v/>
      </c>
      <c r="I16" s="64" t="str">
        <f>IF('Registrar bienes de inversión'!I16="","",'Registrar bienes de inversión'!I16)</f>
        <v/>
      </c>
      <c r="J16" s="72" t="str">
        <f>IF('Registrar bienes de inversión'!J16="","",'Registrar bienes de inversión'!J16)</f>
        <v/>
      </c>
      <c r="K16" s="72" t="str">
        <f>IF('Registrar bienes de inversión'!K16="","",'Registrar bienes de inversión'!K16)</f>
        <v/>
      </c>
      <c r="L16" s="60" t="str">
        <f>IF('Registrar bienes de inversión'!L16="","",VLOOKUP(CONCATENATE("METODO AMORTIZACION",'Registrar bienes de inversión'!L16),'CODIGO-LITERAL'!$C:$D,2,FALSE))</f>
        <v/>
      </c>
      <c r="M16" s="72" t="str">
        <f>IF('Registrar bienes de inversión'!M16="","",'Registrar bienes de inversión'!M16)</f>
        <v/>
      </c>
      <c r="N16" s="72" t="str">
        <f>IF('Registrar bienes de inversión'!N16="","",'Registrar bienes de inversión'!N16)</f>
        <v/>
      </c>
      <c r="O16" s="72" t="str">
        <f>IF('Registrar bienes de inversión'!O16="","",'Registrar bienes de inversión'!O16)</f>
        <v/>
      </c>
      <c r="P16" s="72" t="str">
        <f>IF('Registrar bienes de inversión'!P16="","",'Registrar bienes de inversión'!P16)</f>
        <v/>
      </c>
      <c r="Q16" s="72" t="str">
        <f>IF('Registrar bienes de inversión'!Q16="","",'Registrar bienes de inversión'!Q16)</f>
        <v/>
      </c>
      <c r="R16" s="64" t="str">
        <f>IF('Registrar bienes de inversión'!R16="","",'Registrar bienes de inversión'!R16)</f>
        <v/>
      </c>
      <c r="S16" s="60" t="str">
        <f>IF('Registrar bienes de inversión'!S16="","",'Registrar bienes de inversión'!S16)</f>
        <v/>
      </c>
      <c r="T16" s="60" t="str">
        <f>IF('Registrar bienes de inversión'!T16="","",'Registrar bienes de inversión'!T16)</f>
        <v/>
      </c>
      <c r="U16" s="60" t="str">
        <f>IF('Registrar bienes de inversión'!U16="","",'Registrar bienes de inversión'!U16)</f>
        <v/>
      </c>
      <c r="V16" s="60" t="str">
        <f>IF('Registrar bienes de inversión'!V16="","",'Registrar bienes de inversión'!V16)</f>
        <v/>
      </c>
      <c r="W16" s="60" t="str">
        <f>IF(OR('Registrar bienes de inversión'!W16="",LEFT('Registrar bienes de inversión'!W16,2)="01"),"",VLOOKUP(CONCATENATE("TIPO NIF",'Registrar bienes de inversión'!W16),'CODIGO-LITERAL'!$C:$D,2,FALSE))</f>
        <v/>
      </c>
      <c r="X16" s="60" t="str">
        <f>IF('Registrar bienes de inversión'!X16="","",'Registrar bienes de inversión'!X16)</f>
        <v/>
      </c>
      <c r="Y16" s="60" t="str">
        <f>IF('Registrar bienes de inversión'!Y16="","",'Registrar bienes de inversión'!Y16)</f>
        <v/>
      </c>
      <c r="Z16" s="60" t="str">
        <f>IF('Registrar bienes de inversión'!Z16="","",'Registrar bienes de inversión'!Z16)</f>
        <v/>
      </c>
      <c r="AA16" s="72" t="str">
        <f>IF('Registrar bienes de inversión'!AA16="","",ROUND('Registrar bienes de inversión'!AA16,2))</f>
        <v/>
      </c>
      <c r="AB16" s="72" t="str">
        <f>IF('Registrar bienes de inversión'!AB16="","",'Registrar bienes de inversión'!AB16)</f>
        <v/>
      </c>
      <c r="AC16" s="72" t="str">
        <f>IF('Registrar bienes de inversión'!AC16="","",ROUND('Registrar bienes de inversión'!AC16,2))</f>
        <v/>
      </c>
      <c r="AD16" s="72" t="str">
        <f>IF('Registrar bienes de inversión'!AD16="","",ROUND('Registrar bienes de inversión'!AD16,2))</f>
        <v/>
      </c>
      <c r="AE16" s="72" t="str">
        <f>IF('Registrar bienes de inversión'!AE16="","",ROUND('Registrar bienes de inversión'!AE16,2))</f>
        <v/>
      </c>
      <c r="AF16" s="72" t="str">
        <f>IF('Registrar bienes de inversión'!AF16="","",ROUND('Registrar bienes de inversión'!AF16,2))</f>
        <v/>
      </c>
      <c r="AG16" s="72" t="str">
        <f>IF('Registrar bienes de inversión'!AG16="","",ROUND('Registrar bienes de inversión'!AG16,2))</f>
        <v/>
      </c>
      <c r="AH16" s="64" t="str">
        <f>IF('Registrar bienes de inversión'!AH16="","",'Registrar bienes de inversión'!AH16)</f>
        <v/>
      </c>
      <c r="AI16" s="60" t="str">
        <f>IF('Registrar bienes de inversión'!AI16="","",VLOOKUP(CONCATENATE("CAUSA BAJA BIEN",'Registrar bienes de inversión'!AI16),'CODIGO-LITERAL'!$C:$D,2,FALSE))</f>
        <v/>
      </c>
      <c r="AJ16" s="60" t="str">
        <f>IF('Registrar bienes de inversión'!AJ16="","",'Registrar bienes de inversión'!AJ16)</f>
        <v/>
      </c>
      <c r="AK16" s="60" t="str">
        <f>IF('Registrar bienes de inversión'!AK16="","",'Registrar bienes de inversión'!AK16)</f>
        <v/>
      </c>
      <c r="AL16" s="60" t="str">
        <f>IF('Registrar bienes de inversión'!AL16="","",'Registrar bienes de inversión'!AL16)</f>
        <v/>
      </c>
      <c r="AM16" s="60" t="str">
        <f>IF('Registrar bienes de inversión'!AM16="","",'Registrar bienes de inversión'!AM16)</f>
        <v/>
      </c>
      <c r="AN16" s="60" t="str">
        <f>IF('Registrar bienes de inversión'!AN16="","",VLOOKUP(CONCATENATE("SITUACION",'Registrar bienes de inversión'!AN16),'CODIGO-LITERAL'!$C:$D,2,FALSE))</f>
        <v/>
      </c>
      <c r="AO16" s="60" t="str">
        <f>IF('Registrar bienes de inversión'!AO16="","",'Registrar bienes de inversión'!AO16)</f>
        <v/>
      </c>
      <c r="AP16" s="60" t="str">
        <f>IF('Registrar bienes de inversión'!AP16="","",'Registrar bienes de inversión'!AP16)</f>
        <v/>
      </c>
    </row>
    <row r="17" spans="1:42" s="25" customFormat="1" ht="13.5" x14ac:dyDescent="0.25">
      <c r="A17" s="71" t="str">
        <f>IF('Registrar bienes de inversión'!A17="","",'Registrar bienes de inversión'!A17)</f>
        <v/>
      </c>
      <c r="B17" s="60" t="str">
        <f>IF('Registrar bienes de inversión'!B17="","",'Registrar bienes de inversión'!B17)</f>
        <v/>
      </c>
      <c r="C17" s="60" t="str">
        <f>IF('Registrar bienes de inversión'!C17="","",VLOOKUP(CONCATENATE("ACTIVIDAD",'Registrar bienes de inversión'!C17),'CODIGO-LITERAL'!$C:$D,2,FALSE))</f>
        <v/>
      </c>
      <c r="D17" s="60" t="str">
        <f>IF(OR(C17="C",C17="D"),"",IF(ISERROR(VLOOKUP(CONCATENATE(C17,'Registrar bienes de inversión'!D17),'CODIGO-LITERAL'!$C:$D,2,FALSE)),"",VLOOKUP(CONCATENATE(C17,'Registrar bienes de inversión'!D17),'CODIGO-LITERAL'!$C:$D,2,FALSE)))</f>
        <v/>
      </c>
      <c r="E17" s="60" t="str">
        <f>IF('Registrar bienes de inversión'!E17="","",'Registrar bienes de inversión'!E17)</f>
        <v/>
      </c>
      <c r="F17" s="60" t="str">
        <f>IF('Registrar bienes de inversión'!F17="","",VLOOKUP(CONCATENATE("TIPO BIEN",'Registrar bienes de inversión'!F17),'CODIGO-LITERAL'!$C:$D,2,FALSE))</f>
        <v/>
      </c>
      <c r="G17" s="60" t="str">
        <f>IF('Registrar bienes de inversión'!G17="","",'Registrar bienes de inversión'!G17)</f>
        <v/>
      </c>
      <c r="H17" s="60" t="str">
        <f>IF('Registrar bienes de inversión'!H17="","",'Registrar bienes de inversión'!H17)</f>
        <v/>
      </c>
      <c r="I17" s="64" t="str">
        <f>IF('Registrar bienes de inversión'!I17="","",'Registrar bienes de inversión'!I17)</f>
        <v/>
      </c>
      <c r="J17" s="72" t="str">
        <f>IF('Registrar bienes de inversión'!J17="","",'Registrar bienes de inversión'!J17)</f>
        <v/>
      </c>
      <c r="K17" s="72" t="str">
        <f>IF('Registrar bienes de inversión'!K17="","",'Registrar bienes de inversión'!K17)</f>
        <v/>
      </c>
      <c r="L17" s="60" t="str">
        <f>IF('Registrar bienes de inversión'!L17="","",VLOOKUP(CONCATENATE("METODO AMORTIZACION",'Registrar bienes de inversión'!L17),'CODIGO-LITERAL'!$C:$D,2,FALSE))</f>
        <v/>
      </c>
      <c r="M17" s="72" t="str">
        <f>IF('Registrar bienes de inversión'!M17="","",'Registrar bienes de inversión'!M17)</f>
        <v/>
      </c>
      <c r="N17" s="72" t="str">
        <f>IF('Registrar bienes de inversión'!N17="","",'Registrar bienes de inversión'!N17)</f>
        <v/>
      </c>
      <c r="O17" s="72" t="str">
        <f>IF('Registrar bienes de inversión'!O17="","",'Registrar bienes de inversión'!O17)</f>
        <v/>
      </c>
      <c r="P17" s="72" t="str">
        <f>IF('Registrar bienes de inversión'!P17="","",'Registrar bienes de inversión'!P17)</f>
        <v/>
      </c>
      <c r="Q17" s="72" t="str">
        <f>IF('Registrar bienes de inversión'!Q17="","",'Registrar bienes de inversión'!Q17)</f>
        <v/>
      </c>
      <c r="R17" s="64" t="str">
        <f>IF('Registrar bienes de inversión'!R17="","",'Registrar bienes de inversión'!R17)</f>
        <v/>
      </c>
      <c r="S17" s="60" t="str">
        <f>IF('Registrar bienes de inversión'!S17="","",'Registrar bienes de inversión'!S17)</f>
        <v/>
      </c>
      <c r="T17" s="60" t="str">
        <f>IF('Registrar bienes de inversión'!T17="","",'Registrar bienes de inversión'!T17)</f>
        <v/>
      </c>
      <c r="U17" s="60" t="str">
        <f>IF('Registrar bienes de inversión'!U17="","",'Registrar bienes de inversión'!U17)</f>
        <v/>
      </c>
      <c r="V17" s="60" t="str">
        <f>IF('Registrar bienes de inversión'!V17="","",'Registrar bienes de inversión'!V17)</f>
        <v/>
      </c>
      <c r="W17" s="60" t="str">
        <f>IF(OR('Registrar bienes de inversión'!W17="",LEFT('Registrar bienes de inversión'!W17,2)="01"),"",VLOOKUP(CONCATENATE("TIPO NIF",'Registrar bienes de inversión'!W17),'CODIGO-LITERAL'!$C:$D,2,FALSE))</f>
        <v/>
      </c>
      <c r="X17" s="60" t="str">
        <f>IF('Registrar bienes de inversión'!X17="","",'Registrar bienes de inversión'!X17)</f>
        <v/>
      </c>
      <c r="Y17" s="60" t="str">
        <f>IF('Registrar bienes de inversión'!Y17="","",'Registrar bienes de inversión'!Y17)</f>
        <v/>
      </c>
      <c r="Z17" s="60" t="str">
        <f>IF('Registrar bienes de inversión'!Z17="","",'Registrar bienes de inversión'!Z17)</f>
        <v/>
      </c>
      <c r="AA17" s="72" t="str">
        <f>IF('Registrar bienes de inversión'!AA17="","",ROUND('Registrar bienes de inversión'!AA17,2))</f>
        <v/>
      </c>
      <c r="AB17" s="72" t="str">
        <f>IF('Registrar bienes de inversión'!AB17="","",'Registrar bienes de inversión'!AB17)</f>
        <v/>
      </c>
      <c r="AC17" s="72" t="str">
        <f>IF('Registrar bienes de inversión'!AC17="","",ROUND('Registrar bienes de inversión'!AC17,2))</f>
        <v/>
      </c>
      <c r="AD17" s="72" t="str">
        <f>IF('Registrar bienes de inversión'!AD17="","",ROUND('Registrar bienes de inversión'!AD17,2))</f>
        <v/>
      </c>
      <c r="AE17" s="72" t="str">
        <f>IF('Registrar bienes de inversión'!AE17="","",ROUND('Registrar bienes de inversión'!AE17,2))</f>
        <v/>
      </c>
      <c r="AF17" s="72" t="str">
        <f>IF('Registrar bienes de inversión'!AF17="","",ROUND('Registrar bienes de inversión'!AF17,2))</f>
        <v/>
      </c>
      <c r="AG17" s="72" t="str">
        <f>IF('Registrar bienes de inversión'!AG17="","",ROUND('Registrar bienes de inversión'!AG17,2))</f>
        <v/>
      </c>
      <c r="AH17" s="64" t="str">
        <f>IF('Registrar bienes de inversión'!AH17="","",'Registrar bienes de inversión'!AH17)</f>
        <v/>
      </c>
      <c r="AI17" s="60" t="str">
        <f>IF('Registrar bienes de inversión'!AI17="","",VLOOKUP(CONCATENATE("CAUSA BAJA BIEN",'Registrar bienes de inversión'!AI17),'CODIGO-LITERAL'!$C:$D,2,FALSE))</f>
        <v/>
      </c>
      <c r="AJ17" s="60" t="str">
        <f>IF('Registrar bienes de inversión'!AJ17="","",'Registrar bienes de inversión'!AJ17)</f>
        <v/>
      </c>
      <c r="AK17" s="60" t="str">
        <f>IF('Registrar bienes de inversión'!AK17="","",'Registrar bienes de inversión'!AK17)</f>
        <v/>
      </c>
      <c r="AL17" s="60" t="str">
        <f>IF('Registrar bienes de inversión'!AL17="","",'Registrar bienes de inversión'!AL17)</f>
        <v/>
      </c>
      <c r="AM17" s="60" t="str">
        <f>IF('Registrar bienes de inversión'!AM17="","",'Registrar bienes de inversión'!AM17)</f>
        <v/>
      </c>
      <c r="AN17" s="60" t="str">
        <f>IF('Registrar bienes de inversión'!AN17="","",VLOOKUP(CONCATENATE("SITUACION",'Registrar bienes de inversión'!AN17),'CODIGO-LITERAL'!$C:$D,2,FALSE))</f>
        <v/>
      </c>
      <c r="AO17" s="60" t="str">
        <f>IF('Registrar bienes de inversión'!AO17="","",'Registrar bienes de inversión'!AO17)</f>
        <v/>
      </c>
      <c r="AP17" s="60" t="str">
        <f>IF('Registrar bienes de inversión'!AP17="","",'Registrar bienes de inversión'!AP17)</f>
        <v/>
      </c>
    </row>
    <row r="18" spans="1:42" s="25" customFormat="1" ht="13.5" x14ac:dyDescent="0.25">
      <c r="A18" s="71" t="str">
        <f>IF('Registrar bienes de inversión'!A18="","",'Registrar bienes de inversión'!A18)</f>
        <v/>
      </c>
      <c r="B18" s="60" t="str">
        <f>IF('Registrar bienes de inversión'!B18="","",'Registrar bienes de inversión'!B18)</f>
        <v/>
      </c>
      <c r="C18" s="60" t="str">
        <f>IF('Registrar bienes de inversión'!C18="","",VLOOKUP(CONCATENATE("ACTIVIDAD",'Registrar bienes de inversión'!C18),'CODIGO-LITERAL'!$C:$D,2,FALSE))</f>
        <v/>
      </c>
      <c r="D18" s="60" t="str">
        <f>IF(OR(C18="C",C18="D"),"",IF(ISERROR(VLOOKUP(CONCATENATE(C18,'Registrar bienes de inversión'!D18),'CODIGO-LITERAL'!$C:$D,2,FALSE)),"",VLOOKUP(CONCATENATE(C18,'Registrar bienes de inversión'!D18),'CODIGO-LITERAL'!$C:$D,2,FALSE)))</f>
        <v/>
      </c>
      <c r="E18" s="60" t="str">
        <f>IF('Registrar bienes de inversión'!E18="","",'Registrar bienes de inversión'!E18)</f>
        <v/>
      </c>
      <c r="F18" s="60" t="str">
        <f>IF('Registrar bienes de inversión'!F18="","",VLOOKUP(CONCATENATE("TIPO BIEN",'Registrar bienes de inversión'!F18),'CODIGO-LITERAL'!$C:$D,2,FALSE))</f>
        <v/>
      </c>
      <c r="G18" s="60" t="str">
        <f>IF('Registrar bienes de inversión'!G18="","",'Registrar bienes de inversión'!G18)</f>
        <v/>
      </c>
      <c r="H18" s="60" t="str">
        <f>IF('Registrar bienes de inversión'!H18="","",'Registrar bienes de inversión'!H18)</f>
        <v/>
      </c>
      <c r="I18" s="64" t="str">
        <f>IF('Registrar bienes de inversión'!I18="","",'Registrar bienes de inversión'!I18)</f>
        <v/>
      </c>
      <c r="J18" s="72" t="str">
        <f>IF('Registrar bienes de inversión'!J18="","",'Registrar bienes de inversión'!J18)</f>
        <v/>
      </c>
      <c r="K18" s="72" t="str">
        <f>IF('Registrar bienes de inversión'!K18="","",'Registrar bienes de inversión'!K18)</f>
        <v/>
      </c>
      <c r="L18" s="60" t="str">
        <f>IF('Registrar bienes de inversión'!L18="","",VLOOKUP(CONCATENATE("METODO AMORTIZACION",'Registrar bienes de inversión'!L18),'CODIGO-LITERAL'!$C:$D,2,FALSE))</f>
        <v/>
      </c>
      <c r="M18" s="72" t="str">
        <f>IF('Registrar bienes de inversión'!M18="","",'Registrar bienes de inversión'!M18)</f>
        <v/>
      </c>
      <c r="N18" s="72" t="str">
        <f>IF('Registrar bienes de inversión'!N18="","",'Registrar bienes de inversión'!N18)</f>
        <v/>
      </c>
      <c r="O18" s="72" t="str">
        <f>IF('Registrar bienes de inversión'!O18="","",'Registrar bienes de inversión'!O18)</f>
        <v/>
      </c>
      <c r="P18" s="72" t="str">
        <f>IF('Registrar bienes de inversión'!P18="","",'Registrar bienes de inversión'!P18)</f>
        <v/>
      </c>
      <c r="Q18" s="72" t="str">
        <f>IF('Registrar bienes de inversión'!Q18="","",'Registrar bienes de inversión'!Q18)</f>
        <v/>
      </c>
      <c r="R18" s="64" t="str">
        <f>IF('Registrar bienes de inversión'!R18="","",'Registrar bienes de inversión'!R18)</f>
        <v/>
      </c>
      <c r="S18" s="60" t="str">
        <f>IF('Registrar bienes de inversión'!S18="","",'Registrar bienes de inversión'!S18)</f>
        <v/>
      </c>
      <c r="T18" s="60" t="str">
        <f>IF('Registrar bienes de inversión'!T18="","",'Registrar bienes de inversión'!T18)</f>
        <v/>
      </c>
      <c r="U18" s="60" t="str">
        <f>IF('Registrar bienes de inversión'!U18="","",'Registrar bienes de inversión'!U18)</f>
        <v/>
      </c>
      <c r="V18" s="60" t="str">
        <f>IF('Registrar bienes de inversión'!V18="","",'Registrar bienes de inversión'!V18)</f>
        <v/>
      </c>
      <c r="W18" s="60" t="str">
        <f>IF(OR('Registrar bienes de inversión'!W18="",LEFT('Registrar bienes de inversión'!W18,2)="01"),"",VLOOKUP(CONCATENATE("TIPO NIF",'Registrar bienes de inversión'!W18),'CODIGO-LITERAL'!$C:$D,2,FALSE))</f>
        <v/>
      </c>
      <c r="X18" s="60" t="str">
        <f>IF('Registrar bienes de inversión'!X18="","",'Registrar bienes de inversión'!X18)</f>
        <v/>
      </c>
      <c r="Y18" s="60" t="str">
        <f>IF('Registrar bienes de inversión'!Y18="","",'Registrar bienes de inversión'!Y18)</f>
        <v/>
      </c>
      <c r="Z18" s="60" t="str">
        <f>IF('Registrar bienes de inversión'!Z18="","",'Registrar bienes de inversión'!Z18)</f>
        <v/>
      </c>
      <c r="AA18" s="72" t="str">
        <f>IF('Registrar bienes de inversión'!AA18="","",ROUND('Registrar bienes de inversión'!AA18,2))</f>
        <v/>
      </c>
      <c r="AB18" s="72" t="str">
        <f>IF('Registrar bienes de inversión'!AB18="","",'Registrar bienes de inversión'!AB18)</f>
        <v/>
      </c>
      <c r="AC18" s="72" t="str">
        <f>IF('Registrar bienes de inversión'!AC18="","",ROUND('Registrar bienes de inversión'!AC18,2))</f>
        <v/>
      </c>
      <c r="AD18" s="72" t="str">
        <f>IF('Registrar bienes de inversión'!AD18="","",ROUND('Registrar bienes de inversión'!AD18,2))</f>
        <v/>
      </c>
      <c r="AE18" s="72" t="str">
        <f>IF('Registrar bienes de inversión'!AE18="","",ROUND('Registrar bienes de inversión'!AE18,2))</f>
        <v/>
      </c>
      <c r="AF18" s="72" t="str">
        <f>IF('Registrar bienes de inversión'!AF18="","",ROUND('Registrar bienes de inversión'!AF18,2))</f>
        <v/>
      </c>
      <c r="AG18" s="72" t="str">
        <f>IF('Registrar bienes de inversión'!AG18="","",ROUND('Registrar bienes de inversión'!AG18,2))</f>
        <v/>
      </c>
      <c r="AH18" s="64" t="str">
        <f>IF('Registrar bienes de inversión'!AH18="","",'Registrar bienes de inversión'!AH18)</f>
        <v/>
      </c>
      <c r="AI18" s="60" t="str">
        <f>IF('Registrar bienes de inversión'!AI18="","",VLOOKUP(CONCATENATE("CAUSA BAJA BIEN",'Registrar bienes de inversión'!AI18),'CODIGO-LITERAL'!$C:$D,2,FALSE))</f>
        <v/>
      </c>
      <c r="AJ18" s="60" t="str">
        <f>IF('Registrar bienes de inversión'!AJ18="","",'Registrar bienes de inversión'!AJ18)</f>
        <v/>
      </c>
      <c r="AK18" s="60" t="str">
        <f>IF('Registrar bienes de inversión'!AK18="","",'Registrar bienes de inversión'!AK18)</f>
        <v/>
      </c>
      <c r="AL18" s="60" t="str">
        <f>IF('Registrar bienes de inversión'!AL18="","",'Registrar bienes de inversión'!AL18)</f>
        <v/>
      </c>
      <c r="AM18" s="60" t="str">
        <f>IF('Registrar bienes de inversión'!AM18="","",'Registrar bienes de inversión'!AM18)</f>
        <v/>
      </c>
      <c r="AN18" s="60" t="str">
        <f>IF('Registrar bienes de inversión'!AN18="","",VLOOKUP(CONCATENATE("SITUACION",'Registrar bienes de inversión'!AN18),'CODIGO-LITERAL'!$C:$D,2,FALSE))</f>
        <v/>
      </c>
      <c r="AO18" s="60" t="str">
        <f>IF('Registrar bienes de inversión'!AO18="","",'Registrar bienes de inversión'!AO18)</f>
        <v/>
      </c>
      <c r="AP18" s="60" t="str">
        <f>IF('Registrar bienes de inversión'!AP18="","",'Registrar bienes de inversión'!AP18)</f>
        <v/>
      </c>
    </row>
    <row r="19" spans="1:42" s="25" customFormat="1" ht="13.5" x14ac:dyDescent="0.25">
      <c r="A19" s="71" t="str">
        <f>IF('Registrar bienes de inversión'!A19="","",'Registrar bienes de inversión'!A19)</f>
        <v/>
      </c>
      <c r="B19" s="60" t="str">
        <f>IF('Registrar bienes de inversión'!B19="","",'Registrar bienes de inversión'!B19)</f>
        <v/>
      </c>
      <c r="C19" s="60" t="str">
        <f>IF('Registrar bienes de inversión'!C19="","",VLOOKUP(CONCATENATE("ACTIVIDAD",'Registrar bienes de inversión'!C19),'CODIGO-LITERAL'!$C:$D,2,FALSE))</f>
        <v/>
      </c>
      <c r="D19" s="60" t="str">
        <f>IF(OR(C19="C",C19="D"),"",IF(ISERROR(VLOOKUP(CONCATENATE(C19,'Registrar bienes de inversión'!D19),'CODIGO-LITERAL'!$C:$D,2,FALSE)),"",VLOOKUP(CONCATENATE(C19,'Registrar bienes de inversión'!D19),'CODIGO-LITERAL'!$C:$D,2,FALSE)))</f>
        <v/>
      </c>
      <c r="E19" s="60" t="str">
        <f>IF('Registrar bienes de inversión'!E19="","",'Registrar bienes de inversión'!E19)</f>
        <v/>
      </c>
      <c r="F19" s="60" t="str">
        <f>IF('Registrar bienes de inversión'!F19="","",VLOOKUP(CONCATENATE("TIPO BIEN",'Registrar bienes de inversión'!F19),'CODIGO-LITERAL'!$C:$D,2,FALSE))</f>
        <v/>
      </c>
      <c r="G19" s="60" t="str">
        <f>IF('Registrar bienes de inversión'!G19="","",'Registrar bienes de inversión'!G19)</f>
        <v/>
      </c>
      <c r="H19" s="60" t="str">
        <f>IF('Registrar bienes de inversión'!H19="","",'Registrar bienes de inversión'!H19)</f>
        <v/>
      </c>
      <c r="I19" s="64" t="str">
        <f>IF('Registrar bienes de inversión'!I19="","",'Registrar bienes de inversión'!I19)</f>
        <v/>
      </c>
      <c r="J19" s="72" t="str">
        <f>IF('Registrar bienes de inversión'!J19="","",'Registrar bienes de inversión'!J19)</f>
        <v/>
      </c>
      <c r="K19" s="72" t="str">
        <f>IF('Registrar bienes de inversión'!K19="","",'Registrar bienes de inversión'!K19)</f>
        <v/>
      </c>
      <c r="L19" s="60" t="str">
        <f>IF('Registrar bienes de inversión'!L19="","",VLOOKUP(CONCATENATE("METODO AMORTIZACION",'Registrar bienes de inversión'!L19),'CODIGO-LITERAL'!$C:$D,2,FALSE))</f>
        <v/>
      </c>
      <c r="M19" s="72" t="str">
        <f>IF('Registrar bienes de inversión'!M19="","",'Registrar bienes de inversión'!M19)</f>
        <v/>
      </c>
      <c r="N19" s="72" t="str">
        <f>IF('Registrar bienes de inversión'!N19="","",'Registrar bienes de inversión'!N19)</f>
        <v/>
      </c>
      <c r="O19" s="72" t="str">
        <f>IF('Registrar bienes de inversión'!O19="","",'Registrar bienes de inversión'!O19)</f>
        <v/>
      </c>
      <c r="P19" s="72" t="str">
        <f>IF('Registrar bienes de inversión'!P19="","",'Registrar bienes de inversión'!P19)</f>
        <v/>
      </c>
      <c r="Q19" s="72" t="str">
        <f>IF('Registrar bienes de inversión'!Q19="","",'Registrar bienes de inversión'!Q19)</f>
        <v/>
      </c>
      <c r="R19" s="64" t="str">
        <f>IF('Registrar bienes de inversión'!R19="","",'Registrar bienes de inversión'!R19)</f>
        <v/>
      </c>
      <c r="S19" s="60" t="str">
        <f>IF('Registrar bienes de inversión'!S19="","",'Registrar bienes de inversión'!S19)</f>
        <v/>
      </c>
      <c r="T19" s="60" t="str">
        <f>IF('Registrar bienes de inversión'!T19="","",'Registrar bienes de inversión'!T19)</f>
        <v/>
      </c>
      <c r="U19" s="60" t="str">
        <f>IF('Registrar bienes de inversión'!U19="","",'Registrar bienes de inversión'!U19)</f>
        <v/>
      </c>
      <c r="V19" s="60" t="str">
        <f>IF('Registrar bienes de inversión'!V19="","",'Registrar bienes de inversión'!V19)</f>
        <v/>
      </c>
      <c r="W19" s="60" t="str">
        <f>IF(OR('Registrar bienes de inversión'!W19="",LEFT('Registrar bienes de inversión'!W19,2)="01"),"",VLOOKUP(CONCATENATE("TIPO NIF",'Registrar bienes de inversión'!W19),'CODIGO-LITERAL'!$C:$D,2,FALSE))</f>
        <v/>
      </c>
      <c r="X19" s="60" t="str">
        <f>IF('Registrar bienes de inversión'!X19="","",'Registrar bienes de inversión'!X19)</f>
        <v/>
      </c>
      <c r="Y19" s="60" t="str">
        <f>IF('Registrar bienes de inversión'!Y19="","",'Registrar bienes de inversión'!Y19)</f>
        <v/>
      </c>
      <c r="Z19" s="60" t="str">
        <f>IF('Registrar bienes de inversión'!Z19="","",'Registrar bienes de inversión'!Z19)</f>
        <v/>
      </c>
      <c r="AA19" s="72" t="str">
        <f>IF('Registrar bienes de inversión'!AA19="","",ROUND('Registrar bienes de inversión'!AA19,2))</f>
        <v/>
      </c>
      <c r="AB19" s="72" t="str">
        <f>IF('Registrar bienes de inversión'!AB19="","",'Registrar bienes de inversión'!AB19)</f>
        <v/>
      </c>
      <c r="AC19" s="72" t="str">
        <f>IF('Registrar bienes de inversión'!AC19="","",ROUND('Registrar bienes de inversión'!AC19,2))</f>
        <v/>
      </c>
      <c r="AD19" s="72" t="str">
        <f>IF('Registrar bienes de inversión'!AD19="","",ROUND('Registrar bienes de inversión'!AD19,2))</f>
        <v/>
      </c>
      <c r="AE19" s="72" t="str">
        <f>IF('Registrar bienes de inversión'!AE19="","",ROUND('Registrar bienes de inversión'!AE19,2))</f>
        <v/>
      </c>
      <c r="AF19" s="72" t="str">
        <f>IF('Registrar bienes de inversión'!AF19="","",ROUND('Registrar bienes de inversión'!AF19,2))</f>
        <v/>
      </c>
      <c r="AG19" s="72" t="str">
        <f>IF('Registrar bienes de inversión'!AG19="","",ROUND('Registrar bienes de inversión'!AG19,2))</f>
        <v/>
      </c>
      <c r="AH19" s="64" t="str">
        <f>IF('Registrar bienes de inversión'!AH19="","",'Registrar bienes de inversión'!AH19)</f>
        <v/>
      </c>
      <c r="AI19" s="60" t="str">
        <f>IF('Registrar bienes de inversión'!AI19="","",VLOOKUP(CONCATENATE("CAUSA BAJA BIEN",'Registrar bienes de inversión'!AI19),'CODIGO-LITERAL'!$C:$D,2,FALSE))</f>
        <v/>
      </c>
      <c r="AJ19" s="60" t="str">
        <f>IF('Registrar bienes de inversión'!AJ19="","",'Registrar bienes de inversión'!AJ19)</f>
        <v/>
      </c>
      <c r="AK19" s="60" t="str">
        <f>IF('Registrar bienes de inversión'!AK19="","",'Registrar bienes de inversión'!AK19)</f>
        <v/>
      </c>
      <c r="AL19" s="60" t="str">
        <f>IF('Registrar bienes de inversión'!AL19="","",'Registrar bienes de inversión'!AL19)</f>
        <v/>
      </c>
      <c r="AM19" s="60" t="str">
        <f>IF('Registrar bienes de inversión'!AM19="","",'Registrar bienes de inversión'!AM19)</f>
        <v/>
      </c>
      <c r="AN19" s="60" t="str">
        <f>IF('Registrar bienes de inversión'!AN19="","",VLOOKUP(CONCATENATE("SITUACION",'Registrar bienes de inversión'!AN19),'CODIGO-LITERAL'!$C:$D,2,FALSE))</f>
        <v/>
      </c>
      <c r="AO19" s="60" t="str">
        <f>IF('Registrar bienes de inversión'!AO19="","",'Registrar bienes de inversión'!AO19)</f>
        <v/>
      </c>
      <c r="AP19" s="60" t="str">
        <f>IF('Registrar bienes de inversión'!AP19="","",'Registrar bienes de inversión'!AP19)</f>
        <v/>
      </c>
    </row>
    <row r="20" spans="1:42" s="25" customFormat="1" ht="13.5" x14ac:dyDescent="0.25">
      <c r="A20" s="71" t="str">
        <f>IF('Registrar bienes de inversión'!A20="","",'Registrar bienes de inversión'!A20)</f>
        <v/>
      </c>
      <c r="B20" s="60" t="str">
        <f>IF('Registrar bienes de inversión'!B20="","",'Registrar bienes de inversión'!B20)</f>
        <v/>
      </c>
      <c r="C20" s="60" t="str">
        <f>IF('Registrar bienes de inversión'!C20="","",VLOOKUP(CONCATENATE("ACTIVIDAD",'Registrar bienes de inversión'!C20),'CODIGO-LITERAL'!$C:$D,2,FALSE))</f>
        <v/>
      </c>
      <c r="D20" s="60" t="str">
        <f>IF(OR(C20="C",C20="D"),"",IF(ISERROR(VLOOKUP(CONCATENATE(C20,'Registrar bienes de inversión'!D20),'CODIGO-LITERAL'!$C:$D,2,FALSE)),"",VLOOKUP(CONCATENATE(C20,'Registrar bienes de inversión'!D20),'CODIGO-LITERAL'!$C:$D,2,FALSE)))</f>
        <v/>
      </c>
      <c r="E20" s="60" t="str">
        <f>IF('Registrar bienes de inversión'!E20="","",'Registrar bienes de inversión'!E20)</f>
        <v/>
      </c>
      <c r="F20" s="60" t="str">
        <f>IF('Registrar bienes de inversión'!F20="","",VLOOKUP(CONCATENATE("TIPO BIEN",'Registrar bienes de inversión'!F20),'CODIGO-LITERAL'!$C:$D,2,FALSE))</f>
        <v/>
      </c>
      <c r="G20" s="60" t="str">
        <f>IF('Registrar bienes de inversión'!G20="","",'Registrar bienes de inversión'!G20)</f>
        <v/>
      </c>
      <c r="H20" s="60" t="str">
        <f>IF('Registrar bienes de inversión'!H20="","",'Registrar bienes de inversión'!H20)</f>
        <v/>
      </c>
      <c r="I20" s="64" t="str">
        <f>IF('Registrar bienes de inversión'!I20="","",'Registrar bienes de inversión'!I20)</f>
        <v/>
      </c>
      <c r="J20" s="72" t="str">
        <f>IF('Registrar bienes de inversión'!J20="","",'Registrar bienes de inversión'!J20)</f>
        <v/>
      </c>
      <c r="K20" s="72" t="str">
        <f>IF('Registrar bienes de inversión'!K20="","",'Registrar bienes de inversión'!K20)</f>
        <v/>
      </c>
      <c r="L20" s="60" t="str">
        <f>IF('Registrar bienes de inversión'!L20="","",VLOOKUP(CONCATENATE("METODO AMORTIZACION",'Registrar bienes de inversión'!L20),'CODIGO-LITERAL'!$C:$D,2,FALSE))</f>
        <v/>
      </c>
      <c r="M20" s="72" t="str">
        <f>IF('Registrar bienes de inversión'!M20="","",'Registrar bienes de inversión'!M20)</f>
        <v/>
      </c>
      <c r="N20" s="72" t="str">
        <f>IF('Registrar bienes de inversión'!N20="","",'Registrar bienes de inversión'!N20)</f>
        <v/>
      </c>
      <c r="O20" s="72" t="str">
        <f>IF('Registrar bienes de inversión'!O20="","",'Registrar bienes de inversión'!O20)</f>
        <v/>
      </c>
      <c r="P20" s="72" t="str">
        <f>IF('Registrar bienes de inversión'!P20="","",'Registrar bienes de inversión'!P20)</f>
        <v/>
      </c>
      <c r="Q20" s="72" t="str">
        <f>IF('Registrar bienes de inversión'!Q20="","",'Registrar bienes de inversión'!Q20)</f>
        <v/>
      </c>
      <c r="R20" s="64" t="str">
        <f>IF('Registrar bienes de inversión'!R20="","",'Registrar bienes de inversión'!R20)</f>
        <v/>
      </c>
      <c r="S20" s="60" t="str">
        <f>IF('Registrar bienes de inversión'!S20="","",'Registrar bienes de inversión'!S20)</f>
        <v/>
      </c>
      <c r="T20" s="60" t="str">
        <f>IF('Registrar bienes de inversión'!T20="","",'Registrar bienes de inversión'!T20)</f>
        <v/>
      </c>
      <c r="U20" s="60" t="str">
        <f>IF('Registrar bienes de inversión'!U20="","",'Registrar bienes de inversión'!U20)</f>
        <v/>
      </c>
      <c r="V20" s="60" t="str">
        <f>IF('Registrar bienes de inversión'!V20="","",'Registrar bienes de inversión'!V20)</f>
        <v/>
      </c>
      <c r="W20" s="60" t="str">
        <f>IF(OR('Registrar bienes de inversión'!W20="",LEFT('Registrar bienes de inversión'!W20,2)="01"),"",VLOOKUP(CONCATENATE("TIPO NIF",'Registrar bienes de inversión'!W20),'CODIGO-LITERAL'!$C:$D,2,FALSE))</f>
        <v/>
      </c>
      <c r="X20" s="60" t="str">
        <f>IF('Registrar bienes de inversión'!X20="","",'Registrar bienes de inversión'!X20)</f>
        <v/>
      </c>
      <c r="Y20" s="60" t="str">
        <f>IF('Registrar bienes de inversión'!Y20="","",'Registrar bienes de inversión'!Y20)</f>
        <v/>
      </c>
      <c r="Z20" s="60" t="str">
        <f>IF('Registrar bienes de inversión'!Z20="","",'Registrar bienes de inversión'!Z20)</f>
        <v/>
      </c>
      <c r="AA20" s="72" t="str">
        <f>IF('Registrar bienes de inversión'!AA20="","",ROUND('Registrar bienes de inversión'!AA20,2))</f>
        <v/>
      </c>
      <c r="AB20" s="72" t="str">
        <f>IF('Registrar bienes de inversión'!AB20="","",'Registrar bienes de inversión'!AB20)</f>
        <v/>
      </c>
      <c r="AC20" s="72" t="str">
        <f>IF('Registrar bienes de inversión'!AC20="","",ROUND('Registrar bienes de inversión'!AC20,2))</f>
        <v/>
      </c>
      <c r="AD20" s="72" t="str">
        <f>IF('Registrar bienes de inversión'!AD20="","",ROUND('Registrar bienes de inversión'!AD20,2))</f>
        <v/>
      </c>
      <c r="AE20" s="72" t="str">
        <f>IF('Registrar bienes de inversión'!AE20="","",ROUND('Registrar bienes de inversión'!AE20,2))</f>
        <v/>
      </c>
      <c r="AF20" s="72" t="str">
        <f>IF('Registrar bienes de inversión'!AF20="","",ROUND('Registrar bienes de inversión'!AF20,2))</f>
        <v/>
      </c>
      <c r="AG20" s="72" t="str">
        <f>IF('Registrar bienes de inversión'!AG20="","",ROUND('Registrar bienes de inversión'!AG20,2))</f>
        <v/>
      </c>
      <c r="AH20" s="64" t="str">
        <f>IF('Registrar bienes de inversión'!AH20="","",'Registrar bienes de inversión'!AH20)</f>
        <v/>
      </c>
      <c r="AI20" s="60" t="str">
        <f>IF('Registrar bienes de inversión'!AI20="","",VLOOKUP(CONCATENATE("CAUSA BAJA BIEN",'Registrar bienes de inversión'!AI20),'CODIGO-LITERAL'!$C:$D,2,FALSE))</f>
        <v/>
      </c>
      <c r="AJ20" s="60" t="str">
        <f>IF('Registrar bienes de inversión'!AJ20="","",'Registrar bienes de inversión'!AJ20)</f>
        <v/>
      </c>
      <c r="AK20" s="60" t="str">
        <f>IF('Registrar bienes de inversión'!AK20="","",'Registrar bienes de inversión'!AK20)</f>
        <v/>
      </c>
      <c r="AL20" s="60" t="str">
        <f>IF('Registrar bienes de inversión'!AL20="","",'Registrar bienes de inversión'!AL20)</f>
        <v/>
      </c>
      <c r="AM20" s="60" t="str">
        <f>IF('Registrar bienes de inversión'!AM20="","",'Registrar bienes de inversión'!AM20)</f>
        <v/>
      </c>
      <c r="AN20" s="60" t="str">
        <f>IF('Registrar bienes de inversión'!AN20="","",VLOOKUP(CONCATENATE("SITUACION",'Registrar bienes de inversión'!AN20),'CODIGO-LITERAL'!$C:$D,2,FALSE))</f>
        <v/>
      </c>
      <c r="AO20" s="60" t="str">
        <f>IF('Registrar bienes de inversión'!AO20="","",'Registrar bienes de inversión'!AO20)</f>
        <v/>
      </c>
      <c r="AP20" s="60" t="str">
        <f>IF('Registrar bienes de inversión'!AP20="","",'Registrar bienes de inversión'!AP20)</f>
        <v/>
      </c>
    </row>
    <row r="21" spans="1:42" s="25" customFormat="1" ht="13.5" x14ac:dyDescent="0.25">
      <c r="A21" s="71" t="str">
        <f>IF('Registrar bienes de inversión'!A21="","",'Registrar bienes de inversión'!A21)</f>
        <v/>
      </c>
      <c r="B21" s="60" t="str">
        <f>IF('Registrar bienes de inversión'!B21="","",'Registrar bienes de inversión'!B21)</f>
        <v/>
      </c>
      <c r="C21" s="60" t="str">
        <f>IF('Registrar bienes de inversión'!C21="","",VLOOKUP(CONCATENATE("ACTIVIDAD",'Registrar bienes de inversión'!C21),'CODIGO-LITERAL'!$C:$D,2,FALSE))</f>
        <v/>
      </c>
      <c r="D21" s="60" t="str">
        <f>IF(OR(C21="C",C21="D"),"",IF(ISERROR(VLOOKUP(CONCATENATE(C21,'Registrar bienes de inversión'!D21),'CODIGO-LITERAL'!$C:$D,2,FALSE)),"",VLOOKUP(CONCATENATE(C21,'Registrar bienes de inversión'!D21),'CODIGO-LITERAL'!$C:$D,2,FALSE)))</f>
        <v/>
      </c>
      <c r="E21" s="60" t="str">
        <f>IF('Registrar bienes de inversión'!E21="","",'Registrar bienes de inversión'!E21)</f>
        <v/>
      </c>
      <c r="F21" s="60" t="str">
        <f>IF('Registrar bienes de inversión'!F21="","",VLOOKUP(CONCATENATE("TIPO BIEN",'Registrar bienes de inversión'!F21),'CODIGO-LITERAL'!$C:$D,2,FALSE))</f>
        <v/>
      </c>
      <c r="G21" s="60" t="str">
        <f>IF('Registrar bienes de inversión'!G21="","",'Registrar bienes de inversión'!G21)</f>
        <v/>
      </c>
      <c r="H21" s="60" t="str">
        <f>IF('Registrar bienes de inversión'!H21="","",'Registrar bienes de inversión'!H21)</f>
        <v/>
      </c>
      <c r="I21" s="64" t="str">
        <f>IF('Registrar bienes de inversión'!I21="","",'Registrar bienes de inversión'!I21)</f>
        <v/>
      </c>
      <c r="J21" s="72" t="str">
        <f>IF('Registrar bienes de inversión'!J21="","",'Registrar bienes de inversión'!J21)</f>
        <v/>
      </c>
      <c r="K21" s="72" t="str">
        <f>IF('Registrar bienes de inversión'!K21="","",'Registrar bienes de inversión'!K21)</f>
        <v/>
      </c>
      <c r="L21" s="60" t="str">
        <f>IF('Registrar bienes de inversión'!L21="","",VLOOKUP(CONCATENATE("METODO AMORTIZACION",'Registrar bienes de inversión'!L21),'CODIGO-LITERAL'!$C:$D,2,FALSE))</f>
        <v/>
      </c>
      <c r="M21" s="72" t="str">
        <f>IF('Registrar bienes de inversión'!M21="","",'Registrar bienes de inversión'!M21)</f>
        <v/>
      </c>
      <c r="N21" s="72" t="str">
        <f>IF('Registrar bienes de inversión'!N21="","",'Registrar bienes de inversión'!N21)</f>
        <v/>
      </c>
      <c r="O21" s="72" t="str">
        <f>IF('Registrar bienes de inversión'!O21="","",'Registrar bienes de inversión'!O21)</f>
        <v/>
      </c>
      <c r="P21" s="72" t="str">
        <f>IF('Registrar bienes de inversión'!P21="","",'Registrar bienes de inversión'!P21)</f>
        <v/>
      </c>
      <c r="Q21" s="72" t="str">
        <f>IF('Registrar bienes de inversión'!Q21="","",'Registrar bienes de inversión'!Q21)</f>
        <v/>
      </c>
      <c r="R21" s="64" t="str">
        <f>IF('Registrar bienes de inversión'!R21="","",'Registrar bienes de inversión'!R21)</f>
        <v/>
      </c>
      <c r="S21" s="60" t="str">
        <f>IF('Registrar bienes de inversión'!S21="","",'Registrar bienes de inversión'!S21)</f>
        <v/>
      </c>
      <c r="T21" s="60" t="str">
        <f>IF('Registrar bienes de inversión'!T21="","",'Registrar bienes de inversión'!T21)</f>
        <v/>
      </c>
      <c r="U21" s="60" t="str">
        <f>IF('Registrar bienes de inversión'!U21="","",'Registrar bienes de inversión'!U21)</f>
        <v/>
      </c>
      <c r="V21" s="60" t="str">
        <f>IF('Registrar bienes de inversión'!V21="","",'Registrar bienes de inversión'!V21)</f>
        <v/>
      </c>
      <c r="W21" s="60" t="str">
        <f>IF(OR('Registrar bienes de inversión'!W21="",LEFT('Registrar bienes de inversión'!W21,2)="01"),"",VLOOKUP(CONCATENATE("TIPO NIF",'Registrar bienes de inversión'!W21),'CODIGO-LITERAL'!$C:$D,2,FALSE))</f>
        <v/>
      </c>
      <c r="X21" s="60" t="str">
        <f>IF('Registrar bienes de inversión'!X21="","",'Registrar bienes de inversión'!X21)</f>
        <v/>
      </c>
      <c r="Y21" s="60" t="str">
        <f>IF('Registrar bienes de inversión'!Y21="","",'Registrar bienes de inversión'!Y21)</f>
        <v/>
      </c>
      <c r="Z21" s="60" t="str">
        <f>IF('Registrar bienes de inversión'!Z21="","",'Registrar bienes de inversión'!Z21)</f>
        <v/>
      </c>
      <c r="AA21" s="72" t="str">
        <f>IF('Registrar bienes de inversión'!AA21="","",ROUND('Registrar bienes de inversión'!AA21,2))</f>
        <v/>
      </c>
      <c r="AB21" s="72" t="str">
        <f>IF('Registrar bienes de inversión'!AB21="","",'Registrar bienes de inversión'!AB21)</f>
        <v/>
      </c>
      <c r="AC21" s="72" t="str">
        <f>IF('Registrar bienes de inversión'!AC21="","",ROUND('Registrar bienes de inversión'!AC21,2))</f>
        <v/>
      </c>
      <c r="AD21" s="72" t="str">
        <f>IF('Registrar bienes de inversión'!AD21="","",ROUND('Registrar bienes de inversión'!AD21,2))</f>
        <v/>
      </c>
      <c r="AE21" s="72" t="str">
        <f>IF('Registrar bienes de inversión'!AE21="","",ROUND('Registrar bienes de inversión'!AE21,2))</f>
        <v/>
      </c>
      <c r="AF21" s="72" t="str">
        <f>IF('Registrar bienes de inversión'!AF21="","",ROUND('Registrar bienes de inversión'!AF21,2))</f>
        <v/>
      </c>
      <c r="AG21" s="72" t="str">
        <f>IF('Registrar bienes de inversión'!AG21="","",ROUND('Registrar bienes de inversión'!AG21,2))</f>
        <v/>
      </c>
      <c r="AH21" s="64" t="str">
        <f>IF('Registrar bienes de inversión'!AH21="","",'Registrar bienes de inversión'!AH21)</f>
        <v/>
      </c>
      <c r="AI21" s="60" t="str">
        <f>IF('Registrar bienes de inversión'!AI21="","",VLOOKUP(CONCATENATE("CAUSA BAJA BIEN",'Registrar bienes de inversión'!AI21),'CODIGO-LITERAL'!$C:$D,2,FALSE))</f>
        <v/>
      </c>
      <c r="AJ21" s="60" t="str">
        <f>IF('Registrar bienes de inversión'!AJ21="","",'Registrar bienes de inversión'!AJ21)</f>
        <v/>
      </c>
      <c r="AK21" s="60" t="str">
        <f>IF('Registrar bienes de inversión'!AK21="","",'Registrar bienes de inversión'!AK21)</f>
        <v/>
      </c>
      <c r="AL21" s="60" t="str">
        <f>IF('Registrar bienes de inversión'!AL21="","",'Registrar bienes de inversión'!AL21)</f>
        <v/>
      </c>
      <c r="AM21" s="60" t="str">
        <f>IF('Registrar bienes de inversión'!AM21="","",'Registrar bienes de inversión'!AM21)</f>
        <v/>
      </c>
      <c r="AN21" s="60" t="str">
        <f>IF('Registrar bienes de inversión'!AN21="","",VLOOKUP(CONCATENATE("SITUACION",'Registrar bienes de inversión'!AN21),'CODIGO-LITERAL'!$C:$D,2,FALSE))</f>
        <v/>
      </c>
      <c r="AO21" s="60" t="str">
        <f>IF('Registrar bienes de inversión'!AO21="","",'Registrar bienes de inversión'!AO21)</f>
        <v/>
      </c>
      <c r="AP21" s="60" t="str">
        <f>IF('Registrar bienes de inversión'!AP21="","",'Registrar bienes de inversión'!AP21)</f>
        <v/>
      </c>
    </row>
    <row r="22" spans="1:42" s="25" customFormat="1" ht="13.5" x14ac:dyDescent="0.25">
      <c r="A22" s="71" t="str">
        <f>IF('Registrar bienes de inversión'!A22="","",'Registrar bienes de inversión'!A22)</f>
        <v/>
      </c>
      <c r="B22" s="60" t="str">
        <f>IF('Registrar bienes de inversión'!B22="","",'Registrar bienes de inversión'!B22)</f>
        <v/>
      </c>
      <c r="C22" s="60" t="str">
        <f>IF('Registrar bienes de inversión'!C22="","",VLOOKUP(CONCATENATE("ACTIVIDAD",'Registrar bienes de inversión'!C22),'CODIGO-LITERAL'!$C:$D,2,FALSE))</f>
        <v/>
      </c>
      <c r="D22" s="60" t="str">
        <f>IF(OR(C22="C",C22="D"),"",IF(ISERROR(VLOOKUP(CONCATENATE(C22,'Registrar bienes de inversión'!D22),'CODIGO-LITERAL'!$C:$D,2,FALSE)),"",VLOOKUP(CONCATENATE(C22,'Registrar bienes de inversión'!D22),'CODIGO-LITERAL'!$C:$D,2,FALSE)))</f>
        <v/>
      </c>
      <c r="E22" s="60" t="str">
        <f>IF('Registrar bienes de inversión'!E22="","",'Registrar bienes de inversión'!E22)</f>
        <v/>
      </c>
      <c r="F22" s="60" t="str">
        <f>IF('Registrar bienes de inversión'!F22="","",VLOOKUP(CONCATENATE("TIPO BIEN",'Registrar bienes de inversión'!F22),'CODIGO-LITERAL'!$C:$D,2,FALSE))</f>
        <v/>
      </c>
      <c r="G22" s="60" t="str">
        <f>IF('Registrar bienes de inversión'!G22="","",'Registrar bienes de inversión'!G22)</f>
        <v/>
      </c>
      <c r="H22" s="60" t="str">
        <f>IF('Registrar bienes de inversión'!H22="","",'Registrar bienes de inversión'!H22)</f>
        <v/>
      </c>
      <c r="I22" s="64" t="str">
        <f>IF('Registrar bienes de inversión'!I22="","",'Registrar bienes de inversión'!I22)</f>
        <v/>
      </c>
      <c r="J22" s="72" t="str">
        <f>IF('Registrar bienes de inversión'!J22="","",'Registrar bienes de inversión'!J22)</f>
        <v/>
      </c>
      <c r="K22" s="72" t="str">
        <f>IF('Registrar bienes de inversión'!K22="","",'Registrar bienes de inversión'!K22)</f>
        <v/>
      </c>
      <c r="L22" s="60" t="str">
        <f>IF('Registrar bienes de inversión'!L22="","",VLOOKUP(CONCATENATE("METODO AMORTIZACION",'Registrar bienes de inversión'!L22),'CODIGO-LITERAL'!$C:$D,2,FALSE))</f>
        <v/>
      </c>
      <c r="M22" s="72" t="str">
        <f>IF('Registrar bienes de inversión'!M22="","",'Registrar bienes de inversión'!M22)</f>
        <v/>
      </c>
      <c r="N22" s="72" t="str">
        <f>IF('Registrar bienes de inversión'!N22="","",'Registrar bienes de inversión'!N22)</f>
        <v/>
      </c>
      <c r="O22" s="72" t="str">
        <f>IF('Registrar bienes de inversión'!O22="","",'Registrar bienes de inversión'!O22)</f>
        <v/>
      </c>
      <c r="P22" s="72" t="str">
        <f>IF('Registrar bienes de inversión'!P22="","",'Registrar bienes de inversión'!P22)</f>
        <v/>
      </c>
      <c r="Q22" s="72" t="str">
        <f>IF('Registrar bienes de inversión'!Q22="","",'Registrar bienes de inversión'!Q22)</f>
        <v/>
      </c>
      <c r="R22" s="64" t="str">
        <f>IF('Registrar bienes de inversión'!R22="","",'Registrar bienes de inversión'!R22)</f>
        <v/>
      </c>
      <c r="S22" s="60" t="str">
        <f>IF('Registrar bienes de inversión'!S22="","",'Registrar bienes de inversión'!S22)</f>
        <v/>
      </c>
      <c r="T22" s="60" t="str">
        <f>IF('Registrar bienes de inversión'!T22="","",'Registrar bienes de inversión'!T22)</f>
        <v/>
      </c>
      <c r="U22" s="60" t="str">
        <f>IF('Registrar bienes de inversión'!U22="","",'Registrar bienes de inversión'!U22)</f>
        <v/>
      </c>
      <c r="V22" s="60" t="str">
        <f>IF('Registrar bienes de inversión'!V22="","",'Registrar bienes de inversión'!V22)</f>
        <v/>
      </c>
      <c r="W22" s="60" t="str">
        <f>IF(OR('Registrar bienes de inversión'!W22="",LEFT('Registrar bienes de inversión'!W22,2)="01"),"",VLOOKUP(CONCATENATE("TIPO NIF",'Registrar bienes de inversión'!W22),'CODIGO-LITERAL'!$C:$D,2,FALSE))</f>
        <v/>
      </c>
      <c r="X22" s="60" t="str">
        <f>IF('Registrar bienes de inversión'!X22="","",'Registrar bienes de inversión'!X22)</f>
        <v/>
      </c>
      <c r="Y22" s="60" t="str">
        <f>IF('Registrar bienes de inversión'!Y22="","",'Registrar bienes de inversión'!Y22)</f>
        <v/>
      </c>
      <c r="Z22" s="60" t="str">
        <f>IF('Registrar bienes de inversión'!Z22="","",'Registrar bienes de inversión'!Z22)</f>
        <v/>
      </c>
      <c r="AA22" s="72" t="str">
        <f>IF('Registrar bienes de inversión'!AA22="","",ROUND('Registrar bienes de inversión'!AA22,2))</f>
        <v/>
      </c>
      <c r="AB22" s="72" t="str">
        <f>IF('Registrar bienes de inversión'!AB22="","",'Registrar bienes de inversión'!AB22)</f>
        <v/>
      </c>
      <c r="AC22" s="72" t="str">
        <f>IF('Registrar bienes de inversión'!AC22="","",ROUND('Registrar bienes de inversión'!AC22,2))</f>
        <v/>
      </c>
      <c r="AD22" s="72" t="str">
        <f>IF('Registrar bienes de inversión'!AD22="","",ROUND('Registrar bienes de inversión'!AD22,2))</f>
        <v/>
      </c>
      <c r="AE22" s="72" t="str">
        <f>IF('Registrar bienes de inversión'!AE22="","",ROUND('Registrar bienes de inversión'!AE22,2))</f>
        <v/>
      </c>
      <c r="AF22" s="72" t="str">
        <f>IF('Registrar bienes de inversión'!AF22="","",ROUND('Registrar bienes de inversión'!AF22,2))</f>
        <v/>
      </c>
      <c r="AG22" s="72" t="str">
        <f>IF('Registrar bienes de inversión'!AG22="","",ROUND('Registrar bienes de inversión'!AG22,2))</f>
        <v/>
      </c>
      <c r="AH22" s="64" t="str">
        <f>IF('Registrar bienes de inversión'!AH22="","",'Registrar bienes de inversión'!AH22)</f>
        <v/>
      </c>
      <c r="AI22" s="60" t="str">
        <f>IF('Registrar bienes de inversión'!AI22="","",VLOOKUP(CONCATENATE("CAUSA BAJA BIEN",'Registrar bienes de inversión'!AI22),'CODIGO-LITERAL'!$C:$D,2,FALSE))</f>
        <v/>
      </c>
      <c r="AJ22" s="60" t="str">
        <f>IF('Registrar bienes de inversión'!AJ22="","",'Registrar bienes de inversión'!AJ22)</f>
        <v/>
      </c>
      <c r="AK22" s="60" t="str">
        <f>IF('Registrar bienes de inversión'!AK22="","",'Registrar bienes de inversión'!AK22)</f>
        <v/>
      </c>
      <c r="AL22" s="60" t="str">
        <f>IF('Registrar bienes de inversión'!AL22="","",'Registrar bienes de inversión'!AL22)</f>
        <v/>
      </c>
      <c r="AM22" s="60" t="str">
        <f>IF('Registrar bienes de inversión'!AM22="","",'Registrar bienes de inversión'!AM22)</f>
        <v/>
      </c>
      <c r="AN22" s="60" t="str">
        <f>IF('Registrar bienes de inversión'!AN22="","",VLOOKUP(CONCATENATE("SITUACION",'Registrar bienes de inversión'!AN22),'CODIGO-LITERAL'!$C:$D,2,FALSE))</f>
        <v/>
      </c>
      <c r="AO22" s="60" t="str">
        <f>IF('Registrar bienes de inversión'!AO22="","",'Registrar bienes de inversión'!AO22)</f>
        <v/>
      </c>
      <c r="AP22" s="60" t="str">
        <f>IF('Registrar bienes de inversión'!AP22="","",'Registrar bienes de inversión'!AP22)</f>
        <v/>
      </c>
    </row>
    <row r="23" spans="1:42" s="25" customFormat="1" ht="13.5" x14ac:dyDescent="0.25">
      <c r="A23" s="71" t="str">
        <f>IF('Registrar bienes de inversión'!A23="","",'Registrar bienes de inversión'!A23)</f>
        <v/>
      </c>
      <c r="B23" s="60" t="str">
        <f>IF('Registrar bienes de inversión'!B23="","",'Registrar bienes de inversión'!B23)</f>
        <v/>
      </c>
      <c r="C23" s="60" t="str">
        <f>IF('Registrar bienes de inversión'!C23="","",VLOOKUP(CONCATENATE("ACTIVIDAD",'Registrar bienes de inversión'!C23),'CODIGO-LITERAL'!$C:$D,2,FALSE))</f>
        <v/>
      </c>
      <c r="D23" s="60" t="str">
        <f>IF(OR(C23="C",C23="D"),"",IF(ISERROR(VLOOKUP(CONCATENATE(C23,'Registrar bienes de inversión'!D23),'CODIGO-LITERAL'!$C:$D,2,FALSE)),"",VLOOKUP(CONCATENATE(C23,'Registrar bienes de inversión'!D23),'CODIGO-LITERAL'!$C:$D,2,FALSE)))</f>
        <v/>
      </c>
      <c r="E23" s="60" t="str">
        <f>IF('Registrar bienes de inversión'!E23="","",'Registrar bienes de inversión'!E23)</f>
        <v/>
      </c>
      <c r="F23" s="60" t="str">
        <f>IF('Registrar bienes de inversión'!F23="","",VLOOKUP(CONCATENATE("TIPO BIEN",'Registrar bienes de inversión'!F23),'CODIGO-LITERAL'!$C:$D,2,FALSE))</f>
        <v/>
      </c>
      <c r="G23" s="60" t="str">
        <f>IF('Registrar bienes de inversión'!G23="","",'Registrar bienes de inversión'!G23)</f>
        <v/>
      </c>
      <c r="H23" s="60" t="str">
        <f>IF('Registrar bienes de inversión'!H23="","",'Registrar bienes de inversión'!H23)</f>
        <v/>
      </c>
      <c r="I23" s="64" t="str">
        <f>IF('Registrar bienes de inversión'!I23="","",'Registrar bienes de inversión'!I23)</f>
        <v/>
      </c>
      <c r="J23" s="72" t="str">
        <f>IF('Registrar bienes de inversión'!J23="","",'Registrar bienes de inversión'!J23)</f>
        <v/>
      </c>
      <c r="K23" s="72" t="str">
        <f>IF('Registrar bienes de inversión'!K23="","",'Registrar bienes de inversión'!K23)</f>
        <v/>
      </c>
      <c r="L23" s="60" t="str">
        <f>IF('Registrar bienes de inversión'!L23="","",VLOOKUP(CONCATENATE("METODO AMORTIZACION",'Registrar bienes de inversión'!L23),'CODIGO-LITERAL'!$C:$D,2,FALSE))</f>
        <v/>
      </c>
      <c r="M23" s="72" t="str">
        <f>IF('Registrar bienes de inversión'!M23="","",'Registrar bienes de inversión'!M23)</f>
        <v/>
      </c>
      <c r="N23" s="72" t="str">
        <f>IF('Registrar bienes de inversión'!N23="","",'Registrar bienes de inversión'!N23)</f>
        <v/>
      </c>
      <c r="O23" s="72" t="str">
        <f>IF('Registrar bienes de inversión'!O23="","",'Registrar bienes de inversión'!O23)</f>
        <v/>
      </c>
      <c r="P23" s="72" t="str">
        <f>IF('Registrar bienes de inversión'!P23="","",'Registrar bienes de inversión'!P23)</f>
        <v/>
      </c>
      <c r="Q23" s="72" t="str">
        <f>IF('Registrar bienes de inversión'!Q23="","",'Registrar bienes de inversión'!Q23)</f>
        <v/>
      </c>
      <c r="R23" s="64" t="str">
        <f>IF('Registrar bienes de inversión'!R23="","",'Registrar bienes de inversión'!R23)</f>
        <v/>
      </c>
      <c r="S23" s="60" t="str">
        <f>IF('Registrar bienes de inversión'!S23="","",'Registrar bienes de inversión'!S23)</f>
        <v/>
      </c>
      <c r="T23" s="60" t="str">
        <f>IF('Registrar bienes de inversión'!T23="","",'Registrar bienes de inversión'!T23)</f>
        <v/>
      </c>
      <c r="U23" s="60" t="str">
        <f>IF('Registrar bienes de inversión'!U23="","",'Registrar bienes de inversión'!U23)</f>
        <v/>
      </c>
      <c r="V23" s="60" t="str">
        <f>IF('Registrar bienes de inversión'!V23="","",'Registrar bienes de inversión'!V23)</f>
        <v/>
      </c>
      <c r="W23" s="60" t="str">
        <f>IF(OR('Registrar bienes de inversión'!W23="",LEFT('Registrar bienes de inversión'!W23,2)="01"),"",VLOOKUP(CONCATENATE("TIPO NIF",'Registrar bienes de inversión'!W23),'CODIGO-LITERAL'!$C:$D,2,FALSE))</f>
        <v/>
      </c>
      <c r="X23" s="60" t="str">
        <f>IF('Registrar bienes de inversión'!X23="","",'Registrar bienes de inversión'!X23)</f>
        <v/>
      </c>
      <c r="Y23" s="60" t="str">
        <f>IF('Registrar bienes de inversión'!Y23="","",'Registrar bienes de inversión'!Y23)</f>
        <v/>
      </c>
      <c r="Z23" s="60" t="str">
        <f>IF('Registrar bienes de inversión'!Z23="","",'Registrar bienes de inversión'!Z23)</f>
        <v/>
      </c>
      <c r="AA23" s="72" t="str">
        <f>IF('Registrar bienes de inversión'!AA23="","",ROUND('Registrar bienes de inversión'!AA23,2))</f>
        <v/>
      </c>
      <c r="AB23" s="72" t="str">
        <f>IF('Registrar bienes de inversión'!AB23="","",'Registrar bienes de inversión'!AB23)</f>
        <v/>
      </c>
      <c r="AC23" s="72" t="str">
        <f>IF('Registrar bienes de inversión'!AC23="","",ROUND('Registrar bienes de inversión'!AC23,2))</f>
        <v/>
      </c>
      <c r="AD23" s="72" t="str">
        <f>IF('Registrar bienes de inversión'!AD23="","",ROUND('Registrar bienes de inversión'!AD23,2))</f>
        <v/>
      </c>
      <c r="AE23" s="72" t="str">
        <f>IF('Registrar bienes de inversión'!AE23="","",ROUND('Registrar bienes de inversión'!AE23,2))</f>
        <v/>
      </c>
      <c r="AF23" s="72" t="str">
        <f>IF('Registrar bienes de inversión'!AF23="","",ROUND('Registrar bienes de inversión'!AF23,2))</f>
        <v/>
      </c>
      <c r="AG23" s="72" t="str">
        <f>IF('Registrar bienes de inversión'!AG23="","",ROUND('Registrar bienes de inversión'!AG23,2))</f>
        <v/>
      </c>
      <c r="AH23" s="64" t="str">
        <f>IF('Registrar bienes de inversión'!AH23="","",'Registrar bienes de inversión'!AH23)</f>
        <v/>
      </c>
      <c r="AI23" s="60" t="str">
        <f>IF('Registrar bienes de inversión'!AI23="","",VLOOKUP(CONCATENATE("CAUSA BAJA BIEN",'Registrar bienes de inversión'!AI23),'CODIGO-LITERAL'!$C:$D,2,FALSE))</f>
        <v/>
      </c>
      <c r="AJ23" s="60" t="str">
        <f>IF('Registrar bienes de inversión'!AJ23="","",'Registrar bienes de inversión'!AJ23)</f>
        <v/>
      </c>
      <c r="AK23" s="60" t="str">
        <f>IF('Registrar bienes de inversión'!AK23="","",'Registrar bienes de inversión'!AK23)</f>
        <v/>
      </c>
      <c r="AL23" s="60" t="str">
        <f>IF('Registrar bienes de inversión'!AL23="","",'Registrar bienes de inversión'!AL23)</f>
        <v/>
      </c>
      <c r="AM23" s="60" t="str">
        <f>IF('Registrar bienes de inversión'!AM23="","",'Registrar bienes de inversión'!AM23)</f>
        <v/>
      </c>
      <c r="AN23" s="60" t="str">
        <f>IF('Registrar bienes de inversión'!AN23="","",VLOOKUP(CONCATENATE("SITUACION",'Registrar bienes de inversión'!AN23),'CODIGO-LITERAL'!$C:$D,2,FALSE))</f>
        <v/>
      </c>
      <c r="AO23" s="60" t="str">
        <f>IF('Registrar bienes de inversión'!AO23="","",'Registrar bienes de inversión'!AO23)</f>
        <v/>
      </c>
      <c r="AP23" s="60" t="str">
        <f>IF('Registrar bienes de inversión'!AP23="","",'Registrar bienes de inversión'!AP23)</f>
        <v/>
      </c>
    </row>
    <row r="24" spans="1:42" s="25" customFormat="1" ht="13.5" x14ac:dyDescent="0.25">
      <c r="A24" s="71" t="str">
        <f>IF('Registrar bienes de inversión'!A24="","",'Registrar bienes de inversión'!A24)</f>
        <v/>
      </c>
      <c r="B24" s="60" t="str">
        <f>IF('Registrar bienes de inversión'!B24="","",'Registrar bienes de inversión'!B24)</f>
        <v/>
      </c>
      <c r="C24" s="60" t="str">
        <f>IF('Registrar bienes de inversión'!C24="","",VLOOKUP(CONCATENATE("ACTIVIDAD",'Registrar bienes de inversión'!C24),'CODIGO-LITERAL'!$C:$D,2,FALSE))</f>
        <v/>
      </c>
      <c r="D24" s="60" t="str">
        <f>IF(OR(C24="C",C24="D"),"",IF(ISERROR(VLOOKUP(CONCATENATE(C24,'Registrar bienes de inversión'!D24),'CODIGO-LITERAL'!$C:$D,2,FALSE)),"",VLOOKUP(CONCATENATE(C24,'Registrar bienes de inversión'!D24),'CODIGO-LITERAL'!$C:$D,2,FALSE)))</f>
        <v/>
      </c>
      <c r="E24" s="60" t="str">
        <f>IF('Registrar bienes de inversión'!E24="","",'Registrar bienes de inversión'!E24)</f>
        <v/>
      </c>
      <c r="F24" s="60" t="str">
        <f>IF('Registrar bienes de inversión'!F24="","",VLOOKUP(CONCATENATE("TIPO BIEN",'Registrar bienes de inversión'!F24),'CODIGO-LITERAL'!$C:$D,2,FALSE))</f>
        <v/>
      </c>
      <c r="G24" s="60" t="str">
        <f>IF('Registrar bienes de inversión'!G24="","",'Registrar bienes de inversión'!G24)</f>
        <v/>
      </c>
      <c r="H24" s="60" t="str">
        <f>IF('Registrar bienes de inversión'!H24="","",'Registrar bienes de inversión'!H24)</f>
        <v/>
      </c>
      <c r="I24" s="64" t="str">
        <f>IF('Registrar bienes de inversión'!I24="","",'Registrar bienes de inversión'!I24)</f>
        <v/>
      </c>
      <c r="J24" s="72" t="str">
        <f>IF('Registrar bienes de inversión'!J24="","",'Registrar bienes de inversión'!J24)</f>
        <v/>
      </c>
      <c r="K24" s="72" t="str">
        <f>IF('Registrar bienes de inversión'!K24="","",'Registrar bienes de inversión'!K24)</f>
        <v/>
      </c>
      <c r="L24" s="60" t="str">
        <f>IF('Registrar bienes de inversión'!L24="","",VLOOKUP(CONCATENATE("METODO AMORTIZACION",'Registrar bienes de inversión'!L24),'CODIGO-LITERAL'!$C:$D,2,FALSE))</f>
        <v/>
      </c>
      <c r="M24" s="72" t="str">
        <f>IF('Registrar bienes de inversión'!M24="","",'Registrar bienes de inversión'!M24)</f>
        <v/>
      </c>
      <c r="N24" s="72" t="str">
        <f>IF('Registrar bienes de inversión'!N24="","",'Registrar bienes de inversión'!N24)</f>
        <v/>
      </c>
      <c r="O24" s="72" t="str">
        <f>IF('Registrar bienes de inversión'!O24="","",'Registrar bienes de inversión'!O24)</f>
        <v/>
      </c>
      <c r="P24" s="72" t="str">
        <f>IF('Registrar bienes de inversión'!P24="","",'Registrar bienes de inversión'!P24)</f>
        <v/>
      </c>
      <c r="Q24" s="72" t="str">
        <f>IF('Registrar bienes de inversión'!Q24="","",'Registrar bienes de inversión'!Q24)</f>
        <v/>
      </c>
      <c r="R24" s="64" t="str">
        <f>IF('Registrar bienes de inversión'!R24="","",'Registrar bienes de inversión'!R24)</f>
        <v/>
      </c>
      <c r="S24" s="60" t="str">
        <f>IF('Registrar bienes de inversión'!S24="","",'Registrar bienes de inversión'!S24)</f>
        <v/>
      </c>
      <c r="T24" s="60" t="str">
        <f>IF('Registrar bienes de inversión'!T24="","",'Registrar bienes de inversión'!T24)</f>
        <v/>
      </c>
      <c r="U24" s="60" t="str">
        <f>IF('Registrar bienes de inversión'!U24="","",'Registrar bienes de inversión'!U24)</f>
        <v/>
      </c>
      <c r="V24" s="60" t="str">
        <f>IF('Registrar bienes de inversión'!V24="","",'Registrar bienes de inversión'!V24)</f>
        <v/>
      </c>
      <c r="W24" s="60" t="str">
        <f>IF(OR('Registrar bienes de inversión'!W24="",LEFT('Registrar bienes de inversión'!W24,2)="01"),"",VLOOKUP(CONCATENATE("TIPO NIF",'Registrar bienes de inversión'!W24),'CODIGO-LITERAL'!$C:$D,2,FALSE))</f>
        <v/>
      </c>
      <c r="X24" s="60" t="str">
        <f>IF('Registrar bienes de inversión'!X24="","",'Registrar bienes de inversión'!X24)</f>
        <v/>
      </c>
      <c r="Y24" s="60" t="str">
        <f>IF('Registrar bienes de inversión'!Y24="","",'Registrar bienes de inversión'!Y24)</f>
        <v/>
      </c>
      <c r="Z24" s="60" t="str">
        <f>IF('Registrar bienes de inversión'!Z24="","",'Registrar bienes de inversión'!Z24)</f>
        <v/>
      </c>
      <c r="AA24" s="72" t="str">
        <f>IF('Registrar bienes de inversión'!AA24="","",ROUND('Registrar bienes de inversión'!AA24,2))</f>
        <v/>
      </c>
      <c r="AB24" s="72" t="str">
        <f>IF('Registrar bienes de inversión'!AB24="","",'Registrar bienes de inversión'!AB24)</f>
        <v/>
      </c>
      <c r="AC24" s="72" t="str">
        <f>IF('Registrar bienes de inversión'!AC24="","",ROUND('Registrar bienes de inversión'!AC24,2))</f>
        <v/>
      </c>
      <c r="AD24" s="72" t="str">
        <f>IF('Registrar bienes de inversión'!AD24="","",ROUND('Registrar bienes de inversión'!AD24,2))</f>
        <v/>
      </c>
      <c r="AE24" s="72" t="str">
        <f>IF('Registrar bienes de inversión'!AE24="","",ROUND('Registrar bienes de inversión'!AE24,2))</f>
        <v/>
      </c>
      <c r="AF24" s="72" t="str">
        <f>IF('Registrar bienes de inversión'!AF24="","",ROUND('Registrar bienes de inversión'!AF24,2))</f>
        <v/>
      </c>
      <c r="AG24" s="72" t="str">
        <f>IF('Registrar bienes de inversión'!AG24="","",ROUND('Registrar bienes de inversión'!AG24,2))</f>
        <v/>
      </c>
      <c r="AH24" s="64" t="str">
        <f>IF('Registrar bienes de inversión'!AH24="","",'Registrar bienes de inversión'!AH24)</f>
        <v/>
      </c>
      <c r="AI24" s="60" t="str">
        <f>IF('Registrar bienes de inversión'!AI24="","",VLOOKUP(CONCATENATE("CAUSA BAJA BIEN",'Registrar bienes de inversión'!AI24),'CODIGO-LITERAL'!$C:$D,2,FALSE))</f>
        <v/>
      </c>
      <c r="AJ24" s="60" t="str">
        <f>IF('Registrar bienes de inversión'!AJ24="","",'Registrar bienes de inversión'!AJ24)</f>
        <v/>
      </c>
      <c r="AK24" s="60" t="str">
        <f>IF('Registrar bienes de inversión'!AK24="","",'Registrar bienes de inversión'!AK24)</f>
        <v/>
      </c>
      <c r="AL24" s="60" t="str">
        <f>IF('Registrar bienes de inversión'!AL24="","",'Registrar bienes de inversión'!AL24)</f>
        <v/>
      </c>
      <c r="AM24" s="60" t="str">
        <f>IF('Registrar bienes de inversión'!AM24="","",'Registrar bienes de inversión'!AM24)</f>
        <v/>
      </c>
      <c r="AN24" s="60" t="str">
        <f>IF('Registrar bienes de inversión'!AN24="","",VLOOKUP(CONCATENATE("SITUACION",'Registrar bienes de inversión'!AN24),'CODIGO-LITERAL'!$C:$D,2,FALSE))</f>
        <v/>
      </c>
      <c r="AO24" s="60" t="str">
        <f>IF('Registrar bienes de inversión'!AO24="","",'Registrar bienes de inversión'!AO24)</f>
        <v/>
      </c>
      <c r="AP24" s="60" t="str">
        <f>IF('Registrar bienes de inversión'!AP24="","",'Registrar bienes de inversión'!AP24)</f>
        <v/>
      </c>
    </row>
    <row r="25" spans="1:42" s="25" customFormat="1" ht="13.5" x14ac:dyDescent="0.25">
      <c r="A25" s="71" t="str">
        <f>IF('Registrar bienes de inversión'!A25="","",'Registrar bienes de inversión'!A25)</f>
        <v/>
      </c>
      <c r="B25" s="60" t="str">
        <f>IF('Registrar bienes de inversión'!B25="","",'Registrar bienes de inversión'!B25)</f>
        <v/>
      </c>
      <c r="C25" s="60" t="str">
        <f>IF('Registrar bienes de inversión'!C25="","",VLOOKUP(CONCATENATE("ACTIVIDAD",'Registrar bienes de inversión'!C25),'CODIGO-LITERAL'!$C:$D,2,FALSE))</f>
        <v/>
      </c>
      <c r="D25" s="60" t="str">
        <f>IF(OR(C25="C",C25="D"),"",IF(ISERROR(VLOOKUP(CONCATENATE(C25,'Registrar bienes de inversión'!D25),'CODIGO-LITERAL'!$C:$D,2,FALSE)),"",VLOOKUP(CONCATENATE(C25,'Registrar bienes de inversión'!D25),'CODIGO-LITERAL'!$C:$D,2,FALSE)))</f>
        <v/>
      </c>
      <c r="E25" s="60" t="str">
        <f>IF('Registrar bienes de inversión'!E25="","",'Registrar bienes de inversión'!E25)</f>
        <v/>
      </c>
      <c r="F25" s="60" t="str">
        <f>IF('Registrar bienes de inversión'!F25="","",VLOOKUP(CONCATENATE("TIPO BIEN",'Registrar bienes de inversión'!F25),'CODIGO-LITERAL'!$C:$D,2,FALSE))</f>
        <v/>
      </c>
      <c r="G25" s="60" t="str">
        <f>IF('Registrar bienes de inversión'!G25="","",'Registrar bienes de inversión'!G25)</f>
        <v/>
      </c>
      <c r="H25" s="60" t="str">
        <f>IF('Registrar bienes de inversión'!H25="","",'Registrar bienes de inversión'!H25)</f>
        <v/>
      </c>
      <c r="I25" s="64" t="str">
        <f>IF('Registrar bienes de inversión'!I25="","",'Registrar bienes de inversión'!I25)</f>
        <v/>
      </c>
      <c r="J25" s="72" t="str">
        <f>IF('Registrar bienes de inversión'!J25="","",'Registrar bienes de inversión'!J25)</f>
        <v/>
      </c>
      <c r="K25" s="72" t="str">
        <f>IF('Registrar bienes de inversión'!K25="","",'Registrar bienes de inversión'!K25)</f>
        <v/>
      </c>
      <c r="L25" s="60" t="str">
        <f>IF('Registrar bienes de inversión'!L25="","",VLOOKUP(CONCATENATE("METODO AMORTIZACION",'Registrar bienes de inversión'!L25),'CODIGO-LITERAL'!$C:$D,2,FALSE))</f>
        <v/>
      </c>
      <c r="M25" s="72" t="str">
        <f>IF('Registrar bienes de inversión'!M25="","",'Registrar bienes de inversión'!M25)</f>
        <v/>
      </c>
      <c r="N25" s="72" t="str">
        <f>IF('Registrar bienes de inversión'!N25="","",'Registrar bienes de inversión'!N25)</f>
        <v/>
      </c>
      <c r="O25" s="72" t="str">
        <f>IF('Registrar bienes de inversión'!O25="","",'Registrar bienes de inversión'!O25)</f>
        <v/>
      </c>
      <c r="P25" s="72" t="str">
        <f>IF('Registrar bienes de inversión'!P25="","",'Registrar bienes de inversión'!P25)</f>
        <v/>
      </c>
      <c r="Q25" s="72" t="str">
        <f>IF('Registrar bienes de inversión'!Q25="","",'Registrar bienes de inversión'!Q25)</f>
        <v/>
      </c>
      <c r="R25" s="64" t="str">
        <f>IF('Registrar bienes de inversión'!R25="","",'Registrar bienes de inversión'!R25)</f>
        <v/>
      </c>
      <c r="S25" s="60" t="str">
        <f>IF('Registrar bienes de inversión'!S25="","",'Registrar bienes de inversión'!S25)</f>
        <v/>
      </c>
      <c r="T25" s="60" t="str">
        <f>IF('Registrar bienes de inversión'!T25="","",'Registrar bienes de inversión'!T25)</f>
        <v/>
      </c>
      <c r="U25" s="60" t="str">
        <f>IF('Registrar bienes de inversión'!U25="","",'Registrar bienes de inversión'!U25)</f>
        <v/>
      </c>
      <c r="V25" s="60" t="str">
        <f>IF('Registrar bienes de inversión'!V25="","",'Registrar bienes de inversión'!V25)</f>
        <v/>
      </c>
      <c r="W25" s="60" t="str">
        <f>IF(OR('Registrar bienes de inversión'!W25="",LEFT('Registrar bienes de inversión'!W25,2)="01"),"",VLOOKUP(CONCATENATE("TIPO NIF",'Registrar bienes de inversión'!W25),'CODIGO-LITERAL'!$C:$D,2,FALSE))</f>
        <v/>
      </c>
      <c r="X25" s="60" t="str">
        <f>IF('Registrar bienes de inversión'!X25="","",'Registrar bienes de inversión'!X25)</f>
        <v/>
      </c>
      <c r="Y25" s="60" t="str">
        <f>IF('Registrar bienes de inversión'!Y25="","",'Registrar bienes de inversión'!Y25)</f>
        <v/>
      </c>
      <c r="Z25" s="60" t="str">
        <f>IF('Registrar bienes de inversión'!Z25="","",'Registrar bienes de inversión'!Z25)</f>
        <v/>
      </c>
      <c r="AA25" s="72" t="str">
        <f>IF('Registrar bienes de inversión'!AA25="","",ROUND('Registrar bienes de inversión'!AA25,2))</f>
        <v/>
      </c>
      <c r="AB25" s="72" t="str">
        <f>IF('Registrar bienes de inversión'!AB25="","",'Registrar bienes de inversión'!AB25)</f>
        <v/>
      </c>
      <c r="AC25" s="72" t="str">
        <f>IF('Registrar bienes de inversión'!AC25="","",ROUND('Registrar bienes de inversión'!AC25,2))</f>
        <v/>
      </c>
      <c r="AD25" s="72" t="str">
        <f>IF('Registrar bienes de inversión'!AD25="","",ROUND('Registrar bienes de inversión'!AD25,2))</f>
        <v/>
      </c>
      <c r="AE25" s="72" t="str">
        <f>IF('Registrar bienes de inversión'!AE25="","",ROUND('Registrar bienes de inversión'!AE25,2))</f>
        <v/>
      </c>
      <c r="AF25" s="72" t="str">
        <f>IF('Registrar bienes de inversión'!AF25="","",ROUND('Registrar bienes de inversión'!AF25,2))</f>
        <v/>
      </c>
      <c r="AG25" s="72" t="str">
        <f>IF('Registrar bienes de inversión'!AG25="","",ROUND('Registrar bienes de inversión'!AG25,2))</f>
        <v/>
      </c>
      <c r="AH25" s="64" t="str">
        <f>IF('Registrar bienes de inversión'!AH25="","",'Registrar bienes de inversión'!AH25)</f>
        <v/>
      </c>
      <c r="AI25" s="60" t="str">
        <f>IF('Registrar bienes de inversión'!AI25="","",VLOOKUP(CONCATENATE("CAUSA BAJA BIEN",'Registrar bienes de inversión'!AI25),'CODIGO-LITERAL'!$C:$D,2,FALSE))</f>
        <v/>
      </c>
      <c r="AJ25" s="60" t="str">
        <f>IF('Registrar bienes de inversión'!AJ25="","",'Registrar bienes de inversión'!AJ25)</f>
        <v/>
      </c>
      <c r="AK25" s="60" t="str">
        <f>IF('Registrar bienes de inversión'!AK25="","",'Registrar bienes de inversión'!AK25)</f>
        <v/>
      </c>
      <c r="AL25" s="60" t="str">
        <f>IF('Registrar bienes de inversión'!AL25="","",'Registrar bienes de inversión'!AL25)</f>
        <v/>
      </c>
      <c r="AM25" s="60" t="str">
        <f>IF('Registrar bienes de inversión'!AM25="","",'Registrar bienes de inversión'!AM25)</f>
        <v/>
      </c>
      <c r="AN25" s="60" t="str">
        <f>IF('Registrar bienes de inversión'!AN25="","",VLOOKUP(CONCATENATE("SITUACION",'Registrar bienes de inversión'!AN25),'CODIGO-LITERAL'!$C:$D,2,FALSE))</f>
        <v/>
      </c>
      <c r="AO25" s="60" t="str">
        <f>IF('Registrar bienes de inversión'!AO25="","",'Registrar bienes de inversión'!AO25)</f>
        <v/>
      </c>
      <c r="AP25" s="60" t="str">
        <f>IF('Registrar bienes de inversión'!AP25="","",'Registrar bienes de inversión'!AP25)</f>
        <v/>
      </c>
    </row>
    <row r="26" spans="1:42" s="25" customFormat="1" ht="13.5" x14ac:dyDescent="0.25">
      <c r="A26" s="71" t="str">
        <f>IF('Registrar bienes de inversión'!A26="","",'Registrar bienes de inversión'!A26)</f>
        <v/>
      </c>
      <c r="B26" s="60" t="str">
        <f>IF('Registrar bienes de inversión'!B26="","",'Registrar bienes de inversión'!B26)</f>
        <v/>
      </c>
      <c r="C26" s="60" t="str">
        <f>IF('Registrar bienes de inversión'!C26="","",VLOOKUP(CONCATENATE("ACTIVIDAD",'Registrar bienes de inversión'!C26),'CODIGO-LITERAL'!$C:$D,2,FALSE))</f>
        <v/>
      </c>
      <c r="D26" s="60" t="str">
        <f>IF(OR(C26="C",C26="D"),"",IF(ISERROR(VLOOKUP(CONCATENATE(C26,'Registrar bienes de inversión'!D26),'CODIGO-LITERAL'!$C:$D,2,FALSE)),"",VLOOKUP(CONCATENATE(C26,'Registrar bienes de inversión'!D26),'CODIGO-LITERAL'!$C:$D,2,FALSE)))</f>
        <v/>
      </c>
      <c r="E26" s="60" t="str">
        <f>IF('Registrar bienes de inversión'!E26="","",'Registrar bienes de inversión'!E26)</f>
        <v/>
      </c>
      <c r="F26" s="60" t="str">
        <f>IF('Registrar bienes de inversión'!F26="","",VLOOKUP(CONCATENATE("TIPO BIEN",'Registrar bienes de inversión'!F26),'CODIGO-LITERAL'!$C:$D,2,FALSE))</f>
        <v/>
      </c>
      <c r="G26" s="60" t="str">
        <f>IF('Registrar bienes de inversión'!G26="","",'Registrar bienes de inversión'!G26)</f>
        <v/>
      </c>
      <c r="H26" s="60" t="str">
        <f>IF('Registrar bienes de inversión'!H26="","",'Registrar bienes de inversión'!H26)</f>
        <v/>
      </c>
      <c r="I26" s="64" t="str">
        <f>IF('Registrar bienes de inversión'!I26="","",'Registrar bienes de inversión'!I26)</f>
        <v/>
      </c>
      <c r="J26" s="72" t="str">
        <f>IF('Registrar bienes de inversión'!J26="","",'Registrar bienes de inversión'!J26)</f>
        <v/>
      </c>
      <c r="K26" s="72" t="str">
        <f>IF('Registrar bienes de inversión'!K26="","",'Registrar bienes de inversión'!K26)</f>
        <v/>
      </c>
      <c r="L26" s="60" t="str">
        <f>IF('Registrar bienes de inversión'!L26="","",VLOOKUP(CONCATENATE("METODO AMORTIZACION",'Registrar bienes de inversión'!L26),'CODIGO-LITERAL'!$C:$D,2,FALSE))</f>
        <v/>
      </c>
      <c r="M26" s="72" t="str">
        <f>IF('Registrar bienes de inversión'!M26="","",'Registrar bienes de inversión'!M26)</f>
        <v/>
      </c>
      <c r="N26" s="72" t="str">
        <f>IF('Registrar bienes de inversión'!N26="","",'Registrar bienes de inversión'!N26)</f>
        <v/>
      </c>
      <c r="O26" s="72" t="str">
        <f>IF('Registrar bienes de inversión'!O26="","",'Registrar bienes de inversión'!O26)</f>
        <v/>
      </c>
      <c r="P26" s="72" t="str">
        <f>IF('Registrar bienes de inversión'!P26="","",'Registrar bienes de inversión'!P26)</f>
        <v/>
      </c>
      <c r="Q26" s="72" t="str">
        <f>IF('Registrar bienes de inversión'!Q26="","",'Registrar bienes de inversión'!Q26)</f>
        <v/>
      </c>
      <c r="R26" s="64" t="str">
        <f>IF('Registrar bienes de inversión'!R26="","",'Registrar bienes de inversión'!R26)</f>
        <v/>
      </c>
      <c r="S26" s="60" t="str">
        <f>IF('Registrar bienes de inversión'!S26="","",'Registrar bienes de inversión'!S26)</f>
        <v/>
      </c>
      <c r="T26" s="60" t="str">
        <f>IF('Registrar bienes de inversión'!T26="","",'Registrar bienes de inversión'!T26)</f>
        <v/>
      </c>
      <c r="U26" s="60" t="str">
        <f>IF('Registrar bienes de inversión'!U26="","",'Registrar bienes de inversión'!U26)</f>
        <v/>
      </c>
      <c r="V26" s="60" t="str">
        <f>IF('Registrar bienes de inversión'!V26="","",'Registrar bienes de inversión'!V26)</f>
        <v/>
      </c>
      <c r="W26" s="60" t="str">
        <f>IF(OR('Registrar bienes de inversión'!W26="",LEFT('Registrar bienes de inversión'!W26,2)="01"),"",VLOOKUP(CONCATENATE("TIPO NIF",'Registrar bienes de inversión'!W26),'CODIGO-LITERAL'!$C:$D,2,FALSE))</f>
        <v/>
      </c>
      <c r="X26" s="60" t="str">
        <f>IF('Registrar bienes de inversión'!X26="","",'Registrar bienes de inversión'!X26)</f>
        <v/>
      </c>
      <c r="Y26" s="60" t="str">
        <f>IF('Registrar bienes de inversión'!Y26="","",'Registrar bienes de inversión'!Y26)</f>
        <v/>
      </c>
      <c r="Z26" s="60" t="str">
        <f>IF('Registrar bienes de inversión'!Z26="","",'Registrar bienes de inversión'!Z26)</f>
        <v/>
      </c>
      <c r="AA26" s="72" t="str">
        <f>IF('Registrar bienes de inversión'!AA26="","",ROUND('Registrar bienes de inversión'!AA26,2))</f>
        <v/>
      </c>
      <c r="AB26" s="72" t="str">
        <f>IF('Registrar bienes de inversión'!AB26="","",'Registrar bienes de inversión'!AB26)</f>
        <v/>
      </c>
      <c r="AC26" s="72" t="str">
        <f>IF('Registrar bienes de inversión'!AC26="","",ROUND('Registrar bienes de inversión'!AC26,2))</f>
        <v/>
      </c>
      <c r="AD26" s="72" t="str">
        <f>IF('Registrar bienes de inversión'!AD26="","",ROUND('Registrar bienes de inversión'!AD26,2))</f>
        <v/>
      </c>
      <c r="AE26" s="72" t="str">
        <f>IF('Registrar bienes de inversión'!AE26="","",ROUND('Registrar bienes de inversión'!AE26,2))</f>
        <v/>
      </c>
      <c r="AF26" s="72" t="str">
        <f>IF('Registrar bienes de inversión'!AF26="","",ROUND('Registrar bienes de inversión'!AF26,2))</f>
        <v/>
      </c>
      <c r="AG26" s="72" t="str">
        <f>IF('Registrar bienes de inversión'!AG26="","",ROUND('Registrar bienes de inversión'!AG26,2))</f>
        <v/>
      </c>
      <c r="AH26" s="64" t="str">
        <f>IF('Registrar bienes de inversión'!AH26="","",'Registrar bienes de inversión'!AH26)</f>
        <v/>
      </c>
      <c r="AI26" s="60" t="str">
        <f>IF('Registrar bienes de inversión'!AI26="","",VLOOKUP(CONCATENATE("CAUSA BAJA BIEN",'Registrar bienes de inversión'!AI26),'CODIGO-LITERAL'!$C:$D,2,FALSE))</f>
        <v/>
      </c>
      <c r="AJ26" s="60" t="str">
        <f>IF('Registrar bienes de inversión'!AJ26="","",'Registrar bienes de inversión'!AJ26)</f>
        <v/>
      </c>
      <c r="AK26" s="60" t="str">
        <f>IF('Registrar bienes de inversión'!AK26="","",'Registrar bienes de inversión'!AK26)</f>
        <v/>
      </c>
      <c r="AL26" s="60" t="str">
        <f>IF('Registrar bienes de inversión'!AL26="","",'Registrar bienes de inversión'!AL26)</f>
        <v/>
      </c>
      <c r="AM26" s="60" t="str">
        <f>IF('Registrar bienes de inversión'!AM26="","",'Registrar bienes de inversión'!AM26)</f>
        <v/>
      </c>
      <c r="AN26" s="60" t="str">
        <f>IF('Registrar bienes de inversión'!AN26="","",VLOOKUP(CONCATENATE("SITUACION",'Registrar bienes de inversión'!AN26),'CODIGO-LITERAL'!$C:$D,2,FALSE))</f>
        <v/>
      </c>
      <c r="AO26" s="60" t="str">
        <f>IF('Registrar bienes de inversión'!AO26="","",'Registrar bienes de inversión'!AO26)</f>
        <v/>
      </c>
      <c r="AP26" s="60" t="str">
        <f>IF('Registrar bienes de inversión'!AP26="","",'Registrar bienes de inversión'!AP26)</f>
        <v/>
      </c>
    </row>
    <row r="27" spans="1:42" s="25" customFormat="1" ht="13.5" x14ac:dyDescent="0.25">
      <c r="A27" s="71" t="str">
        <f>IF('Registrar bienes de inversión'!A27="","",'Registrar bienes de inversión'!A27)</f>
        <v/>
      </c>
      <c r="B27" s="60" t="str">
        <f>IF('Registrar bienes de inversión'!B27="","",'Registrar bienes de inversión'!B27)</f>
        <v/>
      </c>
      <c r="C27" s="60" t="str">
        <f>IF('Registrar bienes de inversión'!C27="","",VLOOKUP(CONCATENATE("ACTIVIDAD",'Registrar bienes de inversión'!C27),'CODIGO-LITERAL'!$C:$D,2,FALSE))</f>
        <v/>
      </c>
      <c r="D27" s="60" t="str">
        <f>IF(OR(C27="C",C27="D"),"",IF(ISERROR(VLOOKUP(CONCATENATE(C27,'Registrar bienes de inversión'!D27),'CODIGO-LITERAL'!$C:$D,2,FALSE)),"",VLOOKUP(CONCATENATE(C27,'Registrar bienes de inversión'!D27),'CODIGO-LITERAL'!$C:$D,2,FALSE)))</f>
        <v/>
      </c>
      <c r="E27" s="60" t="str">
        <f>IF('Registrar bienes de inversión'!E27="","",'Registrar bienes de inversión'!E27)</f>
        <v/>
      </c>
      <c r="F27" s="60" t="str">
        <f>IF('Registrar bienes de inversión'!F27="","",VLOOKUP(CONCATENATE("TIPO BIEN",'Registrar bienes de inversión'!F27),'CODIGO-LITERAL'!$C:$D,2,FALSE))</f>
        <v/>
      </c>
      <c r="G27" s="60" t="str">
        <f>IF('Registrar bienes de inversión'!G27="","",'Registrar bienes de inversión'!G27)</f>
        <v/>
      </c>
      <c r="H27" s="60" t="str">
        <f>IF('Registrar bienes de inversión'!H27="","",'Registrar bienes de inversión'!H27)</f>
        <v/>
      </c>
      <c r="I27" s="64" t="str">
        <f>IF('Registrar bienes de inversión'!I27="","",'Registrar bienes de inversión'!I27)</f>
        <v/>
      </c>
      <c r="J27" s="72" t="str">
        <f>IF('Registrar bienes de inversión'!J27="","",'Registrar bienes de inversión'!J27)</f>
        <v/>
      </c>
      <c r="K27" s="72" t="str">
        <f>IF('Registrar bienes de inversión'!K27="","",'Registrar bienes de inversión'!K27)</f>
        <v/>
      </c>
      <c r="L27" s="60" t="str">
        <f>IF('Registrar bienes de inversión'!L27="","",VLOOKUP(CONCATENATE("METODO AMORTIZACION",'Registrar bienes de inversión'!L27),'CODIGO-LITERAL'!$C:$D,2,FALSE))</f>
        <v/>
      </c>
      <c r="M27" s="72" t="str">
        <f>IF('Registrar bienes de inversión'!M27="","",'Registrar bienes de inversión'!M27)</f>
        <v/>
      </c>
      <c r="N27" s="72" t="str">
        <f>IF('Registrar bienes de inversión'!N27="","",'Registrar bienes de inversión'!N27)</f>
        <v/>
      </c>
      <c r="O27" s="72" t="str">
        <f>IF('Registrar bienes de inversión'!O27="","",'Registrar bienes de inversión'!O27)</f>
        <v/>
      </c>
      <c r="P27" s="72" t="str">
        <f>IF('Registrar bienes de inversión'!P27="","",'Registrar bienes de inversión'!P27)</f>
        <v/>
      </c>
      <c r="Q27" s="72" t="str">
        <f>IF('Registrar bienes de inversión'!Q27="","",'Registrar bienes de inversión'!Q27)</f>
        <v/>
      </c>
      <c r="R27" s="64" t="str">
        <f>IF('Registrar bienes de inversión'!R27="","",'Registrar bienes de inversión'!R27)</f>
        <v/>
      </c>
      <c r="S27" s="60" t="str">
        <f>IF('Registrar bienes de inversión'!S27="","",'Registrar bienes de inversión'!S27)</f>
        <v/>
      </c>
      <c r="T27" s="60" t="str">
        <f>IF('Registrar bienes de inversión'!T27="","",'Registrar bienes de inversión'!T27)</f>
        <v/>
      </c>
      <c r="U27" s="60" t="str">
        <f>IF('Registrar bienes de inversión'!U27="","",'Registrar bienes de inversión'!U27)</f>
        <v/>
      </c>
      <c r="V27" s="60" t="str">
        <f>IF('Registrar bienes de inversión'!V27="","",'Registrar bienes de inversión'!V27)</f>
        <v/>
      </c>
      <c r="W27" s="60" t="str">
        <f>IF(OR('Registrar bienes de inversión'!W27="",LEFT('Registrar bienes de inversión'!W27,2)="01"),"",VLOOKUP(CONCATENATE("TIPO NIF",'Registrar bienes de inversión'!W27),'CODIGO-LITERAL'!$C:$D,2,FALSE))</f>
        <v/>
      </c>
      <c r="X27" s="60" t="str">
        <f>IF('Registrar bienes de inversión'!X27="","",'Registrar bienes de inversión'!X27)</f>
        <v/>
      </c>
      <c r="Y27" s="60" t="str">
        <f>IF('Registrar bienes de inversión'!Y27="","",'Registrar bienes de inversión'!Y27)</f>
        <v/>
      </c>
      <c r="Z27" s="60" t="str">
        <f>IF('Registrar bienes de inversión'!Z27="","",'Registrar bienes de inversión'!Z27)</f>
        <v/>
      </c>
      <c r="AA27" s="72" t="str">
        <f>IF('Registrar bienes de inversión'!AA27="","",ROUND('Registrar bienes de inversión'!AA27,2))</f>
        <v/>
      </c>
      <c r="AB27" s="72" t="str">
        <f>IF('Registrar bienes de inversión'!AB27="","",'Registrar bienes de inversión'!AB27)</f>
        <v/>
      </c>
      <c r="AC27" s="72" t="str">
        <f>IF('Registrar bienes de inversión'!AC27="","",ROUND('Registrar bienes de inversión'!AC27,2))</f>
        <v/>
      </c>
      <c r="AD27" s="72" t="str">
        <f>IF('Registrar bienes de inversión'!AD27="","",ROUND('Registrar bienes de inversión'!AD27,2))</f>
        <v/>
      </c>
      <c r="AE27" s="72" t="str">
        <f>IF('Registrar bienes de inversión'!AE27="","",ROUND('Registrar bienes de inversión'!AE27,2))</f>
        <v/>
      </c>
      <c r="AF27" s="72" t="str">
        <f>IF('Registrar bienes de inversión'!AF27="","",ROUND('Registrar bienes de inversión'!AF27,2))</f>
        <v/>
      </c>
      <c r="AG27" s="72" t="str">
        <f>IF('Registrar bienes de inversión'!AG27="","",ROUND('Registrar bienes de inversión'!AG27,2))</f>
        <v/>
      </c>
      <c r="AH27" s="64" t="str">
        <f>IF('Registrar bienes de inversión'!AH27="","",'Registrar bienes de inversión'!AH27)</f>
        <v/>
      </c>
      <c r="AI27" s="60" t="str">
        <f>IF('Registrar bienes de inversión'!AI27="","",VLOOKUP(CONCATENATE("CAUSA BAJA BIEN",'Registrar bienes de inversión'!AI27),'CODIGO-LITERAL'!$C:$D,2,FALSE))</f>
        <v/>
      </c>
      <c r="AJ27" s="60" t="str">
        <f>IF('Registrar bienes de inversión'!AJ27="","",'Registrar bienes de inversión'!AJ27)</f>
        <v/>
      </c>
      <c r="AK27" s="60" t="str">
        <f>IF('Registrar bienes de inversión'!AK27="","",'Registrar bienes de inversión'!AK27)</f>
        <v/>
      </c>
      <c r="AL27" s="60" t="str">
        <f>IF('Registrar bienes de inversión'!AL27="","",'Registrar bienes de inversión'!AL27)</f>
        <v/>
      </c>
      <c r="AM27" s="60" t="str">
        <f>IF('Registrar bienes de inversión'!AM27="","",'Registrar bienes de inversión'!AM27)</f>
        <v/>
      </c>
      <c r="AN27" s="60" t="str">
        <f>IF('Registrar bienes de inversión'!AN27="","",VLOOKUP(CONCATENATE("SITUACION",'Registrar bienes de inversión'!AN27),'CODIGO-LITERAL'!$C:$D,2,FALSE))</f>
        <v/>
      </c>
      <c r="AO27" s="60" t="str">
        <f>IF('Registrar bienes de inversión'!AO27="","",'Registrar bienes de inversión'!AO27)</f>
        <v/>
      </c>
      <c r="AP27" s="60" t="str">
        <f>IF('Registrar bienes de inversión'!AP27="","",'Registrar bienes de inversión'!AP27)</f>
        <v/>
      </c>
    </row>
    <row r="28" spans="1:42" s="25" customFormat="1" ht="13.5" x14ac:dyDescent="0.25">
      <c r="A28" s="71" t="str">
        <f>IF('Registrar bienes de inversión'!A28="","",'Registrar bienes de inversión'!A28)</f>
        <v/>
      </c>
      <c r="B28" s="60" t="str">
        <f>IF('Registrar bienes de inversión'!B28="","",'Registrar bienes de inversión'!B28)</f>
        <v/>
      </c>
      <c r="C28" s="60" t="str">
        <f>IF('Registrar bienes de inversión'!C28="","",VLOOKUP(CONCATENATE("ACTIVIDAD",'Registrar bienes de inversión'!C28),'CODIGO-LITERAL'!$C:$D,2,FALSE))</f>
        <v/>
      </c>
      <c r="D28" s="60" t="str">
        <f>IF(OR(C28="C",C28="D"),"",IF(ISERROR(VLOOKUP(CONCATENATE(C28,'Registrar bienes de inversión'!D28),'CODIGO-LITERAL'!$C:$D,2,FALSE)),"",VLOOKUP(CONCATENATE(C28,'Registrar bienes de inversión'!D28),'CODIGO-LITERAL'!$C:$D,2,FALSE)))</f>
        <v/>
      </c>
      <c r="E28" s="60" t="str">
        <f>IF('Registrar bienes de inversión'!E28="","",'Registrar bienes de inversión'!E28)</f>
        <v/>
      </c>
      <c r="F28" s="60" t="str">
        <f>IF('Registrar bienes de inversión'!F28="","",VLOOKUP(CONCATENATE("TIPO BIEN",'Registrar bienes de inversión'!F28),'CODIGO-LITERAL'!$C:$D,2,FALSE))</f>
        <v/>
      </c>
      <c r="G28" s="60" t="str">
        <f>IF('Registrar bienes de inversión'!G28="","",'Registrar bienes de inversión'!G28)</f>
        <v/>
      </c>
      <c r="H28" s="60" t="str">
        <f>IF('Registrar bienes de inversión'!H28="","",'Registrar bienes de inversión'!H28)</f>
        <v/>
      </c>
      <c r="I28" s="64" t="str">
        <f>IF('Registrar bienes de inversión'!I28="","",'Registrar bienes de inversión'!I28)</f>
        <v/>
      </c>
      <c r="J28" s="72" t="str">
        <f>IF('Registrar bienes de inversión'!J28="","",'Registrar bienes de inversión'!J28)</f>
        <v/>
      </c>
      <c r="K28" s="72" t="str">
        <f>IF('Registrar bienes de inversión'!K28="","",'Registrar bienes de inversión'!K28)</f>
        <v/>
      </c>
      <c r="L28" s="60" t="str">
        <f>IF('Registrar bienes de inversión'!L28="","",VLOOKUP(CONCATENATE("METODO AMORTIZACION",'Registrar bienes de inversión'!L28),'CODIGO-LITERAL'!$C:$D,2,FALSE))</f>
        <v/>
      </c>
      <c r="M28" s="72" t="str">
        <f>IF('Registrar bienes de inversión'!M28="","",'Registrar bienes de inversión'!M28)</f>
        <v/>
      </c>
      <c r="N28" s="72" t="str">
        <f>IF('Registrar bienes de inversión'!N28="","",'Registrar bienes de inversión'!N28)</f>
        <v/>
      </c>
      <c r="O28" s="72" t="str">
        <f>IF('Registrar bienes de inversión'!O28="","",'Registrar bienes de inversión'!O28)</f>
        <v/>
      </c>
      <c r="P28" s="72" t="str">
        <f>IF('Registrar bienes de inversión'!P28="","",'Registrar bienes de inversión'!P28)</f>
        <v/>
      </c>
      <c r="Q28" s="72" t="str">
        <f>IF('Registrar bienes de inversión'!Q28="","",'Registrar bienes de inversión'!Q28)</f>
        <v/>
      </c>
      <c r="R28" s="64" t="str">
        <f>IF('Registrar bienes de inversión'!R28="","",'Registrar bienes de inversión'!R28)</f>
        <v/>
      </c>
      <c r="S28" s="60" t="str">
        <f>IF('Registrar bienes de inversión'!S28="","",'Registrar bienes de inversión'!S28)</f>
        <v/>
      </c>
      <c r="T28" s="60" t="str">
        <f>IF('Registrar bienes de inversión'!T28="","",'Registrar bienes de inversión'!T28)</f>
        <v/>
      </c>
      <c r="U28" s="60" t="str">
        <f>IF('Registrar bienes de inversión'!U28="","",'Registrar bienes de inversión'!U28)</f>
        <v/>
      </c>
      <c r="V28" s="60" t="str">
        <f>IF('Registrar bienes de inversión'!V28="","",'Registrar bienes de inversión'!V28)</f>
        <v/>
      </c>
      <c r="W28" s="60" t="str">
        <f>IF(OR('Registrar bienes de inversión'!W28="",LEFT('Registrar bienes de inversión'!W28,2)="01"),"",VLOOKUP(CONCATENATE("TIPO NIF",'Registrar bienes de inversión'!W28),'CODIGO-LITERAL'!$C:$D,2,FALSE))</f>
        <v/>
      </c>
      <c r="X28" s="60" t="str">
        <f>IF('Registrar bienes de inversión'!X28="","",'Registrar bienes de inversión'!X28)</f>
        <v/>
      </c>
      <c r="Y28" s="60" t="str">
        <f>IF('Registrar bienes de inversión'!Y28="","",'Registrar bienes de inversión'!Y28)</f>
        <v/>
      </c>
      <c r="Z28" s="60" t="str">
        <f>IF('Registrar bienes de inversión'!Z28="","",'Registrar bienes de inversión'!Z28)</f>
        <v/>
      </c>
      <c r="AA28" s="72" t="str">
        <f>IF('Registrar bienes de inversión'!AA28="","",ROUND('Registrar bienes de inversión'!AA28,2))</f>
        <v/>
      </c>
      <c r="AB28" s="72" t="str">
        <f>IF('Registrar bienes de inversión'!AB28="","",'Registrar bienes de inversión'!AB28)</f>
        <v/>
      </c>
      <c r="AC28" s="72" t="str">
        <f>IF('Registrar bienes de inversión'!AC28="","",ROUND('Registrar bienes de inversión'!AC28,2))</f>
        <v/>
      </c>
      <c r="AD28" s="72" t="str">
        <f>IF('Registrar bienes de inversión'!AD28="","",ROUND('Registrar bienes de inversión'!AD28,2))</f>
        <v/>
      </c>
      <c r="AE28" s="72" t="str">
        <f>IF('Registrar bienes de inversión'!AE28="","",ROUND('Registrar bienes de inversión'!AE28,2))</f>
        <v/>
      </c>
      <c r="AF28" s="72" t="str">
        <f>IF('Registrar bienes de inversión'!AF28="","",ROUND('Registrar bienes de inversión'!AF28,2))</f>
        <v/>
      </c>
      <c r="AG28" s="72" t="str">
        <f>IF('Registrar bienes de inversión'!AG28="","",ROUND('Registrar bienes de inversión'!AG28,2))</f>
        <v/>
      </c>
      <c r="AH28" s="64" t="str">
        <f>IF('Registrar bienes de inversión'!AH28="","",'Registrar bienes de inversión'!AH28)</f>
        <v/>
      </c>
      <c r="AI28" s="60" t="str">
        <f>IF('Registrar bienes de inversión'!AI28="","",VLOOKUP(CONCATENATE("CAUSA BAJA BIEN",'Registrar bienes de inversión'!AI28),'CODIGO-LITERAL'!$C:$D,2,FALSE))</f>
        <v/>
      </c>
      <c r="AJ28" s="60" t="str">
        <f>IF('Registrar bienes de inversión'!AJ28="","",'Registrar bienes de inversión'!AJ28)</f>
        <v/>
      </c>
      <c r="AK28" s="60" t="str">
        <f>IF('Registrar bienes de inversión'!AK28="","",'Registrar bienes de inversión'!AK28)</f>
        <v/>
      </c>
      <c r="AL28" s="60" t="str">
        <f>IF('Registrar bienes de inversión'!AL28="","",'Registrar bienes de inversión'!AL28)</f>
        <v/>
      </c>
      <c r="AM28" s="60" t="str">
        <f>IF('Registrar bienes de inversión'!AM28="","",'Registrar bienes de inversión'!AM28)</f>
        <v/>
      </c>
      <c r="AN28" s="60" t="str">
        <f>IF('Registrar bienes de inversión'!AN28="","",VLOOKUP(CONCATENATE("SITUACION",'Registrar bienes de inversión'!AN28),'CODIGO-LITERAL'!$C:$D,2,FALSE))</f>
        <v/>
      </c>
      <c r="AO28" s="60" t="str">
        <f>IF('Registrar bienes de inversión'!AO28="","",'Registrar bienes de inversión'!AO28)</f>
        <v/>
      </c>
      <c r="AP28" s="60" t="str">
        <f>IF('Registrar bienes de inversión'!AP28="","",'Registrar bienes de inversión'!AP28)</f>
        <v/>
      </c>
    </row>
    <row r="29" spans="1:42" s="25" customFormat="1" ht="13.5" x14ac:dyDescent="0.25">
      <c r="A29" s="71" t="str">
        <f>IF('Registrar bienes de inversión'!A29="","",'Registrar bienes de inversión'!A29)</f>
        <v/>
      </c>
      <c r="B29" s="60" t="str">
        <f>IF('Registrar bienes de inversión'!B29="","",'Registrar bienes de inversión'!B29)</f>
        <v/>
      </c>
      <c r="C29" s="60" t="str">
        <f>IF('Registrar bienes de inversión'!C29="","",VLOOKUP(CONCATENATE("ACTIVIDAD",'Registrar bienes de inversión'!C29),'CODIGO-LITERAL'!$C:$D,2,FALSE))</f>
        <v/>
      </c>
      <c r="D29" s="60" t="str">
        <f>IF(OR(C29="C",C29="D"),"",IF(ISERROR(VLOOKUP(CONCATENATE(C29,'Registrar bienes de inversión'!D29),'CODIGO-LITERAL'!$C:$D,2,FALSE)),"",VLOOKUP(CONCATENATE(C29,'Registrar bienes de inversión'!D29),'CODIGO-LITERAL'!$C:$D,2,FALSE)))</f>
        <v/>
      </c>
      <c r="E29" s="60" t="str">
        <f>IF('Registrar bienes de inversión'!E29="","",'Registrar bienes de inversión'!E29)</f>
        <v/>
      </c>
      <c r="F29" s="60" t="str">
        <f>IF('Registrar bienes de inversión'!F29="","",VLOOKUP(CONCATENATE("TIPO BIEN",'Registrar bienes de inversión'!F29),'CODIGO-LITERAL'!$C:$D,2,FALSE))</f>
        <v/>
      </c>
      <c r="G29" s="60" t="str">
        <f>IF('Registrar bienes de inversión'!G29="","",'Registrar bienes de inversión'!G29)</f>
        <v/>
      </c>
      <c r="H29" s="60" t="str">
        <f>IF('Registrar bienes de inversión'!H29="","",'Registrar bienes de inversión'!H29)</f>
        <v/>
      </c>
      <c r="I29" s="64" t="str">
        <f>IF('Registrar bienes de inversión'!I29="","",'Registrar bienes de inversión'!I29)</f>
        <v/>
      </c>
      <c r="J29" s="72" t="str">
        <f>IF('Registrar bienes de inversión'!J29="","",'Registrar bienes de inversión'!J29)</f>
        <v/>
      </c>
      <c r="K29" s="72" t="str">
        <f>IF('Registrar bienes de inversión'!K29="","",'Registrar bienes de inversión'!K29)</f>
        <v/>
      </c>
      <c r="L29" s="60" t="str">
        <f>IF('Registrar bienes de inversión'!L29="","",VLOOKUP(CONCATENATE("METODO AMORTIZACION",'Registrar bienes de inversión'!L29),'CODIGO-LITERAL'!$C:$D,2,FALSE))</f>
        <v/>
      </c>
      <c r="M29" s="72" t="str">
        <f>IF('Registrar bienes de inversión'!M29="","",'Registrar bienes de inversión'!M29)</f>
        <v/>
      </c>
      <c r="N29" s="72" t="str">
        <f>IF('Registrar bienes de inversión'!N29="","",'Registrar bienes de inversión'!N29)</f>
        <v/>
      </c>
      <c r="O29" s="72" t="str">
        <f>IF('Registrar bienes de inversión'!O29="","",'Registrar bienes de inversión'!O29)</f>
        <v/>
      </c>
      <c r="P29" s="72" t="str">
        <f>IF('Registrar bienes de inversión'!P29="","",'Registrar bienes de inversión'!P29)</f>
        <v/>
      </c>
      <c r="Q29" s="72" t="str">
        <f>IF('Registrar bienes de inversión'!Q29="","",'Registrar bienes de inversión'!Q29)</f>
        <v/>
      </c>
      <c r="R29" s="64" t="str">
        <f>IF('Registrar bienes de inversión'!R29="","",'Registrar bienes de inversión'!R29)</f>
        <v/>
      </c>
      <c r="S29" s="60" t="str">
        <f>IF('Registrar bienes de inversión'!S29="","",'Registrar bienes de inversión'!S29)</f>
        <v/>
      </c>
      <c r="T29" s="60" t="str">
        <f>IF('Registrar bienes de inversión'!T29="","",'Registrar bienes de inversión'!T29)</f>
        <v/>
      </c>
      <c r="U29" s="60" t="str">
        <f>IF('Registrar bienes de inversión'!U29="","",'Registrar bienes de inversión'!U29)</f>
        <v/>
      </c>
      <c r="V29" s="60" t="str">
        <f>IF('Registrar bienes de inversión'!V29="","",'Registrar bienes de inversión'!V29)</f>
        <v/>
      </c>
      <c r="W29" s="60" t="str">
        <f>IF(OR('Registrar bienes de inversión'!W29="",LEFT('Registrar bienes de inversión'!W29,2)="01"),"",VLOOKUP(CONCATENATE("TIPO NIF",'Registrar bienes de inversión'!W29),'CODIGO-LITERAL'!$C:$D,2,FALSE))</f>
        <v/>
      </c>
      <c r="X29" s="60" t="str">
        <f>IF('Registrar bienes de inversión'!X29="","",'Registrar bienes de inversión'!X29)</f>
        <v/>
      </c>
      <c r="Y29" s="60" t="str">
        <f>IF('Registrar bienes de inversión'!Y29="","",'Registrar bienes de inversión'!Y29)</f>
        <v/>
      </c>
      <c r="Z29" s="60" t="str">
        <f>IF('Registrar bienes de inversión'!Z29="","",'Registrar bienes de inversión'!Z29)</f>
        <v/>
      </c>
      <c r="AA29" s="72" t="str">
        <f>IF('Registrar bienes de inversión'!AA29="","",ROUND('Registrar bienes de inversión'!AA29,2))</f>
        <v/>
      </c>
      <c r="AB29" s="72" t="str">
        <f>IF('Registrar bienes de inversión'!AB29="","",'Registrar bienes de inversión'!AB29)</f>
        <v/>
      </c>
      <c r="AC29" s="72" t="str">
        <f>IF('Registrar bienes de inversión'!AC29="","",ROUND('Registrar bienes de inversión'!AC29,2))</f>
        <v/>
      </c>
      <c r="AD29" s="72" t="str">
        <f>IF('Registrar bienes de inversión'!AD29="","",ROUND('Registrar bienes de inversión'!AD29,2))</f>
        <v/>
      </c>
      <c r="AE29" s="72" t="str">
        <f>IF('Registrar bienes de inversión'!AE29="","",ROUND('Registrar bienes de inversión'!AE29,2))</f>
        <v/>
      </c>
      <c r="AF29" s="72" t="str">
        <f>IF('Registrar bienes de inversión'!AF29="","",ROUND('Registrar bienes de inversión'!AF29,2))</f>
        <v/>
      </c>
      <c r="AG29" s="72" t="str">
        <f>IF('Registrar bienes de inversión'!AG29="","",ROUND('Registrar bienes de inversión'!AG29,2))</f>
        <v/>
      </c>
      <c r="AH29" s="64" t="str">
        <f>IF('Registrar bienes de inversión'!AH29="","",'Registrar bienes de inversión'!AH29)</f>
        <v/>
      </c>
      <c r="AI29" s="60" t="str">
        <f>IF('Registrar bienes de inversión'!AI29="","",VLOOKUP(CONCATENATE("CAUSA BAJA BIEN",'Registrar bienes de inversión'!AI29),'CODIGO-LITERAL'!$C:$D,2,FALSE))</f>
        <v/>
      </c>
      <c r="AJ29" s="60" t="str">
        <f>IF('Registrar bienes de inversión'!AJ29="","",'Registrar bienes de inversión'!AJ29)</f>
        <v/>
      </c>
      <c r="AK29" s="60" t="str">
        <f>IF('Registrar bienes de inversión'!AK29="","",'Registrar bienes de inversión'!AK29)</f>
        <v/>
      </c>
      <c r="AL29" s="60" t="str">
        <f>IF('Registrar bienes de inversión'!AL29="","",'Registrar bienes de inversión'!AL29)</f>
        <v/>
      </c>
      <c r="AM29" s="60" t="str">
        <f>IF('Registrar bienes de inversión'!AM29="","",'Registrar bienes de inversión'!AM29)</f>
        <v/>
      </c>
      <c r="AN29" s="60" t="str">
        <f>IF('Registrar bienes de inversión'!AN29="","",VLOOKUP(CONCATENATE("SITUACION",'Registrar bienes de inversión'!AN29),'CODIGO-LITERAL'!$C:$D,2,FALSE))</f>
        <v/>
      </c>
      <c r="AO29" s="60" t="str">
        <f>IF('Registrar bienes de inversión'!AO29="","",'Registrar bienes de inversión'!AO29)</f>
        <v/>
      </c>
      <c r="AP29" s="60" t="str">
        <f>IF('Registrar bienes de inversión'!AP29="","",'Registrar bienes de inversión'!AP29)</f>
        <v/>
      </c>
    </row>
    <row r="30" spans="1:42" s="25" customFormat="1" ht="13.5" x14ac:dyDescent="0.25">
      <c r="A30" s="71" t="str">
        <f>IF('Registrar bienes de inversión'!A30="","",'Registrar bienes de inversión'!A30)</f>
        <v/>
      </c>
      <c r="B30" s="60" t="str">
        <f>IF('Registrar bienes de inversión'!B30="","",'Registrar bienes de inversión'!B30)</f>
        <v/>
      </c>
      <c r="C30" s="60" t="str">
        <f>IF('Registrar bienes de inversión'!C30="","",VLOOKUP(CONCATENATE("ACTIVIDAD",'Registrar bienes de inversión'!C30),'CODIGO-LITERAL'!$C:$D,2,FALSE))</f>
        <v/>
      </c>
      <c r="D30" s="60" t="str">
        <f>IF(OR(C30="C",C30="D"),"",IF(ISERROR(VLOOKUP(CONCATENATE(C30,'Registrar bienes de inversión'!D30),'CODIGO-LITERAL'!$C:$D,2,FALSE)),"",VLOOKUP(CONCATENATE(C30,'Registrar bienes de inversión'!D30),'CODIGO-LITERAL'!$C:$D,2,FALSE)))</f>
        <v/>
      </c>
      <c r="E30" s="60" t="str">
        <f>IF('Registrar bienes de inversión'!E30="","",'Registrar bienes de inversión'!E30)</f>
        <v/>
      </c>
      <c r="F30" s="60" t="str">
        <f>IF('Registrar bienes de inversión'!F30="","",VLOOKUP(CONCATENATE("TIPO BIEN",'Registrar bienes de inversión'!F30),'CODIGO-LITERAL'!$C:$D,2,FALSE))</f>
        <v/>
      </c>
      <c r="G30" s="60" t="str">
        <f>IF('Registrar bienes de inversión'!G30="","",'Registrar bienes de inversión'!G30)</f>
        <v/>
      </c>
      <c r="H30" s="60" t="str">
        <f>IF('Registrar bienes de inversión'!H30="","",'Registrar bienes de inversión'!H30)</f>
        <v/>
      </c>
      <c r="I30" s="64" t="str">
        <f>IF('Registrar bienes de inversión'!I30="","",'Registrar bienes de inversión'!I30)</f>
        <v/>
      </c>
      <c r="J30" s="72" t="str">
        <f>IF('Registrar bienes de inversión'!J30="","",'Registrar bienes de inversión'!J30)</f>
        <v/>
      </c>
      <c r="K30" s="72" t="str">
        <f>IF('Registrar bienes de inversión'!K30="","",'Registrar bienes de inversión'!K30)</f>
        <v/>
      </c>
      <c r="L30" s="60" t="str">
        <f>IF('Registrar bienes de inversión'!L30="","",VLOOKUP(CONCATENATE("METODO AMORTIZACION",'Registrar bienes de inversión'!L30),'CODIGO-LITERAL'!$C:$D,2,FALSE))</f>
        <v/>
      </c>
      <c r="M30" s="72" t="str">
        <f>IF('Registrar bienes de inversión'!M30="","",'Registrar bienes de inversión'!M30)</f>
        <v/>
      </c>
      <c r="N30" s="72" t="str">
        <f>IF('Registrar bienes de inversión'!N30="","",'Registrar bienes de inversión'!N30)</f>
        <v/>
      </c>
      <c r="O30" s="72" t="str">
        <f>IF('Registrar bienes de inversión'!O30="","",'Registrar bienes de inversión'!O30)</f>
        <v/>
      </c>
      <c r="P30" s="72" t="str">
        <f>IF('Registrar bienes de inversión'!P30="","",'Registrar bienes de inversión'!P30)</f>
        <v/>
      </c>
      <c r="Q30" s="72" t="str">
        <f>IF('Registrar bienes de inversión'!Q30="","",'Registrar bienes de inversión'!Q30)</f>
        <v/>
      </c>
      <c r="R30" s="64" t="str">
        <f>IF('Registrar bienes de inversión'!R30="","",'Registrar bienes de inversión'!R30)</f>
        <v/>
      </c>
      <c r="S30" s="60" t="str">
        <f>IF('Registrar bienes de inversión'!S30="","",'Registrar bienes de inversión'!S30)</f>
        <v/>
      </c>
      <c r="T30" s="60" t="str">
        <f>IF('Registrar bienes de inversión'!T30="","",'Registrar bienes de inversión'!T30)</f>
        <v/>
      </c>
      <c r="U30" s="60" t="str">
        <f>IF('Registrar bienes de inversión'!U30="","",'Registrar bienes de inversión'!U30)</f>
        <v/>
      </c>
      <c r="V30" s="60" t="str">
        <f>IF('Registrar bienes de inversión'!V30="","",'Registrar bienes de inversión'!V30)</f>
        <v/>
      </c>
      <c r="W30" s="60" t="str">
        <f>IF(OR('Registrar bienes de inversión'!W30="",LEFT('Registrar bienes de inversión'!W30,2)="01"),"",VLOOKUP(CONCATENATE("TIPO NIF",'Registrar bienes de inversión'!W30),'CODIGO-LITERAL'!$C:$D,2,FALSE))</f>
        <v/>
      </c>
      <c r="X30" s="60" t="str">
        <f>IF('Registrar bienes de inversión'!X30="","",'Registrar bienes de inversión'!X30)</f>
        <v/>
      </c>
      <c r="Y30" s="60" t="str">
        <f>IF('Registrar bienes de inversión'!Y30="","",'Registrar bienes de inversión'!Y30)</f>
        <v/>
      </c>
      <c r="Z30" s="60" t="str">
        <f>IF('Registrar bienes de inversión'!Z30="","",'Registrar bienes de inversión'!Z30)</f>
        <v/>
      </c>
      <c r="AA30" s="72" t="str">
        <f>IF('Registrar bienes de inversión'!AA30="","",ROUND('Registrar bienes de inversión'!AA30,2))</f>
        <v/>
      </c>
      <c r="AB30" s="72" t="str">
        <f>IF('Registrar bienes de inversión'!AB30="","",'Registrar bienes de inversión'!AB30)</f>
        <v/>
      </c>
      <c r="AC30" s="72" t="str">
        <f>IF('Registrar bienes de inversión'!AC30="","",ROUND('Registrar bienes de inversión'!AC30,2))</f>
        <v/>
      </c>
      <c r="AD30" s="72" t="str">
        <f>IF('Registrar bienes de inversión'!AD30="","",ROUND('Registrar bienes de inversión'!AD30,2))</f>
        <v/>
      </c>
      <c r="AE30" s="72" t="str">
        <f>IF('Registrar bienes de inversión'!AE30="","",ROUND('Registrar bienes de inversión'!AE30,2))</f>
        <v/>
      </c>
      <c r="AF30" s="72" t="str">
        <f>IF('Registrar bienes de inversión'!AF30="","",ROUND('Registrar bienes de inversión'!AF30,2))</f>
        <v/>
      </c>
      <c r="AG30" s="72" t="str">
        <f>IF('Registrar bienes de inversión'!AG30="","",ROUND('Registrar bienes de inversión'!AG30,2))</f>
        <v/>
      </c>
      <c r="AH30" s="64" t="str">
        <f>IF('Registrar bienes de inversión'!AH30="","",'Registrar bienes de inversión'!AH30)</f>
        <v/>
      </c>
      <c r="AI30" s="60" t="str">
        <f>IF('Registrar bienes de inversión'!AI30="","",VLOOKUP(CONCATENATE("CAUSA BAJA BIEN",'Registrar bienes de inversión'!AI30),'CODIGO-LITERAL'!$C:$D,2,FALSE))</f>
        <v/>
      </c>
      <c r="AJ30" s="60" t="str">
        <f>IF('Registrar bienes de inversión'!AJ30="","",'Registrar bienes de inversión'!AJ30)</f>
        <v/>
      </c>
      <c r="AK30" s="60" t="str">
        <f>IF('Registrar bienes de inversión'!AK30="","",'Registrar bienes de inversión'!AK30)</f>
        <v/>
      </c>
      <c r="AL30" s="60" t="str">
        <f>IF('Registrar bienes de inversión'!AL30="","",'Registrar bienes de inversión'!AL30)</f>
        <v/>
      </c>
      <c r="AM30" s="60" t="str">
        <f>IF('Registrar bienes de inversión'!AM30="","",'Registrar bienes de inversión'!AM30)</f>
        <v/>
      </c>
      <c r="AN30" s="60" t="str">
        <f>IF('Registrar bienes de inversión'!AN30="","",VLOOKUP(CONCATENATE("SITUACION",'Registrar bienes de inversión'!AN30),'CODIGO-LITERAL'!$C:$D,2,FALSE))</f>
        <v/>
      </c>
      <c r="AO30" s="60" t="str">
        <f>IF('Registrar bienes de inversión'!AO30="","",'Registrar bienes de inversión'!AO30)</f>
        <v/>
      </c>
      <c r="AP30" s="60" t="str">
        <f>IF('Registrar bienes de inversión'!AP30="","",'Registrar bienes de inversión'!AP30)</f>
        <v/>
      </c>
    </row>
    <row r="31" spans="1:42" s="25" customFormat="1" ht="13.5" x14ac:dyDescent="0.25">
      <c r="A31" s="71" t="str">
        <f>IF('Registrar bienes de inversión'!A31="","",'Registrar bienes de inversión'!A31)</f>
        <v/>
      </c>
      <c r="B31" s="60" t="str">
        <f>IF('Registrar bienes de inversión'!B31="","",'Registrar bienes de inversión'!B31)</f>
        <v/>
      </c>
      <c r="C31" s="60" t="str">
        <f>IF('Registrar bienes de inversión'!C31="","",VLOOKUP(CONCATENATE("ACTIVIDAD",'Registrar bienes de inversión'!C31),'CODIGO-LITERAL'!$C:$D,2,FALSE))</f>
        <v/>
      </c>
      <c r="D31" s="60" t="str">
        <f>IF(OR(C31="C",C31="D"),"",IF(ISERROR(VLOOKUP(CONCATENATE(C31,'Registrar bienes de inversión'!D31),'CODIGO-LITERAL'!$C:$D,2,FALSE)),"",VLOOKUP(CONCATENATE(C31,'Registrar bienes de inversión'!D31),'CODIGO-LITERAL'!$C:$D,2,FALSE)))</f>
        <v/>
      </c>
      <c r="E31" s="60" t="str">
        <f>IF('Registrar bienes de inversión'!E31="","",'Registrar bienes de inversión'!E31)</f>
        <v/>
      </c>
      <c r="F31" s="60" t="str">
        <f>IF('Registrar bienes de inversión'!F31="","",VLOOKUP(CONCATENATE("TIPO BIEN",'Registrar bienes de inversión'!F31),'CODIGO-LITERAL'!$C:$D,2,FALSE))</f>
        <v/>
      </c>
      <c r="G31" s="60" t="str">
        <f>IF('Registrar bienes de inversión'!G31="","",'Registrar bienes de inversión'!G31)</f>
        <v/>
      </c>
      <c r="H31" s="60" t="str">
        <f>IF('Registrar bienes de inversión'!H31="","",'Registrar bienes de inversión'!H31)</f>
        <v/>
      </c>
      <c r="I31" s="64" t="str">
        <f>IF('Registrar bienes de inversión'!I31="","",'Registrar bienes de inversión'!I31)</f>
        <v/>
      </c>
      <c r="J31" s="72" t="str">
        <f>IF('Registrar bienes de inversión'!J31="","",'Registrar bienes de inversión'!J31)</f>
        <v/>
      </c>
      <c r="K31" s="72" t="str">
        <f>IF('Registrar bienes de inversión'!K31="","",'Registrar bienes de inversión'!K31)</f>
        <v/>
      </c>
      <c r="L31" s="60" t="str">
        <f>IF('Registrar bienes de inversión'!L31="","",VLOOKUP(CONCATENATE("METODO AMORTIZACION",'Registrar bienes de inversión'!L31),'CODIGO-LITERAL'!$C:$D,2,FALSE))</f>
        <v/>
      </c>
      <c r="M31" s="72" t="str">
        <f>IF('Registrar bienes de inversión'!M31="","",'Registrar bienes de inversión'!M31)</f>
        <v/>
      </c>
      <c r="N31" s="72" t="str">
        <f>IF('Registrar bienes de inversión'!N31="","",'Registrar bienes de inversión'!N31)</f>
        <v/>
      </c>
      <c r="O31" s="72" t="str">
        <f>IF('Registrar bienes de inversión'!O31="","",'Registrar bienes de inversión'!O31)</f>
        <v/>
      </c>
      <c r="P31" s="72" t="str">
        <f>IF('Registrar bienes de inversión'!P31="","",'Registrar bienes de inversión'!P31)</f>
        <v/>
      </c>
      <c r="Q31" s="72" t="str">
        <f>IF('Registrar bienes de inversión'!Q31="","",'Registrar bienes de inversión'!Q31)</f>
        <v/>
      </c>
      <c r="R31" s="64" t="str">
        <f>IF('Registrar bienes de inversión'!R31="","",'Registrar bienes de inversión'!R31)</f>
        <v/>
      </c>
      <c r="S31" s="60" t="str">
        <f>IF('Registrar bienes de inversión'!S31="","",'Registrar bienes de inversión'!S31)</f>
        <v/>
      </c>
      <c r="T31" s="60" t="str">
        <f>IF('Registrar bienes de inversión'!T31="","",'Registrar bienes de inversión'!T31)</f>
        <v/>
      </c>
      <c r="U31" s="60" t="str">
        <f>IF('Registrar bienes de inversión'!U31="","",'Registrar bienes de inversión'!U31)</f>
        <v/>
      </c>
      <c r="V31" s="60" t="str">
        <f>IF('Registrar bienes de inversión'!V31="","",'Registrar bienes de inversión'!V31)</f>
        <v/>
      </c>
      <c r="W31" s="60" t="str">
        <f>IF(OR('Registrar bienes de inversión'!W31="",LEFT('Registrar bienes de inversión'!W31,2)="01"),"",VLOOKUP(CONCATENATE("TIPO NIF",'Registrar bienes de inversión'!W31),'CODIGO-LITERAL'!$C:$D,2,FALSE))</f>
        <v/>
      </c>
      <c r="X31" s="60" t="str">
        <f>IF('Registrar bienes de inversión'!X31="","",'Registrar bienes de inversión'!X31)</f>
        <v/>
      </c>
      <c r="Y31" s="60" t="str">
        <f>IF('Registrar bienes de inversión'!Y31="","",'Registrar bienes de inversión'!Y31)</f>
        <v/>
      </c>
      <c r="Z31" s="60" t="str">
        <f>IF('Registrar bienes de inversión'!Z31="","",'Registrar bienes de inversión'!Z31)</f>
        <v/>
      </c>
      <c r="AA31" s="72" t="str">
        <f>IF('Registrar bienes de inversión'!AA31="","",ROUND('Registrar bienes de inversión'!AA31,2))</f>
        <v/>
      </c>
      <c r="AB31" s="72" t="str">
        <f>IF('Registrar bienes de inversión'!AB31="","",'Registrar bienes de inversión'!AB31)</f>
        <v/>
      </c>
      <c r="AC31" s="72" t="str">
        <f>IF('Registrar bienes de inversión'!AC31="","",ROUND('Registrar bienes de inversión'!AC31,2))</f>
        <v/>
      </c>
      <c r="AD31" s="72" t="str">
        <f>IF('Registrar bienes de inversión'!AD31="","",ROUND('Registrar bienes de inversión'!AD31,2))</f>
        <v/>
      </c>
      <c r="AE31" s="72" t="str">
        <f>IF('Registrar bienes de inversión'!AE31="","",ROUND('Registrar bienes de inversión'!AE31,2))</f>
        <v/>
      </c>
      <c r="AF31" s="72" t="str">
        <f>IF('Registrar bienes de inversión'!AF31="","",ROUND('Registrar bienes de inversión'!AF31,2))</f>
        <v/>
      </c>
      <c r="AG31" s="72" t="str">
        <f>IF('Registrar bienes de inversión'!AG31="","",ROUND('Registrar bienes de inversión'!AG31,2))</f>
        <v/>
      </c>
      <c r="AH31" s="64" t="str">
        <f>IF('Registrar bienes de inversión'!AH31="","",'Registrar bienes de inversión'!AH31)</f>
        <v/>
      </c>
      <c r="AI31" s="60" t="str">
        <f>IF('Registrar bienes de inversión'!AI31="","",VLOOKUP(CONCATENATE("CAUSA BAJA BIEN",'Registrar bienes de inversión'!AI31),'CODIGO-LITERAL'!$C:$D,2,FALSE))</f>
        <v/>
      </c>
      <c r="AJ31" s="60" t="str">
        <f>IF('Registrar bienes de inversión'!AJ31="","",'Registrar bienes de inversión'!AJ31)</f>
        <v/>
      </c>
      <c r="AK31" s="60" t="str">
        <f>IF('Registrar bienes de inversión'!AK31="","",'Registrar bienes de inversión'!AK31)</f>
        <v/>
      </c>
      <c r="AL31" s="60" t="str">
        <f>IF('Registrar bienes de inversión'!AL31="","",'Registrar bienes de inversión'!AL31)</f>
        <v/>
      </c>
      <c r="AM31" s="60" t="str">
        <f>IF('Registrar bienes de inversión'!AM31="","",'Registrar bienes de inversión'!AM31)</f>
        <v/>
      </c>
      <c r="AN31" s="60" t="str">
        <f>IF('Registrar bienes de inversión'!AN31="","",VLOOKUP(CONCATENATE("SITUACION",'Registrar bienes de inversión'!AN31),'CODIGO-LITERAL'!$C:$D,2,FALSE))</f>
        <v/>
      </c>
      <c r="AO31" s="60" t="str">
        <f>IF('Registrar bienes de inversión'!AO31="","",'Registrar bienes de inversión'!AO31)</f>
        <v/>
      </c>
      <c r="AP31" s="60" t="str">
        <f>IF('Registrar bienes de inversión'!AP31="","",'Registrar bienes de inversión'!AP31)</f>
        <v/>
      </c>
    </row>
    <row r="32" spans="1:42" s="25" customFormat="1" ht="13.5" x14ac:dyDescent="0.25">
      <c r="A32" s="71" t="str">
        <f>IF('Registrar bienes de inversión'!A32="","",'Registrar bienes de inversión'!A32)</f>
        <v/>
      </c>
      <c r="B32" s="60" t="str">
        <f>IF('Registrar bienes de inversión'!B32="","",'Registrar bienes de inversión'!B32)</f>
        <v/>
      </c>
      <c r="C32" s="60" t="str">
        <f>IF('Registrar bienes de inversión'!C32="","",VLOOKUP(CONCATENATE("ACTIVIDAD",'Registrar bienes de inversión'!C32),'CODIGO-LITERAL'!$C:$D,2,FALSE))</f>
        <v/>
      </c>
      <c r="D32" s="60" t="str">
        <f>IF(OR(C32="C",C32="D"),"",IF(ISERROR(VLOOKUP(CONCATENATE(C32,'Registrar bienes de inversión'!D32),'CODIGO-LITERAL'!$C:$D,2,FALSE)),"",VLOOKUP(CONCATENATE(C32,'Registrar bienes de inversión'!D32),'CODIGO-LITERAL'!$C:$D,2,FALSE)))</f>
        <v/>
      </c>
      <c r="E32" s="60" t="str">
        <f>IF('Registrar bienes de inversión'!E32="","",'Registrar bienes de inversión'!E32)</f>
        <v/>
      </c>
      <c r="F32" s="60" t="str">
        <f>IF('Registrar bienes de inversión'!F32="","",VLOOKUP(CONCATENATE("TIPO BIEN",'Registrar bienes de inversión'!F32),'CODIGO-LITERAL'!$C:$D,2,FALSE))</f>
        <v/>
      </c>
      <c r="G32" s="60" t="str">
        <f>IF('Registrar bienes de inversión'!G32="","",'Registrar bienes de inversión'!G32)</f>
        <v/>
      </c>
      <c r="H32" s="60" t="str">
        <f>IF('Registrar bienes de inversión'!H32="","",'Registrar bienes de inversión'!H32)</f>
        <v/>
      </c>
      <c r="I32" s="64" t="str">
        <f>IF('Registrar bienes de inversión'!I32="","",'Registrar bienes de inversión'!I32)</f>
        <v/>
      </c>
      <c r="J32" s="72" t="str">
        <f>IF('Registrar bienes de inversión'!J32="","",'Registrar bienes de inversión'!J32)</f>
        <v/>
      </c>
      <c r="K32" s="72" t="str">
        <f>IF('Registrar bienes de inversión'!K32="","",'Registrar bienes de inversión'!K32)</f>
        <v/>
      </c>
      <c r="L32" s="60" t="str">
        <f>IF('Registrar bienes de inversión'!L32="","",VLOOKUP(CONCATENATE("METODO AMORTIZACION",'Registrar bienes de inversión'!L32),'CODIGO-LITERAL'!$C:$D,2,FALSE))</f>
        <v/>
      </c>
      <c r="M32" s="72" t="str">
        <f>IF('Registrar bienes de inversión'!M32="","",'Registrar bienes de inversión'!M32)</f>
        <v/>
      </c>
      <c r="N32" s="72" t="str">
        <f>IF('Registrar bienes de inversión'!N32="","",'Registrar bienes de inversión'!N32)</f>
        <v/>
      </c>
      <c r="O32" s="72" t="str">
        <f>IF('Registrar bienes de inversión'!O32="","",'Registrar bienes de inversión'!O32)</f>
        <v/>
      </c>
      <c r="P32" s="72" t="str">
        <f>IF('Registrar bienes de inversión'!P32="","",'Registrar bienes de inversión'!P32)</f>
        <v/>
      </c>
      <c r="Q32" s="72" t="str">
        <f>IF('Registrar bienes de inversión'!Q32="","",'Registrar bienes de inversión'!Q32)</f>
        <v/>
      </c>
      <c r="R32" s="64" t="str">
        <f>IF('Registrar bienes de inversión'!R32="","",'Registrar bienes de inversión'!R32)</f>
        <v/>
      </c>
      <c r="S32" s="60" t="str">
        <f>IF('Registrar bienes de inversión'!S32="","",'Registrar bienes de inversión'!S32)</f>
        <v/>
      </c>
      <c r="T32" s="60" t="str">
        <f>IF('Registrar bienes de inversión'!T32="","",'Registrar bienes de inversión'!T32)</f>
        <v/>
      </c>
      <c r="U32" s="60" t="str">
        <f>IF('Registrar bienes de inversión'!U32="","",'Registrar bienes de inversión'!U32)</f>
        <v/>
      </c>
      <c r="V32" s="60" t="str">
        <f>IF('Registrar bienes de inversión'!V32="","",'Registrar bienes de inversión'!V32)</f>
        <v/>
      </c>
      <c r="W32" s="60" t="str">
        <f>IF(OR('Registrar bienes de inversión'!W32="",LEFT('Registrar bienes de inversión'!W32,2)="01"),"",VLOOKUP(CONCATENATE("TIPO NIF",'Registrar bienes de inversión'!W32),'CODIGO-LITERAL'!$C:$D,2,FALSE))</f>
        <v/>
      </c>
      <c r="X32" s="60" t="str">
        <f>IF('Registrar bienes de inversión'!X32="","",'Registrar bienes de inversión'!X32)</f>
        <v/>
      </c>
      <c r="Y32" s="60" t="str">
        <f>IF('Registrar bienes de inversión'!Y32="","",'Registrar bienes de inversión'!Y32)</f>
        <v/>
      </c>
      <c r="Z32" s="60" t="str">
        <f>IF('Registrar bienes de inversión'!Z32="","",'Registrar bienes de inversión'!Z32)</f>
        <v/>
      </c>
      <c r="AA32" s="72" t="str">
        <f>IF('Registrar bienes de inversión'!AA32="","",ROUND('Registrar bienes de inversión'!AA32,2))</f>
        <v/>
      </c>
      <c r="AB32" s="72" t="str">
        <f>IF('Registrar bienes de inversión'!AB32="","",'Registrar bienes de inversión'!AB32)</f>
        <v/>
      </c>
      <c r="AC32" s="72" t="str">
        <f>IF('Registrar bienes de inversión'!AC32="","",ROUND('Registrar bienes de inversión'!AC32,2))</f>
        <v/>
      </c>
      <c r="AD32" s="72" t="str">
        <f>IF('Registrar bienes de inversión'!AD32="","",ROUND('Registrar bienes de inversión'!AD32,2))</f>
        <v/>
      </c>
      <c r="AE32" s="72" t="str">
        <f>IF('Registrar bienes de inversión'!AE32="","",ROUND('Registrar bienes de inversión'!AE32,2))</f>
        <v/>
      </c>
      <c r="AF32" s="72" t="str">
        <f>IF('Registrar bienes de inversión'!AF32="","",ROUND('Registrar bienes de inversión'!AF32,2))</f>
        <v/>
      </c>
      <c r="AG32" s="72" t="str">
        <f>IF('Registrar bienes de inversión'!AG32="","",ROUND('Registrar bienes de inversión'!AG32,2))</f>
        <v/>
      </c>
      <c r="AH32" s="64" t="str">
        <f>IF('Registrar bienes de inversión'!AH32="","",'Registrar bienes de inversión'!AH32)</f>
        <v/>
      </c>
      <c r="AI32" s="60" t="str">
        <f>IF('Registrar bienes de inversión'!AI32="","",VLOOKUP(CONCATENATE("CAUSA BAJA BIEN",'Registrar bienes de inversión'!AI32),'CODIGO-LITERAL'!$C:$D,2,FALSE))</f>
        <v/>
      </c>
      <c r="AJ32" s="60" t="str">
        <f>IF('Registrar bienes de inversión'!AJ32="","",'Registrar bienes de inversión'!AJ32)</f>
        <v/>
      </c>
      <c r="AK32" s="60" t="str">
        <f>IF('Registrar bienes de inversión'!AK32="","",'Registrar bienes de inversión'!AK32)</f>
        <v/>
      </c>
      <c r="AL32" s="60" t="str">
        <f>IF('Registrar bienes de inversión'!AL32="","",'Registrar bienes de inversión'!AL32)</f>
        <v/>
      </c>
      <c r="AM32" s="60" t="str">
        <f>IF('Registrar bienes de inversión'!AM32="","",'Registrar bienes de inversión'!AM32)</f>
        <v/>
      </c>
      <c r="AN32" s="60" t="str">
        <f>IF('Registrar bienes de inversión'!AN32="","",VLOOKUP(CONCATENATE("SITUACION",'Registrar bienes de inversión'!AN32),'CODIGO-LITERAL'!$C:$D,2,FALSE))</f>
        <v/>
      </c>
      <c r="AO32" s="60" t="str">
        <f>IF('Registrar bienes de inversión'!AO32="","",'Registrar bienes de inversión'!AO32)</f>
        <v/>
      </c>
      <c r="AP32" s="60" t="str">
        <f>IF('Registrar bienes de inversión'!AP32="","",'Registrar bienes de inversión'!AP32)</f>
        <v/>
      </c>
    </row>
    <row r="33" spans="1:42" s="25" customFormat="1" ht="13.5" x14ac:dyDescent="0.25">
      <c r="A33" s="71" t="str">
        <f>IF('Registrar bienes de inversión'!A33="","",'Registrar bienes de inversión'!A33)</f>
        <v/>
      </c>
      <c r="B33" s="60" t="str">
        <f>IF('Registrar bienes de inversión'!B33="","",'Registrar bienes de inversión'!B33)</f>
        <v/>
      </c>
      <c r="C33" s="60" t="str">
        <f>IF('Registrar bienes de inversión'!C33="","",VLOOKUP(CONCATENATE("ACTIVIDAD",'Registrar bienes de inversión'!C33),'CODIGO-LITERAL'!$C:$D,2,FALSE))</f>
        <v/>
      </c>
      <c r="D33" s="60" t="str">
        <f>IF(OR(C33="C",C33="D"),"",IF(ISERROR(VLOOKUP(CONCATENATE(C33,'Registrar bienes de inversión'!D33),'CODIGO-LITERAL'!$C:$D,2,FALSE)),"",VLOOKUP(CONCATENATE(C33,'Registrar bienes de inversión'!D33),'CODIGO-LITERAL'!$C:$D,2,FALSE)))</f>
        <v/>
      </c>
      <c r="E33" s="60" t="str">
        <f>IF('Registrar bienes de inversión'!E33="","",'Registrar bienes de inversión'!E33)</f>
        <v/>
      </c>
      <c r="F33" s="60" t="str">
        <f>IF('Registrar bienes de inversión'!F33="","",VLOOKUP(CONCATENATE("TIPO BIEN",'Registrar bienes de inversión'!F33),'CODIGO-LITERAL'!$C:$D,2,FALSE))</f>
        <v/>
      </c>
      <c r="G33" s="60" t="str">
        <f>IF('Registrar bienes de inversión'!G33="","",'Registrar bienes de inversión'!G33)</f>
        <v/>
      </c>
      <c r="H33" s="60" t="str">
        <f>IF('Registrar bienes de inversión'!H33="","",'Registrar bienes de inversión'!H33)</f>
        <v/>
      </c>
      <c r="I33" s="64" t="str">
        <f>IF('Registrar bienes de inversión'!I33="","",'Registrar bienes de inversión'!I33)</f>
        <v/>
      </c>
      <c r="J33" s="72" t="str">
        <f>IF('Registrar bienes de inversión'!J33="","",'Registrar bienes de inversión'!J33)</f>
        <v/>
      </c>
      <c r="K33" s="72" t="str">
        <f>IF('Registrar bienes de inversión'!K33="","",'Registrar bienes de inversión'!K33)</f>
        <v/>
      </c>
      <c r="L33" s="60" t="str">
        <f>IF('Registrar bienes de inversión'!L33="","",VLOOKUP(CONCATENATE("METODO AMORTIZACION",'Registrar bienes de inversión'!L33),'CODIGO-LITERAL'!$C:$D,2,FALSE))</f>
        <v/>
      </c>
      <c r="M33" s="72" t="str">
        <f>IF('Registrar bienes de inversión'!M33="","",'Registrar bienes de inversión'!M33)</f>
        <v/>
      </c>
      <c r="N33" s="72" t="str">
        <f>IF('Registrar bienes de inversión'!N33="","",'Registrar bienes de inversión'!N33)</f>
        <v/>
      </c>
      <c r="O33" s="72" t="str">
        <f>IF('Registrar bienes de inversión'!O33="","",'Registrar bienes de inversión'!O33)</f>
        <v/>
      </c>
      <c r="P33" s="72" t="str">
        <f>IF('Registrar bienes de inversión'!P33="","",'Registrar bienes de inversión'!P33)</f>
        <v/>
      </c>
      <c r="Q33" s="72" t="str">
        <f>IF('Registrar bienes de inversión'!Q33="","",'Registrar bienes de inversión'!Q33)</f>
        <v/>
      </c>
      <c r="R33" s="64" t="str">
        <f>IF('Registrar bienes de inversión'!R33="","",'Registrar bienes de inversión'!R33)</f>
        <v/>
      </c>
      <c r="S33" s="60" t="str">
        <f>IF('Registrar bienes de inversión'!S33="","",'Registrar bienes de inversión'!S33)</f>
        <v/>
      </c>
      <c r="T33" s="60" t="str">
        <f>IF('Registrar bienes de inversión'!T33="","",'Registrar bienes de inversión'!T33)</f>
        <v/>
      </c>
      <c r="U33" s="60" t="str">
        <f>IF('Registrar bienes de inversión'!U33="","",'Registrar bienes de inversión'!U33)</f>
        <v/>
      </c>
      <c r="V33" s="60" t="str">
        <f>IF('Registrar bienes de inversión'!V33="","",'Registrar bienes de inversión'!V33)</f>
        <v/>
      </c>
      <c r="W33" s="60" t="str">
        <f>IF(OR('Registrar bienes de inversión'!W33="",LEFT('Registrar bienes de inversión'!W33,2)="01"),"",VLOOKUP(CONCATENATE("TIPO NIF",'Registrar bienes de inversión'!W33),'CODIGO-LITERAL'!$C:$D,2,FALSE))</f>
        <v/>
      </c>
      <c r="X33" s="60" t="str">
        <f>IF('Registrar bienes de inversión'!X33="","",'Registrar bienes de inversión'!X33)</f>
        <v/>
      </c>
      <c r="Y33" s="60" t="str">
        <f>IF('Registrar bienes de inversión'!Y33="","",'Registrar bienes de inversión'!Y33)</f>
        <v/>
      </c>
      <c r="Z33" s="60" t="str">
        <f>IF('Registrar bienes de inversión'!Z33="","",'Registrar bienes de inversión'!Z33)</f>
        <v/>
      </c>
      <c r="AA33" s="72" t="str">
        <f>IF('Registrar bienes de inversión'!AA33="","",ROUND('Registrar bienes de inversión'!AA33,2))</f>
        <v/>
      </c>
      <c r="AB33" s="72" t="str">
        <f>IF('Registrar bienes de inversión'!AB33="","",'Registrar bienes de inversión'!AB33)</f>
        <v/>
      </c>
      <c r="AC33" s="72" t="str">
        <f>IF('Registrar bienes de inversión'!AC33="","",ROUND('Registrar bienes de inversión'!AC33,2))</f>
        <v/>
      </c>
      <c r="AD33" s="72" t="str">
        <f>IF('Registrar bienes de inversión'!AD33="","",ROUND('Registrar bienes de inversión'!AD33,2))</f>
        <v/>
      </c>
      <c r="AE33" s="72" t="str">
        <f>IF('Registrar bienes de inversión'!AE33="","",ROUND('Registrar bienes de inversión'!AE33,2))</f>
        <v/>
      </c>
      <c r="AF33" s="72" t="str">
        <f>IF('Registrar bienes de inversión'!AF33="","",ROUND('Registrar bienes de inversión'!AF33,2))</f>
        <v/>
      </c>
      <c r="AG33" s="72" t="str">
        <f>IF('Registrar bienes de inversión'!AG33="","",ROUND('Registrar bienes de inversión'!AG33,2))</f>
        <v/>
      </c>
      <c r="AH33" s="64" t="str">
        <f>IF('Registrar bienes de inversión'!AH33="","",'Registrar bienes de inversión'!AH33)</f>
        <v/>
      </c>
      <c r="AI33" s="60" t="str">
        <f>IF('Registrar bienes de inversión'!AI33="","",VLOOKUP(CONCATENATE("CAUSA BAJA BIEN",'Registrar bienes de inversión'!AI33),'CODIGO-LITERAL'!$C:$D,2,FALSE))</f>
        <v/>
      </c>
      <c r="AJ33" s="60" t="str">
        <f>IF('Registrar bienes de inversión'!AJ33="","",'Registrar bienes de inversión'!AJ33)</f>
        <v/>
      </c>
      <c r="AK33" s="60" t="str">
        <f>IF('Registrar bienes de inversión'!AK33="","",'Registrar bienes de inversión'!AK33)</f>
        <v/>
      </c>
      <c r="AL33" s="60" t="str">
        <f>IF('Registrar bienes de inversión'!AL33="","",'Registrar bienes de inversión'!AL33)</f>
        <v/>
      </c>
      <c r="AM33" s="60" t="str">
        <f>IF('Registrar bienes de inversión'!AM33="","",'Registrar bienes de inversión'!AM33)</f>
        <v/>
      </c>
      <c r="AN33" s="60" t="str">
        <f>IF('Registrar bienes de inversión'!AN33="","",VLOOKUP(CONCATENATE("SITUACION",'Registrar bienes de inversión'!AN33),'CODIGO-LITERAL'!$C:$D,2,FALSE))</f>
        <v/>
      </c>
      <c r="AO33" s="60" t="str">
        <f>IF('Registrar bienes de inversión'!AO33="","",'Registrar bienes de inversión'!AO33)</f>
        <v/>
      </c>
      <c r="AP33" s="60" t="str">
        <f>IF('Registrar bienes de inversión'!AP33="","",'Registrar bienes de inversión'!AP33)</f>
        <v/>
      </c>
    </row>
    <row r="34" spans="1:42" s="25" customFormat="1" ht="13.5" x14ac:dyDescent="0.25">
      <c r="A34" s="71" t="str">
        <f>IF('Registrar bienes de inversión'!A34="","",'Registrar bienes de inversión'!A34)</f>
        <v/>
      </c>
      <c r="B34" s="60" t="str">
        <f>IF('Registrar bienes de inversión'!B34="","",'Registrar bienes de inversión'!B34)</f>
        <v/>
      </c>
      <c r="C34" s="60" t="str">
        <f>IF('Registrar bienes de inversión'!C34="","",VLOOKUP(CONCATENATE("ACTIVIDAD",'Registrar bienes de inversión'!C34),'CODIGO-LITERAL'!$C:$D,2,FALSE))</f>
        <v/>
      </c>
      <c r="D34" s="60" t="str">
        <f>IF(OR(C34="C",C34="D"),"",IF(ISERROR(VLOOKUP(CONCATENATE(C34,'Registrar bienes de inversión'!D34),'CODIGO-LITERAL'!$C:$D,2,FALSE)),"",VLOOKUP(CONCATENATE(C34,'Registrar bienes de inversión'!D34),'CODIGO-LITERAL'!$C:$D,2,FALSE)))</f>
        <v/>
      </c>
      <c r="E34" s="60" t="str">
        <f>IF('Registrar bienes de inversión'!E34="","",'Registrar bienes de inversión'!E34)</f>
        <v/>
      </c>
      <c r="F34" s="60" t="str">
        <f>IF('Registrar bienes de inversión'!F34="","",VLOOKUP(CONCATENATE("TIPO BIEN",'Registrar bienes de inversión'!F34),'CODIGO-LITERAL'!$C:$D,2,FALSE))</f>
        <v/>
      </c>
      <c r="G34" s="60" t="str">
        <f>IF('Registrar bienes de inversión'!G34="","",'Registrar bienes de inversión'!G34)</f>
        <v/>
      </c>
      <c r="H34" s="60" t="str">
        <f>IF('Registrar bienes de inversión'!H34="","",'Registrar bienes de inversión'!H34)</f>
        <v/>
      </c>
      <c r="I34" s="64" t="str">
        <f>IF('Registrar bienes de inversión'!I34="","",'Registrar bienes de inversión'!I34)</f>
        <v/>
      </c>
      <c r="J34" s="72" t="str">
        <f>IF('Registrar bienes de inversión'!J34="","",'Registrar bienes de inversión'!J34)</f>
        <v/>
      </c>
      <c r="K34" s="72" t="str">
        <f>IF('Registrar bienes de inversión'!K34="","",'Registrar bienes de inversión'!K34)</f>
        <v/>
      </c>
      <c r="L34" s="60" t="str">
        <f>IF('Registrar bienes de inversión'!L34="","",VLOOKUP(CONCATENATE("METODO AMORTIZACION",'Registrar bienes de inversión'!L34),'CODIGO-LITERAL'!$C:$D,2,FALSE))</f>
        <v/>
      </c>
      <c r="M34" s="72" t="str">
        <f>IF('Registrar bienes de inversión'!M34="","",'Registrar bienes de inversión'!M34)</f>
        <v/>
      </c>
      <c r="N34" s="72" t="str">
        <f>IF('Registrar bienes de inversión'!N34="","",'Registrar bienes de inversión'!N34)</f>
        <v/>
      </c>
      <c r="O34" s="72" t="str">
        <f>IF('Registrar bienes de inversión'!O34="","",'Registrar bienes de inversión'!O34)</f>
        <v/>
      </c>
      <c r="P34" s="72" t="str">
        <f>IF('Registrar bienes de inversión'!P34="","",'Registrar bienes de inversión'!P34)</f>
        <v/>
      </c>
      <c r="Q34" s="72" t="str">
        <f>IF('Registrar bienes de inversión'!Q34="","",'Registrar bienes de inversión'!Q34)</f>
        <v/>
      </c>
      <c r="R34" s="64" t="str">
        <f>IF('Registrar bienes de inversión'!R34="","",'Registrar bienes de inversión'!R34)</f>
        <v/>
      </c>
      <c r="S34" s="60" t="str">
        <f>IF('Registrar bienes de inversión'!S34="","",'Registrar bienes de inversión'!S34)</f>
        <v/>
      </c>
      <c r="T34" s="60" t="str">
        <f>IF('Registrar bienes de inversión'!T34="","",'Registrar bienes de inversión'!T34)</f>
        <v/>
      </c>
      <c r="U34" s="60" t="str">
        <f>IF('Registrar bienes de inversión'!U34="","",'Registrar bienes de inversión'!U34)</f>
        <v/>
      </c>
      <c r="V34" s="60" t="str">
        <f>IF('Registrar bienes de inversión'!V34="","",'Registrar bienes de inversión'!V34)</f>
        <v/>
      </c>
      <c r="W34" s="60" t="str">
        <f>IF(OR('Registrar bienes de inversión'!W34="",LEFT('Registrar bienes de inversión'!W34,2)="01"),"",VLOOKUP(CONCATENATE("TIPO NIF",'Registrar bienes de inversión'!W34),'CODIGO-LITERAL'!$C:$D,2,FALSE))</f>
        <v/>
      </c>
      <c r="X34" s="60" t="str">
        <f>IF('Registrar bienes de inversión'!X34="","",'Registrar bienes de inversión'!X34)</f>
        <v/>
      </c>
      <c r="Y34" s="60" t="str">
        <f>IF('Registrar bienes de inversión'!Y34="","",'Registrar bienes de inversión'!Y34)</f>
        <v/>
      </c>
      <c r="Z34" s="60" t="str">
        <f>IF('Registrar bienes de inversión'!Z34="","",'Registrar bienes de inversión'!Z34)</f>
        <v/>
      </c>
      <c r="AA34" s="72" t="str">
        <f>IF('Registrar bienes de inversión'!AA34="","",ROUND('Registrar bienes de inversión'!AA34,2))</f>
        <v/>
      </c>
      <c r="AB34" s="72" t="str">
        <f>IF('Registrar bienes de inversión'!AB34="","",'Registrar bienes de inversión'!AB34)</f>
        <v/>
      </c>
      <c r="AC34" s="72" t="str">
        <f>IF('Registrar bienes de inversión'!AC34="","",ROUND('Registrar bienes de inversión'!AC34,2))</f>
        <v/>
      </c>
      <c r="AD34" s="72" t="str">
        <f>IF('Registrar bienes de inversión'!AD34="","",ROUND('Registrar bienes de inversión'!AD34,2))</f>
        <v/>
      </c>
      <c r="AE34" s="72" t="str">
        <f>IF('Registrar bienes de inversión'!AE34="","",ROUND('Registrar bienes de inversión'!AE34,2))</f>
        <v/>
      </c>
      <c r="AF34" s="72" t="str">
        <f>IF('Registrar bienes de inversión'!AF34="","",ROUND('Registrar bienes de inversión'!AF34,2))</f>
        <v/>
      </c>
      <c r="AG34" s="72" t="str">
        <f>IF('Registrar bienes de inversión'!AG34="","",ROUND('Registrar bienes de inversión'!AG34,2))</f>
        <v/>
      </c>
      <c r="AH34" s="64" t="str">
        <f>IF('Registrar bienes de inversión'!AH34="","",'Registrar bienes de inversión'!AH34)</f>
        <v/>
      </c>
      <c r="AI34" s="60" t="str">
        <f>IF('Registrar bienes de inversión'!AI34="","",VLOOKUP(CONCATENATE("CAUSA BAJA BIEN",'Registrar bienes de inversión'!AI34),'CODIGO-LITERAL'!$C:$D,2,FALSE))</f>
        <v/>
      </c>
      <c r="AJ34" s="60" t="str">
        <f>IF('Registrar bienes de inversión'!AJ34="","",'Registrar bienes de inversión'!AJ34)</f>
        <v/>
      </c>
      <c r="AK34" s="60" t="str">
        <f>IF('Registrar bienes de inversión'!AK34="","",'Registrar bienes de inversión'!AK34)</f>
        <v/>
      </c>
      <c r="AL34" s="60" t="str">
        <f>IF('Registrar bienes de inversión'!AL34="","",'Registrar bienes de inversión'!AL34)</f>
        <v/>
      </c>
      <c r="AM34" s="60" t="str">
        <f>IF('Registrar bienes de inversión'!AM34="","",'Registrar bienes de inversión'!AM34)</f>
        <v/>
      </c>
      <c r="AN34" s="60" t="str">
        <f>IF('Registrar bienes de inversión'!AN34="","",VLOOKUP(CONCATENATE("SITUACION",'Registrar bienes de inversión'!AN34),'CODIGO-LITERAL'!$C:$D,2,FALSE))</f>
        <v/>
      </c>
      <c r="AO34" s="60" t="str">
        <f>IF('Registrar bienes de inversión'!AO34="","",'Registrar bienes de inversión'!AO34)</f>
        <v/>
      </c>
      <c r="AP34" s="60" t="str">
        <f>IF('Registrar bienes de inversión'!AP34="","",'Registrar bienes de inversión'!AP34)</f>
        <v/>
      </c>
    </row>
    <row r="35" spans="1:42" s="25" customFormat="1" ht="13.5" x14ac:dyDescent="0.25">
      <c r="A35" s="71" t="str">
        <f>IF('Registrar bienes de inversión'!A35="","",'Registrar bienes de inversión'!A35)</f>
        <v/>
      </c>
      <c r="B35" s="60" t="str">
        <f>IF('Registrar bienes de inversión'!B35="","",'Registrar bienes de inversión'!B35)</f>
        <v/>
      </c>
      <c r="C35" s="60" t="str">
        <f>IF('Registrar bienes de inversión'!C35="","",VLOOKUP(CONCATENATE("ACTIVIDAD",'Registrar bienes de inversión'!C35),'CODIGO-LITERAL'!$C:$D,2,FALSE))</f>
        <v/>
      </c>
      <c r="D35" s="60" t="str">
        <f>IF(OR(C35="C",C35="D"),"",IF(ISERROR(VLOOKUP(CONCATENATE(C35,'Registrar bienes de inversión'!D35),'CODIGO-LITERAL'!$C:$D,2,FALSE)),"",VLOOKUP(CONCATENATE(C35,'Registrar bienes de inversión'!D35),'CODIGO-LITERAL'!$C:$D,2,FALSE)))</f>
        <v/>
      </c>
      <c r="E35" s="60" t="str">
        <f>IF('Registrar bienes de inversión'!E35="","",'Registrar bienes de inversión'!E35)</f>
        <v/>
      </c>
      <c r="F35" s="60" t="str">
        <f>IF('Registrar bienes de inversión'!F35="","",VLOOKUP(CONCATENATE("TIPO BIEN",'Registrar bienes de inversión'!F35),'CODIGO-LITERAL'!$C:$D,2,FALSE))</f>
        <v/>
      </c>
      <c r="G35" s="60" t="str">
        <f>IF('Registrar bienes de inversión'!G35="","",'Registrar bienes de inversión'!G35)</f>
        <v/>
      </c>
      <c r="H35" s="60" t="str">
        <f>IF('Registrar bienes de inversión'!H35="","",'Registrar bienes de inversión'!H35)</f>
        <v/>
      </c>
      <c r="I35" s="64" t="str">
        <f>IF('Registrar bienes de inversión'!I35="","",'Registrar bienes de inversión'!I35)</f>
        <v/>
      </c>
      <c r="J35" s="72" t="str">
        <f>IF('Registrar bienes de inversión'!J35="","",'Registrar bienes de inversión'!J35)</f>
        <v/>
      </c>
      <c r="K35" s="72" t="str">
        <f>IF('Registrar bienes de inversión'!K35="","",'Registrar bienes de inversión'!K35)</f>
        <v/>
      </c>
      <c r="L35" s="60" t="str">
        <f>IF('Registrar bienes de inversión'!L35="","",VLOOKUP(CONCATENATE("METODO AMORTIZACION",'Registrar bienes de inversión'!L35),'CODIGO-LITERAL'!$C:$D,2,FALSE))</f>
        <v/>
      </c>
      <c r="M35" s="72" t="str">
        <f>IF('Registrar bienes de inversión'!M35="","",'Registrar bienes de inversión'!M35)</f>
        <v/>
      </c>
      <c r="N35" s="72" t="str">
        <f>IF('Registrar bienes de inversión'!N35="","",'Registrar bienes de inversión'!N35)</f>
        <v/>
      </c>
      <c r="O35" s="72" t="str">
        <f>IF('Registrar bienes de inversión'!O35="","",'Registrar bienes de inversión'!O35)</f>
        <v/>
      </c>
      <c r="P35" s="72" t="str">
        <f>IF('Registrar bienes de inversión'!P35="","",'Registrar bienes de inversión'!P35)</f>
        <v/>
      </c>
      <c r="Q35" s="72" t="str">
        <f>IF('Registrar bienes de inversión'!Q35="","",'Registrar bienes de inversión'!Q35)</f>
        <v/>
      </c>
      <c r="R35" s="64" t="str">
        <f>IF('Registrar bienes de inversión'!R35="","",'Registrar bienes de inversión'!R35)</f>
        <v/>
      </c>
      <c r="S35" s="60" t="str">
        <f>IF('Registrar bienes de inversión'!S35="","",'Registrar bienes de inversión'!S35)</f>
        <v/>
      </c>
      <c r="T35" s="60" t="str">
        <f>IF('Registrar bienes de inversión'!T35="","",'Registrar bienes de inversión'!T35)</f>
        <v/>
      </c>
      <c r="U35" s="60" t="str">
        <f>IF('Registrar bienes de inversión'!U35="","",'Registrar bienes de inversión'!U35)</f>
        <v/>
      </c>
      <c r="V35" s="60" t="str">
        <f>IF('Registrar bienes de inversión'!V35="","",'Registrar bienes de inversión'!V35)</f>
        <v/>
      </c>
      <c r="W35" s="60" t="str">
        <f>IF(OR('Registrar bienes de inversión'!W35="",LEFT('Registrar bienes de inversión'!W35,2)="01"),"",VLOOKUP(CONCATENATE("TIPO NIF",'Registrar bienes de inversión'!W35),'CODIGO-LITERAL'!$C:$D,2,FALSE))</f>
        <v/>
      </c>
      <c r="X35" s="60" t="str">
        <f>IF('Registrar bienes de inversión'!X35="","",'Registrar bienes de inversión'!X35)</f>
        <v/>
      </c>
      <c r="Y35" s="60" t="str">
        <f>IF('Registrar bienes de inversión'!Y35="","",'Registrar bienes de inversión'!Y35)</f>
        <v/>
      </c>
      <c r="Z35" s="60" t="str">
        <f>IF('Registrar bienes de inversión'!Z35="","",'Registrar bienes de inversión'!Z35)</f>
        <v/>
      </c>
      <c r="AA35" s="72" t="str">
        <f>IF('Registrar bienes de inversión'!AA35="","",ROUND('Registrar bienes de inversión'!AA35,2))</f>
        <v/>
      </c>
      <c r="AB35" s="72" t="str">
        <f>IF('Registrar bienes de inversión'!AB35="","",'Registrar bienes de inversión'!AB35)</f>
        <v/>
      </c>
      <c r="AC35" s="72" t="str">
        <f>IF('Registrar bienes de inversión'!AC35="","",ROUND('Registrar bienes de inversión'!AC35,2))</f>
        <v/>
      </c>
      <c r="AD35" s="72" t="str">
        <f>IF('Registrar bienes de inversión'!AD35="","",ROUND('Registrar bienes de inversión'!AD35,2))</f>
        <v/>
      </c>
      <c r="AE35" s="72" t="str">
        <f>IF('Registrar bienes de inversión'!AE35="","",ROUND('Registrar bienes de inversión'!AE35,2))</f>
        <v/>
      </c>
      <c r="AF35" s="72" t="str">
        <f>IF('Registrar bienes de inversión'!AF35="","",ROUND('Registrar bienes de inversión'!AF35,2))</f>
        <v/>
      </c>
      <c r="AG35" s="72" t="str">
        <f>IF('Registrar bienes de inversión'!AG35="","",ROUND('Registrar bienes de inversión'!AG35,2))</f>
        <v/>
      </c>
      <c r="AH35" s="64" t="str">
        <f>IF('Registrar bienes de inversión'!AH35="","",'Registrar bienes de inversión'!AH35)</f>
        <v/>
      </c>
      <c r="AI35" s="60" t="str">
        <f>IF('Registrar bienes de inversión'!AI35="","",VLOOKUP(CONCATENATE("CAUSA BAJA BIEN",'Registrar bienes de inversión'!AI35),'CODIGO-LITERAL'!$C:$D,2,FALSE))</f>
        <v/>
      </c>
      <c r="AJ35" s="60" t="str">
        <f>IF('Registrar bienes de inversión'!AJ35="","",'Registrar bienes de inversión'!AJ35)</f>
        <v/>
      </c>
      <c r="AK35" s="60" t="str">
        <f>IF('Registrar bienes de inversión'!AK35="","",'Registrar bienes de inversión'!AK35)</f>
        <v/>
      </c>
      <c r="AL35" s="60" t="str">
        <f>IF('Registrar bienes de inversión'!AL35="","",'Registrar bienes de inversión'!AL35)</f>
        <v/>
      </c>
      <c r="AM35" s="60" t="str">
        <f>IF('Registrar bienes de inversión'!AM35="","",'Registrar bienes de inversión'!AM35)</f>
        <v/>
      </c>
      <c r="AN35" s="60" t="str">
        <f>IF('Registrar bienes de inversión'!AN35="","",VLOOKUP(CONCATENATE("SITUACION",'Registrar bienes de inversión'!AN35),'CODIGO-LITERAL'!$C:$D,2,FALSE))</f>
        <v/>
      </c>
      <c r="AO35" s="60" t="str">
        <f>IF('Registrar bienes de inversión'!AO35="","",'Registrar bienes de inversión'!AO35)</f>
        <v/>
      </c>
      <c r="AP35" s="60" t="str">
        <f>IF('Registrar bienes de inversión'!AP35="","",'Registrar bienes de inversión'!AP35)</f>
        <v/>
      </c>
    </row>
    <row r="36" spans="1:42" x14ac:dyDescent="0.25">
      <c r="A36" s="71" t="str">
        <f>IF('Registrar bienes de inversión'!A36="","",'Registrar bienes de inversión'!A36)</f>
        <v/>
      </c>
      <c r="B36" s="60" t="str">
        <f>IF('Registrar bienes de inversión'!B36="","",'Registrar bienes de inversión'!B36)</f>
        <v/>
      </c>
      <c r="C36" s="60" t="str">
        <f>IF('Registrar bienes de inversión'!C36="","",VLOOKUP(CONCATENATE("ACTIVIDAD",'Registrar bienes de inversión'!C36),'CODIGO-LITERAL'!$C:$D,2,FALSE))</f>
        <v/>
      </c>
      <c r="D36" s="60" t="str">
        <f>IF(OR(C36="C",C36="D"),"",IF(ISERROR(VLOOKUP(CONCATENATE(C36,'Registrar bienes de inversión'!D36),'CODIGO-LITERAL'!$C:$D,2,FALSE)),"",VLOOKUP(CONCATENATE(C36,'Registrar bienes de inversión'!D36),'CODIGO-LITERAL'!$C:$D,2,FALSE)))</f>
        <v/>
      </c>
      <c r="E36" s="60" t="str">
        <f>IF('Registrar bienes de inversión'!E36="","",'Registrar bienes de inversión'!E36)</f>
        <v/>
      </c>
      <c r="F36" s="60" t="str">
        <f>IF('Registrar bienes de inversión'!F36="","",VLOOKUP(CONCATENATE("TIPO BIEN",'Registrar bienes de inversión'!F36),'CODIGO-LITERAL'!$C:$D,2,FALSE))</f>
        <v/>
      </c>
      <c r="G36" s="60" t="str">
        <f>IF('Registrar bienes de inversión'!G36="","",'Registrar bienes de inversión'!G36)</f>
        <v/>
      </c>
      <c r="H36" s="60" t="str">
        <f>IF('Registrar bienes de inversión'!H36="","",'Registrar bienes de inversión'!H36)</f>
        <v/>
      </c>
      <c r="I36" s="64" t="str">
        <f>IF('Registrar bienes de inversión'!I36="","",'Registrar bienes de inversión'!I36)</f>
        <v/>
      </c>
      <c r="J36" s="72" t="str">
        <f>IF('Registrar bienes de inversión'!J36="","",'Registrar bienes de inversión'!J36)</f>
        <v/>
      </c>
      <c r="K36" s="72" t="str">
        <f>IF('Registrar bienes de inversión'!K36="","",'Registrar bienes de inversión'!K36)</f>
        <v/>
      </c>
      <c r="L36" s="60" t="str">
        <f>IF('Registrar bienes de inversión'!L36="","",VLOOKUP(CONCATENATE("METODO AMORTIZACION",'Registrar bienes de inversión'!L36),'CODIGO-LITERAL'!$C:$D,2,FALSE))</f>
        <v/>
      </c>
      <c r="M36" s="72" t="str">
        <f>IF('Registrar bienes de inversión'!M36="","",'Registrar bienes de inversión'!M36)</f>
        <v/>
      </c>
      <c r="N36" s="72" t="str">
        <f>IF('Registrar bienes de inversión'!N36="","",'Registrar bienes de inversión'!N36)</f>
        <v/>
      </c>
      <c r="O36" s="72" t="str">
        <f>IF('Registrar bienes de inversión'!O36="","",'Registrar bienes de inversión'!O36)</f>
        <v/>
      </c>
      <c r="P36" s="72" t="str">
        <f>IF('Registrar bienes de inversión'!P36="","",'Registrar bienes de inversión'!P36)</f>
        <v/>
      </c>
      <c r="Q36" s="72" t="str">
        <f>IF('Registrar bienes de inversión'!Q36="","",'Registrar bienes de inversión'!Q36)</f>
        <v/>
      </c>
      <c r="R36" s="64" t="str">
        <f>IF('Registrar bienes de inversión'!R36="","",'Registrar bienes de inversión'!R36)</f>
        <v/>
      </c>
      <c r="S36" s="60" t="str">
        <f>IF('Registrar bienes de inversión'!S36="","",'Registrar bienes de inversión'!S36)</f>
        <v/>
      </c>
      <c r="T36" s="60" t="str">
        <f>IF('Registrar bienes de inversión'!T36="","",'Registrar bienes de inversión'!T36)</f>
        <v/>
      </c>
      <c r="U36" s="60" t="str">
        <f>IF('Registrar bienes de inversión'!U36="","",'Registrar bienes de inversión'!U36)</f>
        <v/>
      </c>
      <c r="V36" s="60" t="str">
        <f>IF('Registrar bienes de inversión'!V36="","",'Registrar bienes de inversión'!V36)</f>
        <v/>
      </c>
      <c r="W36" s="60" t="str">
        <f>IF(OR('Registrar bienes de inversión'!W36="",LEFT('Registrar bienes de inversión'!W36,2)="01"),"",VLOOKUP(CONCATENATE("TIPO NIF",'Registrar bienes de inversión'!W36),'CODIGO-LITERAL'!$C:$D,2,FALSE))</f>
        <v/>
      </c>
      <c r="X36" s="60" t="str">
        <f>IF('Registrar bienes de inversión'!X36="","",'Registrar bienes de inversión'!X36)</f>
        <v/>
      </c>
      <c r="Y36" s="60" t="str">
        <f>IF('Registrar bienes de inversión'!Y36="","",'Registrar bienes de inversión'!Y36)</f>
        <v/>
      </c>
      <c r="Z36" s="60" t="str">
        <f>IF('Registrar bienes de inversión'!Z36="","",'Registrar bienes de inversión'!Z36)</f>
        <v/>
      </c>
      <c r="AA36" s="72" t="str">
        <f>IF('Registrar bienes de inversión'!AA36="","",ROUND('Registrar bienes de inversión'!AA36,2))</f>
        <v/>
      </c>
      <c r="AB36" s="72" t="str">
        <f>IF('Registrar bienes de inversión'!AB36="","",'Registrar bienes de inversión'!AB36)</f>
        <v/>
      </c>
      <c r="AC36" s="72" t="str">
        <f>IF('Registrar bienes de inversión'!AC36="","",ROUND('Registrar bienes de inversión'!AC36,2))</f>
        <v/>
      </c>
      <c r="AD36" s="72" t="str">
        <f>IF('Registrar bienes de inversión'!AD36="","",ROUND('Registrar bienes de inversión'!AD36,2))</f>
        <v/>
      </c>
      <c r="AE36" s="72" t="str">
        <f>IF('Registrar bienes de inversión'!AE36="","",ROUND('Registrar bienes de inversión'!AE36,2))</f>
        <v/>
      </c>
      <c r="AF36" s="72" t="str">
        <f>IF('Registrar bienes de inversión'!AF36="","",ROUND('Registrar bienes de inversión'!AF36,2))</f>
        <v/>
      </c>
      <c r="AG36" s="72" t="str">
        <f>IF('Registrar bienes de inversión'!AG36="","",ROUND('Registrar bienes de inversión'!AG36,2))</f>
        <v/>
      </c>
      <c r="AH36" s="64" t="str">
        <f>IF('Registrar bienes de inversión'!AH36="","",'Registrar bienes de inversión'!AH36)</f>
        <v/>
      </c>
      <c r="AI36" s="60" t="str">
        <f>IF('Registrar bienes de inversión'!AI36="","",VLOOKUP(CONCATENATE("CAUSA BAJA BIEN",'Registrar bienes de inversión'!AI36),'CODIGO-LITERAL'!$C:$D,2,FALSE))</f>
        <v/>
      </c>
      <c r="AJ36" s="60" t="str">
        <f>IF('Registrar bienes de inversión'!AJ36="","",'Registrar bienes de inversión'!AJ36)</f>
        <v/>
      </c>
      <c r="AK36" s="60" t="str">
        <f>IF('Registrar bienes de inversión'!AK36="","",'Registrar bienes de inversión'!AK36)</f>
        <v/>
      </c>
      <c r="AL36" s="60" t="str">
        <f>IF('Registrar bienes de inversión'!AL36="","",'Registrar bienes de inversión'!AL36)</f>
        <v/>
      </c>
      <c r="AM36" s="60" t="str">
        <f>IF('Registrar bienes de inversión'!AM36="","",'Registrar bienes de inversión'!AM36)</f>
        <v/>
      </c>
      <c r="AN36" s="60" t="str">
        <f>IF('Registrar bienes de inversión'!AN36="","",VLOOKUP(CONCATENATE("SITUACION",'Registrar bienes de inversión'!AN36),'CODIGO-LITERAL'!$C:$D,2,FALSE))</f>
        <v/>
      </c>
      <c r="AO36" s="60" t="str">
        <f>IF('Registrar bienes de inversión'!AO36="","",'Registrar bienes de inversión'!AO36)</f>
        <v/>
      </c>
      <c r="AP36" s="60" t="str">
        <f>IF('Registrar bienes de inversión'!AP36="","",'Registrar bienes de inversión'!AP36)</f>
        <v/>
      </c>
    </row>
    <row r="37" spans="1:42" x14ac:dyDescent="0.25">
      <c r="A37" s="71" t="str">
        <f>IF('Registrar bienes de inversión'!A37="","",'Registrar bienes de inversión'!A37)</f>
        <v/>
      </c>
      <c r="B37" s="60" t="str">
        <f>IF('Registrar bienes de inversión'!B37="","",'Registrar bienes de inversión'!B37)</f>
        <v/>
      </c>
      <c r="C37" s="60" t="str">
        <f>IF('Registrar bienes de inversión'!C37="","",VLOOKUP(CONCATENATE("ACTIVIDAD",'Registrar bienes de inversión'!C37),'CODIGO-LITERAL'!$C:$D,2,FALSE))</f>
        <v/>
      </c>
      <c r="D37" s="60" t="str">
        <f>IF(OR(C37="C",C37="D"),"",IF(ISERROR(VLOOKUP(CONCATENATE(C37,'Registrar bienes de inversión'!D37),'CODIGO-LITERAL'!$C:$D,2,FALSE)),"",VLOOKUP(CONCATENATE(C37,'Registrar bienes de inversión'!D37),'CODIGO-LITERAL'!$C:$D,2,FALSE)))</f>
        <v/>
      </c>
      <c r="E37" s="60" t="str">
        <f>IF('Registrar bienes de inversión'!E37="","",'Registrar bienes de inversión'!E37)</f>
        <v/>
      </c>
      <c r="F37" s="60" t="str">
        <f>IF('Registrar bienes de inversión'!F37="","",VLOOKUP(CONCATENATE("TIPO BIEN",'Registrar bienes de inversión'!F37),'CODIGO-LITERAL'!$C:$D,2,FALSE))</f>
        <v/>
      </c>
      <c r="G37" s="60" t="str">
        <f>IF('Registrar bienes de inversión'!G37="","",'Registrar bienes de inversión'!G37)</f>
        <v/>
      </c>
      <c r="H37" s="60" t="str">
        <f>IF('Registrar bienes de inversión'!H37="","",'Registrar bienes de inversión'!H37)</f>
        <v/>
      </c>
      <c r="I37" s="64" t="str">
        <f>IF('Registrar bienes de inversión'!I37="","",'Registrar bienes de inversión'!I37)</f>
        <v/>
      </c>
      <c r="J37" s="72" t="str">
        <f>IF('Registrar bienes de inversión'!J37="","",'Registrar bienes de inversión'!J37)</f>
        <v/>
      </c>
      <c r="K37" s="72" t="str">
        <f>IF('Registrar bienes de inversión'!K37="","",'Registrar bienes de inversión'!K37)</f>
        <v/>
      </c>
      <c r="L37" s="60" t="str">
        <f>IF('Registrar bienes de inversión'!L37="","",VLOOKUP(CONCATENATE("METODO AMORTIZACION",'Registrar bienes de inversión'!L37),'CODIGO-LITERAL'!$C:$D,2,FALSE))</f>
        <v/>
      </c>
      <c r="M37" s="72" t="str">
        <f>IF('Registrar bienes de inversión'!M37="","",'Registrar bienes de inversión'!M37)</f>
        <v/>
      </c>
      <c r="N37" s="72" t="str">
        <f>IF('Registrar bienes de inversión'!N37="","",'Registrar bienes de inversión'!N37)</f>
        <v/>
      </c>
      <c r="O37" s="72" t="str">
        <f>IF('Registrar bienes de inversión'!O37="","",'Registrar bienes de inversión'!O37)</f>
        <v/>
      </c>
      <c r="P37" s="72" t="str">
        <f>IF('Registrar bienes de inversión'!P37="","",'Registrar bienes de inversión'!P37)</f>
        <v/>
      </c>
      <c r="Q37" s="72" t="str">
        <f>IF('Registrar bienes de inversión'!Q37="","",'Registrar bienes de inversión'!Q37)</f>
        <v/>
      </c>
      <c r="R37" s="64" t="str">
        <f>IF('Registrar bienes de inversión'!R37="","",'Registrar bienes de inversión'!R37)</f>
        <v/>
      </c>
      <c r="S37" s="60" t="str">
        <f>IF('Registrar bienes de inversión'!S37="","",'Registrar bienes de inversión'!S37)</f>
        <v/>
      </c>
      <c r="T37" s="60" t="str">
        <f>IF('Registrar bienes de inversión'!T37="","",'Registrar bienes de inversión'!T37)</f>
        <v/>
      </c>
      <c r="U37" s="60" t="str">
        <f>IF('Registrar bienes de inversión'!U37="","",'Registrar bienes de inversión'!U37)</f>
        <v/>
      </c>
      <c r="V37" s="60" t="str">
        <f>IF('Registrar bienes de inversión'!V37="","",'Registrar bienes de inversión'!V37)</f>
        <v/>
      </c>
      <c r="W37" s="60" t="str">
        <f>IF(OR('Registrar bienes de inversión'!W37="",LEFT('Registrar bienes de inversión'!W37,2)="01"),"",VLOOKUP(CONCATENATE("TIPO NIF",'Registrar bienes de inversión'!W37),'CODIGO-LITERAL'!$C:$D,2,FALSE))</f>
        <v/>
      </c>
      <c r="X37" s="60" t="str">
        <f>IF('Registrar bienes de inversión'!X37="","",'Registrar bienes de inversión'!X37)</f>
        <v/>
      </c>
      <c r="Y37" s="60" t="str">
        <f>IF('Registrar bienes de inversión'!Y37="","",'Registrar bienes de inversión'!Y37)</f>
        <v/>
      </c>
      <c r="Z37" s="60" t="str">
        <f>IF('Registrar bienes de inversión'!Z37="","",'Registrar bienes de inversión'!Z37)</f>
        <v/>
      </c>
      <c r="AA37" s="72" t="str">
        <f>IF('Registrar bienes de inversión'!AA37="","",ROUND('Registrar bienes de inversión'!AA37,2))</f>
        <v/>
      </c>
      <c r="AB37" s="72" t="str">
        <f>IF('Registrar bienes de inversión'!AB37="","",'Registrar bienes de inversión'!AB37)</f>
        <v/>
      </c>
      <c r="AC37" s="72" t="str">
        <f>IF('Registrar bienes de inversión'!AC37="","",ROUND('Registrar bienes de inversión'!AC37,2))</f>
        <v/>
      </c>
      <c r="AD37" s="72" t="str">
        <f>IF('Registrar bienes de inversión'!AD37="","",ROUND('Registrar bienes de inversión'!AD37,2))</f>
        <v/>
      </c>
      <c r="AE37" s="72" t="str">
        <f>IF('Registrar bienes de inversión'!AE37="","",ROUND('Registrar bienes de inversión'!AE37,2))</f>
        <v/>
      </c>
      <c r="AF37" s="72" t="str">
        <f>IF('Registrar bienes de inversión'!AF37="","",ROUND('Registrar bienes de inversión'!AF37,2))</f>
        <v/>
      </c>
      <c r="AG37" s="72" t="str">
        <f>IF('Registrar bienes de inversión'!AG37="","",ROUND('Registrar bienes de inversión'!AG37,2))</f>
        <v/>
      </c>
      <c r="AH37" s="64" t="str">
        <f>IF('Registrar bienes de inversión'!AH37="","",'Registrar bienes de inversión'!AH37)</f>
        <v/>
      </c>
      <c r="AI37" s="60" t="str">
        <f>IF('Registrar bienes de inversión'!AI37="","",VLOOKUP(CONCATENATE("CAUSA BAJA BIEN",'Registrar bienes de inversión'!AI37),'CODIGO-LITERAL'!$C:$D,2,FALSE))</f>
        <v/>
      </c>
      <c r="AJ37" s="60" t="str">
        <f>IF('Registrar bienes de inversión'!AJ37="","",'Registrar bienes de inversión'!AJ37)</f>
        <v/>
      </c>
      <c r="AK37" s="60" t="str">
        <f>IF('Registrar bienes de inversión'!AK37="","",'Registrar bienes de inversión'!AK37)</f>
        <v/>
      </c>
      <c r="AL37" s="60" t="str">
        <f>IF('Registrar bienes de inversión'!AL37="","",'Registrar bienes de inversión'!AL37)</f>
        <v/>
      </c>
      <c r="AM37" s="60" t="str">
        <f>IF('Registrar bienes de inversión'!AM37="","",'Registrar bienes de inversión'!AM37)</f>
        <v/>
      </c>
      <c r="AN37" s="60" t="str">
        <f>IF('Registrar bienes de inversión'!AN37="","",VLOOKUP(CONCATENATE("SITUACION",'Registrar bienes de inversión'!AN37),'CODIGO-LITERAL'!$C:$D,2,FALSE))</f>
        <v/>
      </c>
      <c r="AO37" s="60" t="str">
        <f>IF('Registrar bienes de inversión'!AO37="","",'Registrar bienes de inversión'!AO37)</f>
        <v/>
      </c>
      <c r="AP37" s="60" t="str">
        <f>IF('Registrar bienes de inversión'!AP37="","",'Registrar bienes de inversión'!AP37)</f>
        <v/>
      </c>
    </row>
    <row r="38" spans="1:42" x14ac:dyDescent="0.25">
      <c r="A38" s="71" t="str">
        <f>IF('Registrar bienes de inversión'!A38="","",'Registrar bienes de inversión'!A38)</f>
        <v/>
      </c>
      <c r="B38" s="60" t="str">
        <f>IF('Registrar bienes de inversión'!B38="","",'Registrar bienes de inversión'!B38)</f>
        <v/>
      </c>
      <c r="C38" s="60" t="str">
        <f>IF('Registrar bienes de inversión'!C38="","",VLOOKUP(CONCATENATE("ACTIVIDAD",'Registrar bienes de inversión'!C38),'CODIGO-LITERAL'!$C:$D,2,FALSE))</f>
        <v/>
      </c>
      <c r="D38" s="60" t="str">
        <f>IF(OR(C38="C",C38="D"),"",IF(ISERROR(VLOOKUP(CONCATENATE(C38,'Registrar bienes de inversión'!D38),'CODIGO-LITERAL'!$C:$D,2,FALSE)),"",VLOOKUP(CONCATENATE(C38,'Registrar bienes de inversión'!D38),'CODIGO-LITERAL'!$C:$D,2,FALSE)))</f>
        <v/>
      </c>
      <c r="E38" s="60" t="str">
        <f>IF('Registrar bienes de inversión'!E38="","",'Registrar bienes de inversión'!E38)</f>
        <v/>
      </c>
      <c r="F38" s="60" t="str">
        <f>IF('Registrar bienes de inversión'!F38="","",VLOOKUP(CONCATENATE("TIPO BIEN",'Registrar bienes de inversión'!F38),'CODIGO-LITERAL'!$C:$D,2,FALSE))</f>
        <v/>
      </c>
      <c r="G38" s="60" t="str">
        <f>IF('Registrar bienes de inversión'!G38="","",'Registrar bienes de inversión'!G38)</f>
        <v/>
      </c>
      <c r="H38" s="60" t="str">
        <f>IF('Registrar bienes de inversión'!H38="","",'Registrar bienes de inversión'!H38)</f>
        <v/>
      </c>
      <c r="I38" s="64" t="str">
        <f>IF('Registrar bienes de inversión'!I38="","",'Registrar bienes de inversión'!I38)</f>
        <v/>
      </c>
      <c r="J38" s="72" t="str">
        <f>IF('Registrar bienes de inversión'!J38="","",'Registrar bienes de inversión'!J38)</f>
        <v/>
      </c>
      <c r="K38" s="72" t="str">
        <f>IF('Registrar bienes de inversión'!K38="","",'Registrar bienes de inversión'!K38)</f>
        <v/>
      </c>
      <c r="L38" s="60" t="str">
        <f>IF('Registrar bienes de inversión'!L38="","",VLOOKUP(CONCATENATE("METODO AMORTIZACION",'Registrar bienes de inversión'!L38),'CODIGO-LITERAL'!$C:$D,2,FALSE))</f>
        <v/>
      </c>
      <c r="M38" s="72" t="str">
        <f>IF('Registrar bienes de inversión'!M38="","",'Registrar bienes de inversión'!M38)</f>
        <v/>
      </c>
      <c r="N38" s="72" t="str">
        <f>IF('Registrar bienes de inversión'!N38="","",'Registrar bienes de inversión'!N38)</f>
        <v/>
      </c>
      <c r="O38" s="72" t="str">
        <f>IF('Registrar bienes de inversión'!O38="","",'Registrar bienes de inversión'!O38)</f>
        <v/>
      </c>
      <c r="P38" s="72" t="str">
        <f>IF('Registrar bienes de inversión'!P38="","",'Registrar bienes de inversión'!P38)</f>
        <v/>
      </c>
      <c r="Q38" s="72" t="str">
        <f>IF('Registrar bienes de inversión'!Q38="","",'Registrar bienes de inversión'!Q38)</f>
        <v/>
      </c>
      <c r="R38" s="64" t="str">
        <f>IF('Registrar bienes de inversión'!R38="","",'Registrar bienes de inversión'!R38)</f>
        <v/>
      </c>
      <c r="S38" s="60" t="str">
        <f>IF('Registrar bienes de inversión'!S38="","",'Registrar bienes de inversión'!S38)</f>
        <v/>
      </c>
      <c r="T38" s="60" t="str">
        <f>IF('Registrar bienes de inversión'!T38="","",'Registrar bienes de inversión'!T38)</f>
        <v/>
      </c>
      <c r="U38" s="60" t="str">
        <f>IF('Registrar bienes de inversión'!U38="","",'Registrar bienes de inversión'!U38)</f>
        <v/>
      </c>
      <c r="V38" s="60" t="str">
        <f>IF('Registrar bienes de inversión'!V38="","",'Registrar bienes de inversión'!V38)</f>
        <v/>
      </c>
      <c r="W38" s="60" t="str">
        <f>IF(OR('Registrar bienes de inversión'!W38="",LEFT('Registrar bienes de inversión'!W38,2)="01"),"",VLOOKUP(CONCATENATE("TIPO NIF",'Registrar bienes de inversión'!W38),'CODIGO-LITERAL'!$C:$D,2,FALSE))</f>
        <v/>
      </c>
      <c r="X38" s="60" t="str">
        <f>IF('Registrar bienes de inversión'!X38="","",'Registrar bienes de inversión'!X38)</f>
        <v/>
      </c>
      <c r="Y38" s="60" t="str">
        <f>IF('Registrar bienes de inversión'!Y38="","",'Registrar bienes de inversión'!Y38)</f>
        <v/>
      </c>
      <c r="Z38" s="60" t="str">
        <f>IF('Registrar bienes de inversión'!Z38="","",'Registrar bienes de inversión'!Z38)</f>
        <v/>
      </c>
      <c r="AA38" s="72" t="str">
        <f>IF('Registrar bienes de inversión'!AA38="","",ROUND('Registrar bienes de inversión'!AA38,2))</f>
        <v/>
      </c>
      <c r="AB38" s="72" t="str">
        <f>IF('Registrar bienes de inversión'!AB38="","",'Registrar bienes de inversión'!AB38)</f>
        <v/>
      </c>
      <c r="AC38" s="72" t="str">
        <f>IF('Registrar bienes de inversión'!AC38="","",ROUND('Registrar bienes de inversión'!AC38,2))</f>
        <v/>
      </c>
      <c r="AD38" s="72" t="str">
        <f>IF('Registrar bienes de inversión'!AD38="","",ROUND('Registrar bienes de inversión'!AD38,2))</f>
        <v/>
      </c>
      <c r="AE38" s="72" t="str">
        <f>IF('Registrar bienes de inversión'!AE38="","",ROUND('Registrar bienes de inversión'!AE38,2))</f>
        <v/>
      </c>
      <c r="AF38" s="72" t="str">
        <f>IF('Registrar bienes de inversión'!AF38="","",ROUND('Registrar bienes de inversión'!AF38,2))</f>
        <v/>
      </c>
      <c r="AG38" s="72" t="str">
        <f>IF('Registrar bienes de inversión'!AG38="","",ROUND('Registrar bienes de inversión'!AG38,2))</f>
        <v/>
      </c>
      <c r="AH38" s="64" t="str">
        <f>IF('Registrar bienes de inversión'!AH38="","",'Registrar bienes de inversión'!AH38)</f>
        <v/>
      </c>
      <c r="AI38" s="60" t="str">
        <f>IF('Registrar bienes de inversión'!AI38="","",VLOOKUP(CONCATENATE("CAUSA BAJA BIEN",'Registrar bienes de inversión'!AI38),'CODIGO-LITERAL'!$C:$D,2,FALSE))</f>
        <v/>
      </c>
      <c r="AJ38" s="60" t="str">
        <f>IF('Registrar bienes de inversión'!AJ38="","",'Registrar bienes de inversión'!AJ38)</f>
        <v/>
      </c>
      <c r="AK38" s="60" t="str">
        <f>IF('Registrar bienes de inversión'!AK38="","",'Registrar bienes de inversión'!AK38)</f>
        <v/>
      </c>
      <c r="AL38" s="60" t="str">
        <f>IF('Registrar bienes de inversión'!AL38="","",'Registrar bienes de inversión'!AL38)</f>
        <v/>
      </c>
      <c r="AM38" s="60" t="str">
        <f>IF('Registrar bienes de inversión'!AM38="","",'Registrar bienes de inversión'!AM38)</f>
        <v/>
      </c>
      <c r="AN38" s="60" t="str">
        <f>IF('Registrar bienes de inversión'!AN38="","",VLOOKUP(CONCATENATE("SITUACION",'Registrar bienes de inversión'!AN38),'CODIGO-LITERAL'!$C:$D,2,FALSE))</f>
        <v/>
      </c>
      <c r="AO38" s="60" t="str">
        <f>IF('Registrar bienes de inversión'!AO38="","",'Registrar bienes de inversión'!AO38)</f>
        <v/>
      </c>
      <c r="AP38" s="60" t="str">
        <f>IF('Registrar bienes de inversión'!AP38="","",'Registrar bienes de inversión'!AP38)</f>
        <v/>
      </c>
    </row>
    <row r="39" spans="1:42" x14ac:dyDescent="0.25">
      <c r="A39" s="71" t="str">
        <f>IF('Registrar bienes de inversión'!A39="","",'Registrar bienes de inversión'!A39)</f>
        <v/>
      </c>
      <c r="B39" s="60" t="str">
        <f>IF('Registrar bienes de inversión'!B39="","",'Registrar bienes de inversión'!B39)</f>
        <v/>
      </c>
      <c r="C39" s="60" t="str">
        <f>IF('Registrar bienes de inversión'!C39="","",VLOOKUP(CONCATENATE("ACTIVIDAD",'Registrar bienes de inversión'!C39),'CODIGO-LITERAL'!$C:$D,2,FALSE))</f>
        <v/>
      </c>
      <c r="D39" s="60" t="str">
        <f>IF(OR(C39="C",C39="D"),"",IF(ISERROR(VLOOKUP(CONCATENATE(C39,'Registrar bienes de inversión'!D39),'CODIGO-LITERAL'!$C:$D,2,FALSE)),"",VLOOKUP(CONCATENATE(C39,'Registrar bienes de inversión'!D39),'CODIGO-LITERAL'!$C:$D,2,FALSE)))</f>
        <v/>
      </c>
      <c r="E39" s="60" t="str">
        <f>IF('Registrar bienes de inversión'!E39="","",'Registrar bienes de inversión'!E39)</f>
        <v/>
      </c>
      <c r="F39" s="60" t="str">
        <f>IF('Registrar bienes de inversión'!F39="","",VLOOKUP(CONCATENATE("TIPO BIEN",'Registrar bienes de inversión'!F39),'CODIGO-LITERAL'!$C:$D,2,FALSE))</f>
        <v/>
      </c>
      <c r="G39" s="60" t="str">
        <f>IF('Registrar bienes de inversión'!G39="","",'Registrar bienes de inversión'!G39)</f>
        <v/>
      </c>
      <c r="H39" s="60" t="str">
        <f>IF('Registrar bienes de inversión'!H39="","",'Registrar bienes de inversión'!H39)</f>
        <v/>
      </c>
      <c r="I39" s="64" t="str">
        <f>IF('Registrar bienes de inversión'!I39="","",'Registrar bienes de inversión'!I39)</f>
        <v/>
      </c>
      <c r="J39" s="72" t="str">
        <f>IF('Registrar bienes de inversión'!J39="","",'Registrar bienes de inversión'!J39)</f>
        <v/>
      </c>
      <c r="K39" s="72" t="str">
        <f>IF('Registrar bienes de inversión'!K39="","",'Registrar bienes de inversión'!K39)</f>
        <v/>
      </c>
      <c r="L39" s="60" t="str">
        <f>IF('Registrar bienes de inversión'!L39="","",VLOOKUP(CONCATENATE("METODO AMORTIZACION",'Registrar bienes de inversión'!L39),'CODIGO-LITERAL'!$C:$D,2,FALSE))</f>
        <v/>
      </c>
      <c r="M39" s="72" t="str">
        <f>IF('Registrar bienes de inversión'!M39="","",'Registrar bienes de inversión'!M39)</f>
        <v/>
      </c>
      <c r="N39" s="72" t="str">
        <f>IF('Registrar bienes de inversión'!N39="","",'Registrar bienes de inversión'!N39)</f>
        <v/>
      </c>
      <c r="O39" s="72" t="str">
        <f>IF('Registrar bienes de inversión'!O39="","",'Registrar bienes de inversión'!O39)</f>
        <v/>
      </c>
      <c r="P39" s="72" t="str">
        <f>IF('Registrar bienes de inversión'!P39="","",'Registrar bienes de inversión'!P39)</f>
        <v/>
      </c>
      <c r="Q39" s="72" t="str">
        <f>IF('Registrar bienes de inversión'!Q39="","",'Registrar bienes de inversión'!Q39)</f>
        <v/>
      </c>
      <c r="R39" s="64" t="str">
        <f>IF('Registrar bienes de inversión'!R39="","",'Registrar bienes de inversión'!R39)</f>
        <v/>
      </c>
      <c r="S39" s="60" t="str">
        <f>IF('Registrar bienes de inversión'!S39="","",'Registrar bienes de inversión'!S39)</f>
        <v/>
      </c>
      <c r="T39" s="60" t="str">
        <f>IF('Registrar bienes de inversión'!T39="","",'Registrar bienes de inversión'!T39)</f>
        <v/>
      </c>
      <c r="U39" s="60" t="str">
        <f>IF('Registrar bienes de inversión'!U39="","",'Registrar bienes de inversión'!U39)</f>
        <v/>
      </c>
      <c r="V39" s="60" t="str">
        <f>IF('Registrar bienes de inversión'!V39="","",'Registrar bienes de inversión'!V39)</f>
        <v/>
      </c>
      <c r="W39" s="60" t="str">
        <f>IF(OR('Registrar bienes de inversión'!W39="",LEFT('Registrar bienes de inversión'!W39,2)="01"),"",VLOOKUP(CONCATENATE("TIPO NIF",'Registrar bienes de inversión'!W39),'CODIGO-LITERAL'!$C:$D,2,FALSE))</f>
        <v/>
      </c>
      <c r="X39" s="60" t="str">
        <f>IF('Registrar bienes de inversión'!X39="","",'Registrar bienes de inversión'!X39)</f>
        <v/>
      </c>
      <c r="Y39" s="60" t="str">
        <f>IF('Registrar bienes de inversión'!Y39="","",'Registrar bienes de inversión'!Y39)</f>
        <v/>
      </c>
      <c r="Z39" s="60" t="str">
        <f>IF('Registrar bienes de inversión'!Z39="","",'Registrar bienes de inversión'!Z39)</f>
        <v/>
      </c>
      <c r="AA39" s="72" t="str">
        <f>IF('Registrar bienes de inversión'!AA39="","",ROUND('Registrar bienes de inversión'!AA39,2))</f>
        <v/>
      </c>
      <c r="AB39" s="72" t="str">
        <f>IF('Registrar bienes de inversión'!AB39="","",'Registrar bienes de inversión'!AB39)</f>
        <v/>
      </c>
      <c r="AC39" s="72" t="str">
        <f>IF('Registrar bienes de inversión'!AC39="","",ROUND('Registrar bienes de inversión'!AC39,2))</f>
        <v/>
      </c>
      <c r="AD39" s="72" t="str">
        <f>IF('Registrar bienes de inversión'!AD39="","",ROUND('Registrar bienes de inversión'!AD39,2))</f>
        <v/>
      </c>
      <c r="AE39" s="72" t="str">
        <f>IF('Registrar bienes de inversión'!AE39="","",ROUND('Registrar bienes de inversión'!AE39,2))</f>
        <v/>
      </c>
      <c r="AF39" s="72" t="str">
        <f>IF('Registrar bienes de inversión'!AF39="","",ROUND('Registrar bienes de inversión'!AF39,2))</f>
        <v/>
      </c>
      <c r="AG39" s="72" t="str">
        <f>IF('Registrar bienes de inversión'!AG39="","",ROUND('Registrar bienes de inversión'!AG39,2))</f>
        <v/>
      </c>
      <c r="AH39" s="64" t="str">
        <f>IF('Registrar bienes de inversión'!AH39="","",'Registrar bienes de inversión'!AH39)</f>
        <v/>
      </c>
      <c r="AI39" s="60" t="str">
        <f>IF('Registrar bienes de inversión'!AI39="","",VLOOKUP(CONCATENATE("CAUSA BAJA BIEN",'Registrar bienes de inversión'!AI39),'CODIGO-LITERAL'!$C:$D,2,FALSE))</f>
        <v/>
      </c>
      <c r="AJ39" s="60" t="str">
        <f>IF('Registrar bienes de inversión'!AJ39="","",'Registrar bienes de inversión'!AJ39)</f>
        <v/>
      </c>
      <c r="AK39" s="60" t="str">
        <f>IF('Registrar bienes de inversión'!AK39="","",'Registrar bienes de inversión'!AK39)</f>
        <v/>
      </c>
      <c r="AL39" s="60" t="str">
        <f>IF('Registrar bienes de inversión'!AL39="","",'Registrar bienes de inversión'!AL39)</f>
        <v/>
      </c>
      <c r="AM39" s="60" t="str">
        <f>IF('Registrar bienes de inversión'!AM39="","",'Registrar bienes de inversión'!AM39)</f>
        <v/>
      </c>
      <c r="AN39" s="60" t="str">
        <f>IF('Registrar bienes de inversión'!AN39="","",VLOOKUP(CONCATENATE("SITUACION",'Registrar bienes de inversión'!AN39),'CODIGO-LITERAL'!$C:$D,2,FALSE))</f>
        <v/>
      </c>
      <c r="AO39" s="60" t="str">
        <f>IF('Registrar bienes de inversión'!AO39="","",'Registrar bienes de inversión'!AO39)</f>
        <v/>
      </c>
      <c r="AP39" s="60" t="str">
        <f>IF('Registrar bienes de inversión'!AP39="","",'Registrar bienes de inversión'!AP39)</f>
        <v/>
      </c>
    </row>
    <row r="40" spans="1:42" x14ac:dyDescent="0.25">
      <c r="A40" s="71" t="str">
        <f>IF('Registrar bienes de inversión'!A40="","",'Registrar bienes de inversión'!A40)</f>
        <v/>
      </c>
      <c r="B40" s="60" t="str">
        <f>IF('Registrar bienes de inversión'!B40="","",'Registrar bienes de inversión'!B40)</f>
        <v/>
      </c>
      <c r="C40" s="60" t="str">
        <f>IF('Registrar bienes de inversión'!C40="","",VLOOKUP(CONCATENATE("ACTIVIDAD",'Registrar bienes de inversión'!C40),'CODIGO-LITERAL'!$C:$D,2,FALSE))</f>
        <v/>
      </c>
      <c r="D40" s="60" t="str">
        <f>IF(OR(C40="C",C40="D"),"",IF(ISERROR(VLOOKUP(CONCATENATE(C40,'Registrar bienes de inversión'!D40),'CODIGO-LITERAL'!$C:$D,2,FALSE)),"",VLOOKUP(CONCATENATE(C40,'Registrar bienes de inversión'!D40),'CODIGO-LITERAL'!$C:$D,2,FALSE)))</f>
        <v/>
      </c>
      <c r="E40" s="60" t="str">
        <f>IF('Registrar bienes de inversión'!E40="","",'Registrar bienes de inversión'!E40)</f>
        <v/>
      </c>
      <c r="F40" s="60" t="str">
        <f>IF('Registrar bienes de inversión'!F40="","",VLOOKUP(CONCATENATE("TIPO BIEN",'Registrar bienes de inversión'!F40),'CODIGO-LITERAL'!$C:$D,2,FALSE))</f>
        <v/>
      </c>
      <c r="G40" s="60" t="str">
        <f>IF('Registrar bienes de inversión'!G40="","",'Registrar bienes de inversión'!G40)</f>
        <v/>
      </c>
      <c r="H40" s="60" t="str">
        <f>IF('Registrar bienes de inversión'!H40="","",'Registrar bienes de inversión'!H40)</f>
        <v/>
      </c>
      <c r="I40" s="64" t="str">
        <f>IF('Registrar bienes de inversión'!I40="","",'Registrar bienes de inversión'!I40)</f>
        <v/>
      </c>
      <c r="J40" s="72" t="str">
        <f>IF('Registrar bienes de inversión'!J40="","",'Registrar bienes de inversión'!J40)</f>
        <v/>
      </c>
      <c r="K40" s="72" t="str">
        <f>IF('Registrar bienes de inversión'!K40="","",'Registrar bienes de inversión'!K40)</f>
        <v/>
      </c>
      <c r="L40" s="60" t="str">
        <f>IF('Registrar bienes de inversión'!L40="","",VLOOKUP(CONCATENATE("METODO AMORTIZACION",'Registrar bienes de inversión'!L40),'CODIGO-LITERAL'!$C:$D,2,FALSE))</f>
        <v/>
      </c>
      <c r="M40" s="72" t="str">
        <f>IF('Registrar bienes de inversión'!M40="","",'Registrar bienes de inversión'!M40)</f>
        <v/>
      </c>
      <c r="N40" s="72" t="str">
        <f>IF('Registrar bienes de inversión'!N40="","",'Registrar bienes de inversión'!N40)</f>
        <v/>
      </c>
      <c r="O40" s="72" t="str">
        <f>IF('Registrar bienes de inversión'!O40="","",'Registrar bienes de inversión'!O40)</f>
        <v/>
      </c>
      <c r="P40" s="72" t="str">
        <f>IF('Registrar bienes de inversión'!P40="","",'Registrar bienes de inversión'!P40)</f>
        <v/>
      </c>
      <c r="Q40" s="72" t="str">
        <f>IF('Registrar bienes de inversión'!Q40="","",'Registrar bienes de inversión'!Q40)</f>
        <v/>
      </c>
      <c r="R40" s="64" t="str">
        <f>IF('Registrar bienes de inversión'!R40="","",'Registrar bienes de inversión'!R40)</f>
        <v/>
      </c>
      <c r="S40" s="60" t="str">
        <f>IF('Registrar bienes de inversión'!S40="","",'Registrar bienes de inversión'!S40)</f>
        <v/>
      </c>
      <c r="T40" s="60" t="str">
        <f>IF('Registrar bienes de inversión'!T40="","",'Registrar bienes de inversión'!T40)</f>
        <v/>
      </c>
      <c r="U40" s="60" t="str">
        <f>IF('Registrar bienes de inversión'!U40="","",'Registrar bienes de inversión'!U40)</f>
        <v/>
      </c>
      <c r="V40" s="60" t="str">
        <f>IF('Registrar bienes de inversión'!V40="","",'Registrar bienes de inversión'!V40)</f>
        <v/>
      </c>
      <c r="W40" s="60" t="str">
        <f>IF(OR('Registrar bienes de inversión'!W40="",LEFT('Registrar bienes de inversión'!W40,2)="01"),"",VLOOKUP(CONCATENATE("TIPO NIF",'Registrar bienes de inversión'!W40),'CODIGO-LITERAL'!$C:$D,2,FALSE))</f>
        <v/>
      </c>
      <c r="X40" s="60" t="str">
        <f>IF('Registrar bienes de inversión'!X40="","",'Registrar bienes de inversión'!X40)</f>
        <v/>
      </c>
      <c r="Y40" s="60" t="str">
        <f>IF('Registrar bienes de inversión'!Y40="","",'Registrar bienes de inversión'!Y40)</f>
        <v/>
      </c>
      <c r="Z40" s="60" t="str">
        <f>IF('Registrar bienes de inversión'!Z40="","",'Registrar bienes de inversión'!Z40)</f>
        <v/>
      </c>
      <c r="AA40" s="72" t="str">
        <f>IF('Registrar bienes de inversión'!AA40="","",ROUND('Registrar bienes de inversión'!AA40,2))</f>
        <v/>
      </c>
      <c r="AB40" s="72" t="str">
        <f>IF('Registrar bienes de inversión'!AB40="","",'Registrar bienes de inversión'!AB40)</f>
        <v/>
      </c>
      <c r="AC40" s="72" t="str">
        <f>IF('Registrar bienes de inversión'!AC40="","",ROUND('Registrar bienes de inversión'!AC40,2))</f>
        <v/>
      </c>
      <c r="AD40" s="72" t="str">
        <f>IF('Registrar bienes de inversión'!AD40="","",ROUND('Registrar bienes de inversión'!AD40,2))</f>
        <v/>
      </c>
      <c r="AE40" s="72" t="str">
        <f>IF('Registrar bienes de inversión'!AE40="","",ROUND('Registrar bienes de inversión'!AE40,2))</f>
        <v/>
      </c>
      <c r="AF40" s="72" t="str">
        <f>IF('Registrar bienes de inversión'!AF40="","",ROUND('Registrar bienes de inversión'!AF40,2))</f>
        <v/>
      </c>
      <c r="AG40" s="72" t="str">
        <f>IF('Registrar bienes de inversión'!AG40="","",ROUND('Registrar bienes de inversión'!AG40,2))</f>
        <v/>
      </c>
      <c r="AH40" s="64" t="str">
        <f>IF('Registrar bienes de inversión'!AH40="","",'Registrar bienes de inversión'!AH40)</f>
        <v/>
      </c>
      <c r="AI40" s="60" t="str">
        <f>IF('Registrar bienes de inversión'!AI40="","",VLOOKUP(CONCATENATE("CAUSA BAJA BIEN",'Registrar bienes de inversión'!AI40),'CODIGO-LITERAL'!$C:$D,2,FALSE))</f>
        <v/>
      </c>
      <c r="AJ40" s="60" t="str">
        <f>IF('Registrar bienes de inversión'!AJ40="","",'Registrar bienes de inversión'!AJ40)</f>
        <v/>
      </c>
      <c r="AK40" s="60" t="str">
        <f>IF('Registrar bienes de inversión'!AK40="","",'Registrar bienes de inversión'!AK40)</f>
        <v/>
      </c>
      <c r="AL40" s="60" t="str">
        <f>IF('Registrar bienes de inversión'!AL40="","",'Registrar bienes de inversión'!AL40)</f>
        <v/>
      </c>
      <c r="AM40" s="60" t="str">
        <f>IF('Registrar bienes de inversión'!AM40="","",'Registrar bienes de inversión'!AM40)</f>
        <v/>
      </c>
      <c r="AN40" s="60" t="str">
        <f>IF('Registrar bienes de inversión'!AN40="","",VLOOKUP(CONCATENATE("SITUACION",'Registrar bienes de inversión'!AN40),'CODIGO-LITERAL'!$C:$D,2,FALSE))</f>
        <v/>
      </c>
      <c r="AO40" s="60" t="str">
        <f>IF('Registrar bienes de inversión'!AO40="","",'Registrar bienes de inversión'!AO40)</f>
        <v/>
      </c>
      <c r="AP40" s="60" t="str">
        <f>IF('Registrar bienes de inversión'!AP40="","",'Registrar bienes de inversión'!AP40)</f>
        <v/>
      </c>
    </row>
    <row r="41" spans="1:42" x14ac:dyDescent="0.25">
      <c r="A41" s="71" t="str">
        <f>IF('Registrar bienes de inversión'!A41="","",'Registrar bienes de inversión'!A41)</f>
        <v/>
      </c>
      <c r="B41" s="60" t="str">
        <f>IF('Registrar bienes de inversión'!B41="","",'Registrar bienes de inversión'!B41)</f>
        <v/>
      </c>
      <c r="C41" s="60" t="str">
        <f>IF('Registrar bienes de inversión'!C41="","",VLOOKUP(CONCATENATE("ACTIVIDAD",'Registrar bienes de inversión'!C41),'CODIGO-LITERAL'!$C:$D,2,FALSE))</f>
        <v/>
      </c>
      <c r="D41" s="60" t="str">
        <f>IF(OR(C41="C",C41="D"),"",IF(ISERROR(VLOOKUP(CONCATENATE(C41,'Registrar bienes de inversión'!D41),'CODIGO-LITERAL'!$C:$D,2,FALSE)),"",VLOOKUP(CONCATENATE(C41,'Registrar bienes de inversión'!D41),'CODIGO-LITERAL'!$C:$D,2,FALSE)))</f>
        <v/>
      </c>
      <c r="E41" s="60" t="str">
        <f>IF('Registrar bienes de inversión'!E41="","",'Registrar bienes de inversión'!E41)</f>
        <v/>
      </c>
      <c r="F41" s="60" t="str">
        <f>IF('Registrar bienes de inversión'!F41="","",VLOOKUP(CONCATENATE("TIPO BIEN",'Registrar bienes de inversión'!F41),'CODIGO-LITERAL'!$C:$D,2,FALSE))</f>
        <v/>
      </c>
      <c r="G41" s="60" t="str">
        <f>IF('Registrar bienes de inversión'!G41="","",'Registrar bienes de inversión'!G41)</f>
        <v/>
      </c>
      <c r="H41" s="60" t="str">
        <f>IF('Registrar bienes de inversión'!H41="","",'Registrar bienes de inversión'!H41)</f>
        <v/>
      </c>
      <c r="I41" s="64" t="str">
        <f>IF('Registrar bienes de inversión'!I41="","",'Registrar bienes de inversión'!I41)</f>
        <v/>
      </c>
      <c r="J41" s="72" t="str">
        <f>IF('Registrar bienes de inversión'!J41="","",'Registrar bienes de inversión'!J41)</f>
        <v/>
      </c>
      <c r="K41" s="72" t="str">
        <f>IF('Registrar bienes de inversión'!K41="","",'Registrar bienes de inversión'!K41)</f>
        <v/>
      </c>
      <c r="L41" s="60" t="str">
        <f>IF('Registrar bienes de inversión'!L41="","",VLOOKUP(CONCATENATE("METODO AMORTIZACION",'Registrar bienes de inversión'!L41),'CODIGO-LITERAL'!$C:$D,2,FALSE))</f>
        <v/>
      </c>
      <c r="M41" s="72" t="str">
        <f>IF('Registrar bienes de inversión'!M41="","",'Registrar bienes de inversión'!M41)</f>
        <v/>
      </c>
      <c r="N41" s="72" t="str">
        <f>IF('Registrar bienes de inversión'!N41="","",'Registrar bienes de inversión'!N41)</f>
        <v/>
      </c>
      <c r="O41" s="72" t="str">
        <f>IF('Registrar bienes de inversión'!O41="","",'Registrar bienes de inversión'!O41)</f>
        <v/>
      </c>
      <c r="P41" s="72" t="str">
        <f>IF('Registrar bienes de inversión'!P41="","",'Registrar bienes de inversión'!P41)</f>
        <v/>
      </c>
      <c r="Q41" s="72" t="str">
        <f>IF('Registrar bienes de inversión'!Q41="","",'Registrar bienes de inversión'!Q41)</f>
        <v/>
      </c>
      <c r="R41" s="64" t="str">
        <f>IF('Registrar bienes de inversión'!R41="","",'Registrar bienes de inversión'!R41)</f>
        <v/>
      </c>
      <c r="S41" s="60" t="str">
        <f>IF('Registrar bienes de inversión'!S41="","",'Registrar bienes de inversión'!S41)</f>
        <v/>
      </c>
      <c r="T41" s="60" t="str">
        <f>IF('Registrar bienes de inversión'!T41="","",'Registrar bienes de inversión'!T41)</f>
        <v/>
      </c>
      <c r="U41" s="60" t="str">
        <f>IF('Registrar bienes de inversión'!U41="","",'Registrar bienes de inversión'!U41)</f>
        <v/>
      </c>
      <c r="V41" s="60" t="str">
        <f>IF('Registrar bienes de inversión'!V41="","",'Registrar bienes de inversión'!V41)</f>
        <v/>
      </c>
      <c r="W41" s="60" t="str">
        <f>IF(OR('Registrar bienes de inversión'!W41="",LEFT('Registrar bienes de inversión'!W41,2)="01"),"",VLOOKUP(CONCATENATE("TIPO NIF",'Registrar bienes de inversión'!W41),'CODIGO-LITERAL'!$C:$D,2,FALSE))</f>
        <v/>
      </c>
      <c r="X41" s="60" t="str">
        <f>IF('Registrar bienes de inversión'!X41="","",'Registrar bienes de inversión'!X41)</f>
        <v/>
      </c>
      <c r="Y41" s="60" t="str">
        <f>IF('Registrar bienes de inversión'!Y41="","",'Registrar bienes de inversión'!Y41)</f>
        <v/>
      </c>
      <c r="Z41" s="60" t="str">
        <f>IF('Registrar bienes de inversión'!Z41="","",'Registrar bienes de inversión'!Z41)</f>
        <v/>
      </c>
      <c r="AA41" s="72" t="str">
        <f>IF('Registrar bienes de inversión'!AA41="","",ROUND('Registrar bienes de inversión'!AA41,2))</f>
        <v/>
      </c>
      <c r="AB41" s="72" t="str">
        <f>IF('Registrar bienes de inversión'!AB41="","",'Registrar bienes de inversión'!AB41)</f>
        <v/>
      </c>
      <c r="AC41" s="72" t="str">
        <f>IF('Registrar bienes de inversión'!AC41="","",ROUND('Registrar bienes de inversión'!AC41,2))</f>
        <v/>
      </c>
      <c r="AD41" s="72" t="str">
        <f>IF('Registrar bienes de inversión'!AD41="","",ROUND('Registrar bienes de inversión'!AD41,2))</f>
        <v/>
      </c>
      <c r="AE41" s="72" t="str">
        <f>IF('Registrar bienes de inversión'!AE41="","",ROUND('Registrar bienes de inversión'!AE41,2))</f>
        <v/>
      </c>
      <c r="AF41" s="72" t="str">
        <f>IF('Registrar bienes de inversión'!AF41="","",ROUND('Registrar bienes de inversión'!AF41,2))</f>
        <v/>
      </c>
      <c r="AG41" s="72" t="str">
        <f>IF('Registrar bienes de inversión'!AG41="","",ROUND('Registrar bienes de inversión'!AG41,2))</f>
        <v/>
      </c>
      <c r="AH41" s="64" t="str">
        <f>IF('Registrar bienes de inversión'!AH41="","",'Registrar bienes de inversión'!AH41)</f>
        <v/>
      </c>
      <c r="AI41" s="60" t="str">
        <f>IF('Registrar bienes de inversión'!AI41="","",VLOOKUP(CONCATENATE("CAUSA BAJA BIEN",'Registrar bienes de inversión'!AI41),'CODIGO-LITERAL'!$C:$D,2,FALSE))</f>
        <v/>
      </c>
      <c r="AJ41" s="60" t="str">
        <f>IF('Registrar bienes de inversión'!AJ41="","",'Registrar bienes de inversión'!AJ41)</f>
        <v/>
      </c>
      <c r="AK41" s="60" t="str">
        <f>IF('Registrar bienes de inversión'!AK41="","",'Registrar bienes de inversión'!AK41)</f>
        <v/>
      </c>
      <c r="AL41" s="60" t="str">
        <f>IF('Registrar bienes de inversión'!AL41="","",'Registrar bienes de inversión'!AL41)</f>
        <v/>
      </c>
      <c r="AM41" s="60" t="str">
        <f>IF('Registrar bienes de inversión'!AM41="","",'Registrar bienes de inversión'!AM41)</f>
        <v/>
      </c>
      <c r="AN41" s="60" t="str">
        <f>IF('Registrar bienes de inversión'!AN41="","",VLOOKUP(CONCATENATE("SITUACION",'Registrar bienes de inversión'!AN41),'CODIGO-LITERAL'!$C:$D,2,FALSE))</f>
        <v/>
      </c>
      <c r="AO41" s="60" t="str">
        <f>IF('Registrar bienes de inversión'!AO41="","",'Registrar bienes de inversión'!AO41)</f>
        <v/>
      </c>
      <c r="AP41" s="60" t="str">
        <f>IF('Registrar bienes de inversión'!AP41="","",'Registrar bienes de inversión'!AP41)</f>
        <v/>
      </c>
    </row>
    <row r="42" spans="1:42" x14ac:dyDescent="0.25">
      <c r="A42" s="71" t="str">
        <f>IF('Registrar bienes de inversión'!A42="","",'Registrar bienes de inversión'!A42)</f>
        <v/>
      </c>
      <c r="B42" s="60" t="str">
        <f>IF('Registrar bienes de inversión'!B42="","",'Registrar bienes de inversión'!B42)</f>
        <v/>
      </c>
      <c r="C42" s="60" t="str">
        <f>IF('Registrar bienes de inversión'!C42="","",VLOOKUP(CONCATENATE("ACTIVIDAD",'Registrar bienes de inversión'!C42),'CODIGO-LITERAL'!$C:$D,2,FALSE))</f>
        <v/>
      </c>
      <c r="D42" s="60" t="str">
        <f>IF(OR(C42="C",C42="D"),"",IF(ISERROR(VLOOKUP(CONCATENATE(C42,'Registrar bienes de inversión'!D42),'CODIGO-LITERAL'!$C:$D,2,FALSE)),"",VLOOKUP(CONCATENATE(C42,'Registrar bienes de inversión'!D42),'CODIGO-LITERAL'!$C:$D,2,FALSE)))</f>
        <v/>
      </c>
      <c r="E42" s="60" t="str">
        <f>IF('Registrar bienes de inversión'!E42="","",'Registrar bienes de inversión'!E42)</f>
        <v/>
      </c>
      <c r="F42" s="60" t="str">
        <f>IF('Registrar bienes de inversión'!F42="","",VLOOKUP(CONCATENATE("TIPO BIEN",'Registrar bienes de inversión'!F42),'CODIGO-LITERAL'!$C:$D,2,FALSE))</f>
        <v/>
      </c>
      <c r="G42" s="60" t="str">
        <f>IF('Registrar bienes de inversión'!G42="","",'Registrar bienes de inversión'!G42)</f>
        <v/>
      </c>
      <c r="H42" s="60" t="str">
        <f>IF('Registrar bienes de inversión'!H42="","",'Registrar bienes de inversión'!H42)</f>
        <v/>
      </c>
      <c r="I42" s="64" t="str">
        <f>IF('Registrar bienes de inversión'!I42="","",'Registrar bienes de inversión'!I42)</f>
        <v/>
      </c>
      <c r="J42" s="72" t="str">
        <f>IF('Registrar bienes de inversión'!J42="","",'Registrar bienes de inversión'!J42)</f>
        <v/>
      </c>
      <c r="K42" s="72" t="str">
        <f>IF('Registrar bienes de inversión'!K42="","",'Registrar bienes de inversión'!K42)</f>
        <v/>
      </c>
      <c r="L42" s="60" t="str">
        <f>IF('Registrar bienes de inversión'!L42="","",VLOOKUP(CONCATENATE("METODO AMORTIZACION",'Registrar bienes de inversión'!L42),'CODIGO-LITERAL'!$C:$D,2,FALSE))</f>
        <v/>
      </c>
      <c r="M42" s="72" t="str">
        <f>IF('Registrar bienes de inversión'!M42="","",'Registrar bienes de inversión'!M42)</f>
        <v/>
      </c>
      <c r="N42" s="72" t="str">
        <f>IF('Registrar bienes de inversión'!N42="","",'Registrar bienes de inversión'!N42)</f>
        <v/>
      </c>
      <c r="O42" s="72" t="str">
        <f>IF('Registrar bienes de inversión'!O42="","",'Registrar bienes de inversión'!O42)</f>
        <v/>
      </c>
      <c r="P42" s="72" t="str">
        <f>IF('Registrar bienes de inversión'!P42="","",'Registrar bienes de inversión'!P42)</f>
        <v/>
      </c>
      <c r="Q42" s="72" t="str">
        <f>IF('Registrar bienes de inversión'!Q42="","",'Registrar bienes de inversión'!Q42)</f>
        <v/>
      </c>
      <c r="R42" s="64" t="str">
        <f>IF('Registrar bienes de inversión'!R42="","",'Registrar bienes de inversión'!R42)</f>
        <v/>
      </c>
      <c r="S42" s="60" t="str">
        <f>IF('Registrar bienes de inversión'!S42="","",'Registrar bienes de inversión'!S42)</f>
        <v/>
      </c>
      <c r="T42" s="60" t="str">
        <f>IF('Registrar bienes de inversión'!T42="","",'Registrar bienes de inversión'!T42)</f>
        <v/>
      </c>
      <c r="U42" s="60" t="str">
        <f>IF('Registrar bienes de inversión'!U42="","",'Registrar bienes de inversión'!U42)</f>
        <v/>
      </c>
      <c r="V42" s="60" t="str">
        <f>IF('Registrar bienes de inversión'!V42="","",'Registrar bienes de inversión'!V42)</f>
        <v/>
      </c>
      <c r="W42" s="60" t="str">
        <f>IF(OR('Registrar bienes de inversión'!W42="",LEFT('Registrar bienes de inversión'!W42,2)="01"),"",VLOOKUP(CONCATENATE("TIPO NIF",'Registrar bienes de inversión'!W42),'CODIGO-LITERAL'!$C:$D,2,FALSE))</f>
        <v/>
      </c>
      <c r="X42" s="60" t="str">
        <f>IF('Registrar bienes de inversión'!X42="","",'Registrar bienes de inversión'!X42)</f>
        <v/>
      </c>
      <c r="Y42" s="60" t="str">
        <f>IF('Registrar bienes de inversión'!Y42="","",'Registrar bienes de inversión'!Y42)</f>
        <v/>
      </c>
      <c r="Z42" s="60" t="str">
        <f>IF('Registrar bienes de inversión'!Z42="","",'Registrar bienes de inversión'!Z42)</f>
        <v/>
      </c>
      <c r="AA42" s="72" t="str">
        <f>IF('Registrar bienes de inversión'!AA42="","",ROUND('Registrar bienes de inversión'!AA42,2))</f>
        <v/>
      </c>
      <c r="AB42" s="72" t="str">
        <f>IF('Registrar bienes de inversión'!AB42="","",'Registrar bienes de inversión'!AB42)</f>
        <v/>
      </c>
      <c r="AC42" s="72" t="str">
        <f>IF('Registrar bienes de inversión'!AC42="","",ROUND('Registrar bienes de inversión'!AC42,2))</f>
        <v/>
      </c>
      <c r="AD42" s="72" t="str">
        <f>IF('Registrar bienes de inversión'!AD42="","",ROUND('Registrar bienes de inversión'!AD42,2))</f>
        <v/>
      </c>
      <c r="AE42" s="72" t="str">
        <f>IF('Registrar bienes de inversión'!AE42="","",ROUND('Registrar bienes de inversión'!AE42,2))</f>
        <v/>
      </c>
      <c r="AF42" s="72" t="str">
        <f>IF('Registrar bienes de inversión'!AF42="","",ROUND('Registrar bienes de inversión'!AF42,2))</f>
        <v/>
      </c>
      <c r="AG42" s="72" t="str">
        <f>IF('Registrar bienes de inversión'!AG42="","",ROUND('Registrar bienes de inversión'!AG42,2))</f>
        <v/>
      </c>
      <c r="AH42" s="64" t="str">
        <f>IF('Registrar bienes de inversión'!AH42="","",'Registrar bienes de inversión'!AH42)</f>
        <v/>
      </c>
      <c r="AI42" s="60" t="str">
        <f>IF('Registrar bienes de inversión'!AI42="","",VLOOKUP(CONCATENATE("CAUSA BAJA BIEN",'Registrar bienes de inversión'!AI42),'CODIGO-LITERAL'!$C:$D,2,FALSE))</f>
        <v/>
      </c>
      <c r="AJ42" s="60" t="str">
        <f>IF('Registrar bienes de inversión'!AJ42="","",'Registrar bienes de inversión'!AJ42)</f>
        <v/>
      </c>
      <c r="AK42" s="60" t="str">
        <f>IF('Registrar bienes de inversión'!AK42="","",'Registrar bienes de inversión'!AK42)</f>
        <v/>
      </c>
      <c r="AL42" s="60" t="str">
        <f>IF('Registrar bienes de inversión'!AL42="","",'Registrar bienes de inversión'!AL42)</f>
        <v/>
      </c>
      <c r="AM42" s="60" t="str">
        <f>IF('Registrar bienes de inversión'!AM42="","",'Registrar bienes de inversión'!AM42)</f>
        <v/>
      </c>
      <c r="AN42" s="60" t="str">
        <f>IF('Registrar bienes de inversión'!AN42="","",VLOOKUP(CONCATENATE("SITUACION",'Registrar bienes de inversión'!AN42),'CODIGO-LITERAL'!$C:$D,2,FALSE))</f>
        <v/>
      </c>
      <c r="AO42" s="60" t="str">
        <f>IF('Registrar bienes de inversión'!AO42="","",'Registrar bienes de inversión'!AO42)</f>
        <v/>
      </c>
      <c r="AP42" s="60" t="str">
        <f>IF('Registrar bienes de inversión'!AP42="","",'Registrar bienes de inversión'!AP42)</f>
        <v/>
      </c>
    </row>
    <row r="43" spans="1:42" x14ac:dyDescent="0.25">
      <c r="A43" s="71" t="str">
        <f>IF('Registrar bienes de inversión'!A43="","",'Registrar bienes de inversión'!A43)</f>
        <v/>
      </c>
      <c r="B43" s="60" t="str">
        <f>IF('Registrar bienes de inversión'!B43="","",'Registrar bienes de inversión'!B43)</f>
        <v/>
      </c>
      <c r="C43" s="60" t="str">
        <f>IF('Registrar bienes de inversión'!C43="","",VLOOKUP(CONCATENATE("ACTIVIDAD",'Registrar bienes de inversión'!C43),'CODIGO-LITERAL'!$C:$D,2,FALSE))</f>
        <v/>
      </c>
      <c r="D43" s="60" t="str">
        <f>IF(OR(C43="C",C43="D"),"",IF(ISERROR(VLOOKUP(CONCATENATE(C43,'Registrar bienes de inversión'!D43),'CODIGO-LITERAL'!$C:$D,2,FALSE)),"",VLOOKUP(CONCATENATE(C43,'Registrar bienes de inversión'!D43),'CODIGO-LITERAL'!$C:$D,2,FALSE)))</f>
        <v/>
      </c>
      <c r="E43" s="60" t="str">
        <f>IF('Registrar bienes de inversión'!E43="","",'Registrar bienes de inversión'!E43)</f>
        <v/>
      </c>
      <c r="F43" s="60" t="str">
        <f>IF('Registrar bienes de inversión'!F43="","",VLOOKUP(CONCATENATE("TIPO BIEN",'Registrar bienes de inversión'!F43),'CODIGO-LITERAL'!$C:$D,2,FALSE))</f>
        <v/>
      </c>
      <c r="G43" s="60" t="str">
        <f>IF('Registrar bienes de inversión'!G43="","",'Registrar bienes de inversión'!G43)</f>
        <v/>
      </c>
      <c r="H43" s="60" t="str">
        <f>IF('Registrar bienes de inversión'!H43="","",'Registrar bienes de inversión'!H43)</f>
        <v/>
      </c>
      <c r="I43" s="64" t="str">
        <f>IF('Registrar bienes de inversión'!I43="","",'Registrar bienes de inversión'!I43)</f>
        <v/>
      </c>
      <c r="J43" s="72" t="str">
        <f>IF('Registrar bienes de inversión'!J43="","",'Registrar bienes de inversión'!J43)</f>
        <v/>
      </c>
      <c r="K43" s="72" t="str">
        <f>IF('Registrar bienes de inversión'!K43="","",'Registrar bienes de inversión'!K43)</f>
        <v/>
      </c>
      <c r="L43" s="60" t="str">
        <f>IF('Registrar bienes de inversión'!L43="","",VLOOKUP(CONCATENATE("METODO AMORTIZACION",'Registrar bienes de inversión'!L43),'CODIGO-LITERAL'!$C:$D,2,FALSE))</f>
        <v/>
      </c>
      <c r="M43" s="72" t="str">
        <f>IF('Registrar bienes de inversión'!M43="","",'Registrar bienes de inversión'!M43)</f>
        <v/>
      </c>
      <c r="N43" s="72" t="str">
        <f>IF('Registrar bienes de inversión'!N43="","",'Registrar bienes de inversión'!N43)</f>
        <v/>
      </c>
      <c r="O43" s="72" t="str">
        <f>IF('Registrar bienes de inversión'!O43="","",'Registrar bienes de inversión'!O43)</f>
        <v/>
      </c>
      <c r="P43" s="72" t="str">
        <f>IF('Registrar bienes de inversión'!P43="","",'Registrar bienes de inversión'!P43)</f>
        <v/>
      </c>
      <c r="Q43" s="72" t="str">
        <f>IF('Registrar bienes de inversión'!Q43="","",'Registrar bienes de inversión'!Q43)</f>
        <v/>
      </c>
      <c r="R43" s="64" t="str">
        <f>IF('Registrar bienes de inversión'!R43="","",'Registrar bienes de inversión'!R43)</f>
        <v/>
      </c>
      <c r="S43" s="60" t="str">
        <f>IF('Registrar bienes de inversión'!S43="","",'Registrar bienes de inversión'!S43)</f>
        <v/>
      </c>
      <c r="T43" s="60" t="str">
        <f>IF('Registrar bienes de inversión'!T43="","",'Registrar bienes de inversión'!T43)</f>
        <v/>
      </c>
      <c r="U43" s="60" t="str">
        <f>IF('Registrar bienes de inversión'!U43="","",'Registrar bienes de inversión'!U43)</f>
        <v/>
      </c>
      <c r="V43" s="60" t="str">
        <f>IF('Registrar bienes de inversión'!V43="","",'Registrar bienes de inversión'!V43)</f>
        <v/>
      </c>
      <c r="W43" s="60" t="str">
        <f>IF(OR('Registrar bienes de inversión'!W43="",LEFT('Registrar bienes de inversión'!W43,2)="01"),"",VLOOKUP(CONCATENATE("TIPO NIF",'Registrar bienes de inversión'!W43),'CODIGO-LITERAL'!$C:$D,2,FALSE))</f>
        <v/>
      </c>
      <c r="X43" s="60" t="str">
        <f>IF('Registrar bienes de inversión'!X43="","",'Registrar bienes de inversión'!X43)</f>
        <v/>
      </c>
      <c r="Y43" s="60" t="str">
        <f>IF('Registrar bienes de inversión'!Y43="","",'Registrar bienes de inversión'!Y43)</f>
        <v/>
      </c>
      <c r="Z43" s="60" t="str">
        <f>IF('Registrar bienes de inversión'!Z43="","",'Registrar bienes de inversión'!Z43)</f>
        <v/>
      </c>
      <c r="AA43" s="72" t="str">
        <f>IF('Registrar bienes de inversión'!AA43="","",ROUND('Registrar bienes de inversión'!AA43,2))</f>
        <v/>
      </c>
      <c r="AB43" s="72" t="str">
        <f>IF('Registrar bienes de inversión'!AB43="","",'Registrar bienes de inversión'!AB43)</f>
        <v/>
      </c>
      <c r="AC43" s="72" t="str">
        <f>IF('Registrar bienes de inversión'!AC43="","",ROUND('Registrar bienes de inversión'!AC43,2))</f>
        <v/>
      </c>
      <c r="AD43" s="72" t="str">
        <f>IF('Registrar bienes de inversión'!AD43="","",ROUND('Registrar bienes de inversión'!AD43,2))</f>
        <v/>
      </c>
      <c r="AE43" s="72" t="str">
        <f>IF('Registrar bienes de inversión'!AE43="","",ROUND('Registrar bienes de inversión'!AE43,2))</f>
        <v/>
      </c>
      <c r="AF43" s="72" t="str">
        <f>IF('Registrar bienes de inversión'!AF43="","",ROUND('Registrar bienes de inversión'!AF43,2))</f>
        <v/>
      </c>
      <c r="AG43" s="72" t="str">
        <f>IF('Registrar bienes de inversión'!AG43="","",ROUND('Registrar bienes de inversión'!AG43,2))</f>
        <v/>
      </c>
      <c r="AH43" s="64" t="str">
        <f>IF('Registrar bienes de inversión'!AH43="","",'Registrar bienes de inversión'!AH43)</f>
        <v/>
      </c>
      <c r="AI43" s="60" t="str">
        <f>IF('Registrar bienes de inversión'!AI43="","",VLOOKUP(CONCATENATE("CAUSA BAJA BIEN",'Registrar bienes de inversión'!AI43),'CODIGO-LITERAL'!$C:$D,2,FALSE))</f>
        <v/>
      </c>
      <c r="AJ43" s="60" t="str">
        <f>IF('Registrar bienes de inversión'!AJ43="","",'Registrar bienes de inversión'!AJ43)</f>
        <v/>
      </c>
      <c r="AK43" s="60" t="str">
        <f>IF('Registrar bienes de inversión'!AK43="","",'Registrar bienes de inversión'!AK43)</f>
        <v/>
      </c>
      <c r="AL43" s="60" t="str">
        <f>IF('Registrar bienes de inversión'!AL43="","",'Registrar bienes de inversión'!AL43)</f>
        <v/>
      </c>
      <c r="AM43" s="60" t="str">
        <f>IF('Registrar bienes de inversión'!AM43="","",'Registrar bienes de inversión'!AM43)</f>
        <v/>
      </c>
      <c r="AN43" s="60" t="str">
        <f>IF('Registrar bienes de inversión'!AN43="","",VLOOKUP(CONCATENATE("SITUACION",'Registrar bienes de inversión'!AN43),'CODIGO-LITERAL'!$C:$D,2,FALSE))</f>
        <v/>
      </c>
      <c r="AO43" s="60" t="str">
        <f>IF('Registrar bienes de inversión'!AO43="","",'Registrar bienes de inversión'!AO43)</f>
        <v/>
      </c>
      <c r="AP43" s="60" t="str">
        <f>IF('Registrar bienes de inversión'!AP43="","",'Registrar bienes de inversión'!AP43)</f>
        <v/>
      </c>
    </row>
    <row r="44" spans="1:42" x14ac:dyDescent="0.25">
      <c r="A44" s="71" t="str">
        <f>IF('Registrar bienes de inversión'!A44="","",'Registrar bienes de inversión'!A44)</f>
        <v/>
      </c>
      <c r="B44" s="60" t="str">
        <f>IF('Registrar bienes de inversión'!B44="","",'Registrar bienes de inversión'!B44)</f>
        <v/>
      </c>
      <c r="C44" s="60" t="str">
        <f>IF('Registrar bienes de inversión'!C44="","",VLOOKUP(CONCATENATE("ACTIVIDAD",'Registrar bienes de inversión'!C44),'CODIGO-LITERAL'!$C:$D,2,FALSE))</f>
        <v/>
      </c>
      <c r="D44" s="60" t="str">
        <f>IF(OR(C44="C",C44="D"),"",IF(ISERROR(VLOOKUP(CONCATENATE(C44,'Registrar bienes de inversión'!D44),'CODIGO-LITERAL'!$C:$D,2,FALSE)),"",VLOOKUP(CONCATENATE(C44,'Registrar bienes de inversión'!D44),'CODIGO-LITERAL'!$C:$D,2,FALSE)))</f>
        <v/>
      </c>
      <c r="E44" s="60" t="str">
        <f>IF('Registrar bienes de inversión'!E44="","",'Registrar bienes de inversión'!E44)</f>
        <v/>
      </c>
      <c r="F44" s="60" t="str">
        <f>IF('Registrar bienes de inversión'!F44="","",VLOOKUP(CONCATENATE("TIPO BIEN",'Registrar bienes de inversión'!F44),'CODIGO-LITERAL'!$C:$D,2,FALSE))</f>
        <v/>
      </c>
      <c r="G44" s="60" t="str">
        <f>IF('Registrar bienes de inversión'!G44="","",'Registrar bienes de inversión'!G44)</f>
        <v/>
      </c>
      <c r="H44" s="60" t="str">
        <f>IF('Registrar bienes de inversión'!H44="","",'Registrar bienes de inversión'!H44)</f>
        <v/>
      </c>
      <c r="I44" s="64" t="str">
        <f>IF('Registrar bienes de inversión'!I44="","",'Registrar bienes de inversión'!I44)</f>
        <v/>
      </c>
      <c r="J44" s="72" t="str">
        <f>IF('Registrar bienes de inversión'!J44="","",'Registrar bienes de inversión'!J44)</f>
        <v/>
      </c>
      <c r="K44" s="72" t="str">
        <f>IF('Registrar bienes de inversión'!K44="","",'Registrar bienes de inversión'!K44)</f>
        <v/>
      </c>
      <c r="L44" s="60" t="str">
        <f>IF('Registrar bienes de inversión'!L44="","",VLOOKUP(CONCATENATE("METODO AMORTIZACION",'Registrar bienes de inversión'!L44),'CODIGO-LITERAL'!$C:$D,2,FALSE))</f>
        <v/>
      </c>
      <c r="M44" s="72" t="str">
        <f>IF('Registrar bienes de inversión'!M44="","",'Registrar bienes de inversión'!M44)</f>
        <v/>
      </c>
      <c r="N44" s="72" t="str">
        <f>IF('Registrar bienes de inversión'!N44="","",'Registrar bienes de inversión'!N44)</f>
        <v/>
      </c>
      <c r="O44" s="72" t="str">
        <f>IF('Registrar bienes de inversión'!O44="","",'Registrar bienes de inversión'!O44)</f>
        <v/>
      </c>
      <c r="P44" s="72" t="str">
        <f>IF('Registrar bienes de inversión'!P44="","",'Registrar bienes de inversión'!P44)</f>
        <v/>
      </c>
      <c r="Q44" s="72" t="str">
        <f>IF('Registrar bienes de inversión'!Q44="","",'Registrar bienes de inversión'!Q44)</f>
        <v/>
      </c>
      <c r="R44" s="64" t="str">
        <f>IF('Registrar bienes de inversión'!R44="","",'Registrar bienes de inversión'!R44)</f>
        <v/>
      </c>
      <c r="S44" s="60" t="str">
        <f>IF('Registrar bienes de inversión'!S44="","",'Registrar bienes de inversión'!S44)</f>
        <v/>
      </c>
      <c r="T44" s="60" t="str">
        <f>IF('Registrar bienes de inversión'!T44="","",'Registrar bienes de inversión'!T44)</f>
        <v/>
      </c>
      <c r="U44" s="60" t="str">
        <f>IF('Registrar bienes de inversión'!U44="","",'Registrar bienes de inversión'!U44)</f>
        <v/>
      </c>
      <c r="V44" s="60" t="str">
        <f>IF('Registrar bienes de inversión'!V44="","",'Registrar bienes de inversión'!V44)</f>
        <v/>
      </c>
      <c r="W44" s="60" t="str">
        <f>IF(OR('Registrar bienes de inversión'!W44="",LEFT('Registrar bienes de inversión'!W44,2)="01"),"",VLOOKUP(CONCATENATE("TIPO NIF",'Registrar bienes de inversión'!W44),'CODIGO-LITERAL'!$C:$D,2,FALSE))</f>
        <v/>
      </c>
      <c r="X44" s="60" t="str">
        <f>IF('Registrar bienes de inversión'!X44="","",'Registrar bienes de inversión'!X44)</f>
        <v/>
      </c>
      <c r="Y44" s="60" t="str">
        <f>IF('Registrar bienes de inversión'!Y44="","",'Registrar bienes de inversión'!Y44)</f>
        <v/>
      </c>
      <c r="Z44" s="60" t="str">
        <f>IF('Registrar bienes de inversión'!Z44="","",'Registrar bienes de inversión'!Z44)</f>
        <v/>
      </c>
      <c r="AA44" s="72" t="str">
        <f>IF('Registrar bienes de inversión'!AA44="","",ROUND('Registrar bienes de inversión'!AA44,2))</f>
        <v/>
      </c>
      <c r="AB44" s="72" t="str">
        <f>IF('Registrar bienes de inversión'!AB44="","",'Registrar bienes de inversión'!AB44)</f>
        <v/>
      </c>
      <c r="AC44" s="72" t="str">
        <f>IF('Registrar bienes de inversión'!AC44="","",ROUND('Registrar bienes de inversión'!AC44,2))</f>
        <v/>
      </c>
      <c r="AD44" s="72" t="str">
        <f>IF('Registrar bienes de inversión'!AD44="","",ROUND('Registrar bienes de inversión'!AD44,2))</f>
        <v/>
      </c>
      <c r="AE44" s="72" t="str">
        <f>IF('Registrar bienes de inversión'!AE44="","",ROUND('Registrar bienes de inversión'!AE44,2))</f>
        <v/>
      </c>
      <c r="AF44" s="72" t="str">
        <f>IF('Registrar bienes de inversión'!AF44="","",ROUND('Registrar bienes de inversión'!AF44,2))</f>
        <v/>
      </c>
      <c r="AG44" s="72" t="str">
        <f>IF('Registrar bienes de inversión'!AG44="","",ROUND('Registrar bienes de inversión'!AG44,2))</f>
        <v/>
      </c>
      <c r="AH44" s="64" t="str">
        <f>IF('Registrar bienes de inversión'!AH44="","",'Registrar bienes de inversión'!AH44)</f>
        <v/>
      </c>
      <c r="AI44" s="60" t="str">
        <f>IF('Registrar bienes de inversión'!AI44="","",VLOOKUP(CONCATENATE("CAUSA BAJA BIEN",'Registrar bienes de inversión'!AI44),'CODIGO-LITERAL'!$C:$D,2,FALSE))</f>
        <v/>
      </c>
      <c r="AJ44" s="60" t="str">
        <f>IF('Registrar bienes de inversión'!AJ44="","",'Registrar bienes de inversión'!AJ44)</f>
        <v/>
      </c>
      <c r="AK44" s="60" t="str">
        <f>IF('Registrar bienes de inversión'!AK44="","",'Registrar bienes de inversión'!AK44)</f>
        <v/>
      </c>
      <c r="AL44" s="60" t="str">
        <f>IF('Registrar bienes de inversión'!AL44="","",'Registrar bienes de inversión'!AL44)</f>
        <v/>
      </c>
      <c r="AM44" s="60" t="str">
        <f>IF('Registrar bienes de inversión'!AM44="","",'Registrar bienes de inversión'!AM44)</f>
        <v/>
      </c>
      <c r="AN44" s="60" t="str">
        <f>IF('Registrar bienes de inversión'!AN44="","",VLOOKUP(CONCATENATE("SITUACION",'Registrar bienes de inversión'!AN44),'CODIGO-LITERAL'!$C:$D,2,FALSE))</f>
        <v/>
      </c>
      <c r="AO44" s="60" t="str">
        <f>IF('Registrar bienes de inversión'!AO44="","",'Registrar bienes de inversión'!AO44)</f>
        <v/>
      </c>
      <c r="AP44" s="60" t="str">
        <f>IF('Registrar bienes de inversión'!AP44="","",'Registrar bienes de inversión'!AP44)</f>
        <v/>
      </c>
    </row>
    <row r="45" spans="1:42" x14ac:dyDescent="0.25">
      <c r="A45" s="71" t="str">
        <f>IF('Registrar bienes de inversión'!A45="","",'Registrar bienes de inversión'!A45)</f>
        <v/>
      </c>
      <c r="B45" s="60" t="str">
        <f>IF('Registrar bienes de inversión'!B45="","",'Registrar bienes de inversión'!B45)</f>
        <v/>
      </c>
      <c r="C45" s="60" t="str">
        <f>IF('Registrar bienes de inversión'!C45="","",VLOOKUP(CONCATENATE("ACTIVIDAD",'Registrar bienes de inversión'!C45),'CODIGO-LITERAL'!$C:$D,2,FALSE))</f>
        <v/>
      </c>
      <c r="D45" s="60" t="str">
        <f>IF(OR(C45="C",C45="D"),"",IF(ISERROR(VLOOKUP(CONCATENATE(C45,'Registrar bienes de inversión'!D45),'CODIGO-LITERAL'!$C:$D,2,FALSE)),"",VLOOKUP(CONCATENATE(C45,'Registrar bienes de inversión'!D45),'CODIGO-LITERAL'!$C:$D,2,FALSE)))</f>
        <v/>
      </c>
      <c r="E45" s="60" t="str">
        <f>IF('Registrar bienes de inversión'!E45="","",'Registrar bienes de inversión'!E45)</f>
        <v/>
      </c>
      <c r="F45" s="60" t="str">
        <f>IF('Registrar bienes de inversión'!F45="","",VLOOKUP(CONCATENATE("TIPO BIEN",'Registrar bienes de inversión'!F45),'CODIGO-LITERAL'!$C:$D,2,FALSE))</f>
        <v/>
      </c>
      <c r="G45" s="60" t="str">
        <f>IF('Registrar bienes de inversión'!G45="","",'Registrar bienes de inversión'!G45)</f>
        <v/>
      </c>
      <c r="H45" s="60" t="str">
        <f>IF('Registrar bienes de inversión'!H45="","",'Registrar bienes de inversión'!H45)</f>
        <v/>
      </c>
      <c r="I45" s="64" t="str">
        <f>IF('Registrar bienes de inversión'!I45="","",'Registrar bienes de inversión'!I45)</f>
        <v/>
      </c>
      <c r="J45" s="72" t="str">
        <f>IF('Registrar bienes de inversión'!J45="","",'Registrar bienes de inversión'!J45)</f>
        <v/>
      </c>
      <c r="K45" s="72" t="str">
        <f>IF('Registrar bienes de inversión'!K45="","",'Registrar bienes de inversión'!K45)</f>
        <v/>
      </c>
      <c r="L45" s="60" t="str">
        <f>IF('Registrar bienes de inversión'!L45="","",VLOOKUP(CONCATENATE("METODO AMORTIZACION",'Registrar bienes de inversión'!L45),'CODIGO-LITERAL'!$C:$D,2,FALSE))</f>
        <v/>
      </c>
      <c r="M45" s="72" t="str">
        <f>IF('Registrar bienes de inversión'!M45="","",'Registrar bienes de inversión'!M45)</f>
        <v/>
      </c>
      <c r="N45" s="72" t="str">
        <f>IF('Registrar bienes de inversión'!N45="","",'Registrar bienes de inversión'!N45)</f>
        <v/>
      </c>
      <c r="O45" s="72" t="str">
        <f>IF('Registrar bienes de inversión'!O45="","",'Registrar bienes de inversión'!O45)</f>
        <v/>
      </c>
      <c r="P45" s="72" t="str">
        <f>IF('Registrar bienes de inversión'!P45="","",'Registrar bienes de inversión'!P45)</f>
        <v/>
      </c>
      <c r="Q45" s="72" t="str">
        <f>IF('Registrar bienes de inversión'!Q45="","",'Registrar bienes de inversión'!Q45)</f>
        <v/>
      </c>
      <c r="R45" s="64" t="str">
        <f>IF('Registrar bienes de inversión'!R45="","",'Registrar bienes de inversión'!R45)</f>
        <v/>
      </c>
      <c r="S45" s="60" t="str">
        <f>IF('Registrar bienes de inversión'!S45="","",'Registrar bienes de inversión'!S45)</f>
        <v/>
      </c>
      <c r="T45" s="60" t="str">
        <f>IF('Registrar bienes de inversión'!T45="","",'Registrar bienes de inversión'!T45)</f>
        <v/>
      </c>
      <c r="U45" s="60" t="str">
        <f>IF('Registrar bienes de inversión'!U45="","",'Registrar bienes de inversión'!U45)</f>
        <v/>
      </c>
      <c r="V45" s="60" t="str">
        <f>IF('Registrar bienes de inversión'!V45="","",'Registrar bienes de inversión'!V45)</f>
        <v/>
      </c>
      <c r="W45" s="60" t="str">
        <f>IF(OR('Registrar bienes de inversión'!W45="",LEFT('Registrar bienes de inversión'!W45,2)="01"),"",VLOOKUP(CONCATENATE("TIPO NIF",'Registrar bienes de inversión'!W45),'CODIGO-LITERAL'!$C:$D,2,FALSE))</f>
        <v/>
      </c>
      <c r="X45" s="60" t="str">
        <f>IF('Registrar bienes de inversión'!X45="","",'Registrar bienes de inversión'!X45)</f>
        <v/>
      </c>
      <c r="Y45" s="60" t="str">
        <f>IF('Registrar bienes de inversión'!Y45="","",'Registrar bienes de inversión'!Y45)</f>
        <v/>
      </c>
      <c r="Z45" s="60" t="str">
        <f>IF('Registrar bienes de inversión'!Z45="","",'Registrar bienes de inversión'!Z45)</f>
        <v/>
      </c>
      <c r="AA45" s="72" t="str">
        <f>IF('Registrar bienes de inversión'!AA45="","",ROUND('Registrar bienes de inversión'!AA45,2))</f>
        <v/>
      </c>
      <c r="AB45" s="72" t="str">
        <f>IF('Registrar bienes de inversión'!AB45="","",'Registrar bienes de inversión'!AB45)</f>
        <v/>
      </c>
      <c r="AC45" s="72" t="str">
        <f>IF('Registrar bienes de inversión'!AC45="","",ROUND('Registrar bienes de inversión'!AC45,2))</f>
        <v/>
      </c>
      <c r="AD45" s="72" t="str">
        <f>IF('Registrar bienes de inversión'!AD45="","",ROUND('Registrar bienes de inversión'!AD45,2))</f>
        <v/>
      </c>
      <c r="AE45" s="72" t="str">
        <f>IF('Registrar bienes de inversión'!AE45="","",ROUND('Registrar bienes de inversión'!AE45,2))</f>
        <v/>
      </c>
      <c r="AF45" s="72" t="str">
        <f>IF('Registrar bienes de inversión'!AF45="","",ROUND('Registrar bienes de inversión'!AF45,2))</f>
        <v/>
      </c>
      <c r="AG45" s="72" t="str">
        <f>IF('Registrar bienes de inversión'!AG45="","",ROUND('Registrar bienes de inversión'!AG45,2))</f>
        <v/>
      </c>
      <c r="AH45" s="64" t="str">
        <f>IF('Registrar bienes de inversión'!AH45="","",'Registrar bienes de inversión'!AH45)</f>
        <v/>
      </c>
      <c r="AI45" s="60" t="str">
        <f>IF('Registrar bienes de inversión'!AI45="","",VLOOKUP(CONCATENATE("CAUSA BAJA BIEN",'Registrar bienes de inversión'!AI45),'CODIGO-LITERAL'!$C:$D,2,FALSE))</f>
        <v/>
      </c>
      <c r="AJ45" s="60" t="str">
        <f>IF('Registrar bienes de inversión'!AJ45="","",'Registrar bienes de inversión'!AJ45)</f>
        <v/>
      </c>
      <c r="AK45" s="60" t="str">
        <f>IF('Registrar bienes de inversión'!AK45="","",'Registrar bienes de inversión'!AK45)</f>
        <v/>
      </c>
      <c r="AL45" s="60" t="str">
        <f>IF('Registrar bienes de inversión'!AL45="","",'Registrar bienes de inversión'!AL45)</f>
        <v/>
      </c>
      <c r="AM45" s="60" t="str">
        <f>IF('Registrar bienes de inversión'!AM45="","",'Registrar bienes de inversión'!AM45)</f>
        <v/>
      </c>
      <c r="AN45" s="60" t="str">
        <f>IF('Registrar bienes de inversión'!AN45="","",VLOOKUP(CONCATENATE("SITUACION",'Registrar bienes de inversión'!AN45),'CODIGO-LITERAL'!$C:$D,2,FALSE))</f>
        <v/>
      </c>
      <c r="AO45" s="60" t="str">
        <f>IF('Registrar bienes de inversión'!AO45="","",'Registrar bienes de inversión'!AO45)</f>
        <v/>
      </c>
      <c r="AP45" s="60" t="str">
        <f>IF('Registrar bienes de inversión'!AP45="","",'Registrar bienes de inversión'!AP45)</f>
        <v/>
      </c>
    </row>
    <row r="46" spans="1:42" x14ac:dyDescent="0.25">
      <c r="A46" s="71" t="str">
        <f>IF('Registrar bienes de inversión'!A46="","",'Registrar bienes de inversión'!A46)</f>
        <v/>
      </c>
      <c r="B46" s="60" t="str">
        <f>IF('Registrar bienes de inversión'!B46="","",'Registrar bienes de inversión'!B46)</f>
        <v/>
      </c>
      <c r="C46" s="60" t="str">
        <f>IF('Registrar bienes de inversión'!C46="","",VLOOKUP(CONCATENATE("ACTIVIDAD",'Registrar bienes de inversión'!C46),'CODIGO-LITERAL'!$C:$D,2,FALSE))</f>
        <v/>
      </c>
      <c r="D46" s="60" t="str">
        <f>IF(OR(C46="C",C46="D"),"",IF(ISERROR(VLOOKUP(CONCATENATE(C46,'Registrar bienes de inversión'!D46),'CODIGO-LITERAL'!$C:$D,2,FALSE)),"",VLOOKUP(CONCATENATE(C46,'Registrar bienes de inversión'!D46),'CODIGO-LITERAL'!$C:$D,2,FALSE)))</f>
        <v/>
      </c>
      <c r="E46" s="60" t="str">
        <f>IF('Registrar bienes de inversión'!E46="","",'Registrar bienes de inversión'!E46)</f>
        <v/>
      </c>
      <c r="F46" s="60" t="str">
        <f>IF('Registrar bienes de inversión'!F46="","",VLOOKUP(CONCATENATE("TIPO BIEN",'Registrar bienes de inversión'!F46),'CODIGO-LITERAL'!$C:$D,2,FALSE))</f>
        <v/>
      </c>
      <c r="G46" s="60" t="str">
        <f>IF('Registrar bienes de inversión'!G46="","",'Registrar bienes de inversión'!G46)</f>
        <v/>
      </c>
      <c r="H46" s="60" t="str">
        <f>IF('Registrar bienes de inversión'!H46="","",'Registrar bienes de inversión'!H46)</f>
        <v/>
      </c>
      <c r="I46" s="64" t="str">
        <f>IF('Registrar bienes de inversión'!I46="","",'Registrar bienes de inversión'!I46)</f>
        <v/>
      </c>
      <c r="J46" s="72" t="str">
        <f>IF('Registrar bienes de inversión'!J46="","",'Registrar bienes de inversión'!J46)</f>
        <v/>
      </c>
      <c r="K46" s="72" t="str">
        <f>IF('Registrar bienes de inversión'!K46="","",'Registrar bienes de inversión'!K46)</f>
        <v/>
      </c>
      <c r="L46" s="60" t="str">
        <f>IF('Registrar bienes de inversión'!L46="","",VLOOKUP(CONCATENATE("METODO AMORTIZACION",'Registrar bienes de inversión'!L46),'CODIGO-LITERAL'!$C:$D,2,FALSE))</f>
        <v/>
      </c>
      <c r="M46" s="72" t="str">
        <f>IF('Registrar bienes de inversión'!M46="","",'Registrar bienes de inversión'!M46)</f>
        <v/>
      </c>
      <c r="N46" s="72" t="str">
        <f>IF('Registrar bienes de inversión'!N46="","",'Registrar bienes de inversión'!N46)</f>
        <v/>
      </c>
      <c r="O46" s="72" t="str">
        <f>IF('Registrar bienes de inversión'!O46="","",'Registrar bienes de inversión'!O46)</f>
        <v/>
      </c>
      <c r="P46" s="72" t="str">
        <f>IF('Registrar bienes de inversión'!P46="","",'Registrar bienes de inversión'!P46)</f>
        <v/>
      </c>
      <c r="Q46" s="72" t="str">
        <f>IF('Registrar bienes de inversión'!Q46="","",'Registrar bienes de inversión'!Q46)</f>
        <v/>
      </c>
      <c r="R46" s="64" t="str">
        <f>IF('Registrar bienes de inversión'!R46="","",'Registrar bienes de inversión'!R46)</f>
        <v/>
      </c>
      <c r="S46" s="60" t="str">
        <f>IF('Registrar bienes de inversión'!S46="","",'Registrar bienes de inversión'!S46)</f>
        <v/>
      </c>
      <c r="T46" s="60" t="str">
        <f>IF('Registrar bienes de inversión'!T46="","",'Registrar bienes de inversión'!T46)</f>
        <v/>
      </c>
      <c r="U46" s="60" t="str">
        <f>IF('Registrar bienes de inversión'!U46="","",'Registrar bienes de inversión'!U46)</f>
        <v/>
      </c>
      <c r="V46" s="60" t="str">
        <f>IF('Registrar bienes de inversión'!V46="","",'Registrar bienes de inversión'!V46)</f>
        <v/>
      </c>
      <c r="W46" s="60" t="str">
        <f>IF(OR('Registrar bienes de inversión'!W46="",LEFT('Registrar bienes de inversión'!W46,2)="01"),"",VLOOKUP(CONCATENATE("TIPO NIF",'Registrar bienes de inversión'!W46),'CODIGO-LITERAL'!$C:$D,2,FALSE))</f>
        <v/>
      </c>
      <c r="X46" s="60" t="str">
        <f>IF('Registrar bienes de inversión'!X46="","",'Registrar bienes de inversión'!X46)</f>
        <v/>
      </c>
      <c r="Y46" s="60" t="str">
        <f>IF('Registrar bienes de inversión'!Y46="","",'Registrar bienes de inversión'!Y46)</f>
        <v/>
      </c>
      <c r="Z46" s="60" t="str">
        <f>IF('Registrar bienes de inversión'!Z46="","",'Registrar bienes de inversión'!Z46)</f>
        <v/>
      </c>
      <c r="AA46" s="72" t="str">
        <f>IF('Registrar bienes de inversión'!AA46="","",ROUND('Registrar bienes de inversión'!AA46,2))</f>
        <v/>
      </c>
      <c r="AB46" s="72" t="str">
        <f>IF('Registrar bienes de inversión'!AB46="","",'Registrar bienes de inversión'!AB46)</f>
        <v/>
      </c>
      <c r="AC46" s="72" t="str">
        <f>IF('Registrar bienes de inversión'!AC46="","",ROUND('Registrar bienes de inversión'!AC46,2))</f>
        <v/>
      </c>
      <c r="AD46" s="72" t="str">
        <f>IF('Registrar bienes de inversión'!AD46="","",ROUND('Registrar bienes de inversión'!AD46,2))</f>
        <v/>
      </c>
      <c r="AE46" s="72" t="str">
        <f>IF('Registrar bienes de inversión'!AE46="","",ROUND('Registrar bienes de inversión'!AE46,2))</f>
        <v/>
      </c>
      <c r="AF46" s="72" t="str">
        <f>IF('Registrar bienes de inversión'!AF46="","",ROUND('Registrar bienes de inversión'!AF46,2))</f>
        <v/>
      </c>
      <c r="AG46" s="72" t="str">
        <f>IF('Registrar bienes de inversión'!AG46="","",ROUND('Registrar bienes de inversión'!AG46,2))</f>
        <v/>
      </c>
      <c r="AH46" s="64" t="str">
        <f>IF('Registrar bienes de inversión'!AH46="","",'Registrar bienes de inversión'!AH46)</f>
        <v/>
      </c>
      <c r="AI46" s="60" t="str">
        <f>IF('Registrar bienes de inversión'!AI46="","",VLOOKUP(CONCATENATE("CAUSA BAJA BIEN",'Registrar bienes de inversión'!AI46),'CODIGO-LITERAL'!$C:$D,2,FALSE))</f>
        <v/>
      </c>
      <c r="AJ46" s="60" t="str">
        <f>IF('Registrar bienes de inversión'!AJ46="","",'Registrar bienes de inversión'!AJ46)</f>
        <v/>
      </c>
      <c r="AK46" s="60" t="str">
        <f>IF('Registrar bienes de inversión'!AK46="","",'Registrar bienes de inversión'!AK46)</f>
        <v/>
      </c>
      <c r="AL46" s="60" t="str">
        <f>IF('Registrar bienes de inversión'!AL46="","",'Registrar bienes de inversión'!AL46)</f>
        <v/>
      </c>
      <c r="AM46" s="60" t="str">
        <f>IF('Registrar bienes de inversión'!AM46="","",'Registrar bienes de inversión'!AM46)</f>
        <v/>
      </c>
      <c r="AN46" s="60" t="str">
        <f>IF('Registrar bienes de inversión'!AN46="","",VLOOKUP(CONCATENATE("SITUACION",'Registrar bienes de inversión'!AN46),'CODIGO-LITERAL'!$C:$D,2,FALSE))</f>
        <v/>
      </c>
      <c r="AO46" s="60" t="str">
        <f>IF('Registrar bienes de inversión'!AO46="","",'Registrar bienes de inversión'!AO46)</f>
        <v/>
      </c>
      <c r="AP46" s="60" t="str">
        <f>IF('Registrar bienes de inversión'!AP46="","",'Registrar bienes de inversión'!AP46)</f>
        <v/>
      </c>
    </row>
    <row r="47" spans="1:42" x14ac:dyDescent="0.25">
      <c r="A47" s="71" t="str">
        <f>IF('Registrar bienes de inversión'!A47="","",'Registrar bienes de inversión'!A47)</f>
        <v/>
      </c>
      <c r="B47" s="60" t="str">
        <f>IF('Registrar bienes de inversión'!B47="","",'Registrar bienes de inversión'!B47)</f>
        <v/>
      </c>
      <c r="C47" s="60" t="str">
        <f>IF('Registrar bienes de inversión'!C47="","",VLOOKUP(CONCATENATE("ACTIVIDAD",'Registrar bienes de inversión'!C47),'CODIGO-LITERAL'!$C:$D,2,FALSE))</f>
        <v/>
      </c>
      <c r="D47" s="60" t="str">
        <f>IF(OR(C47="C",C47="D"),"",IF(ISERROR(VLOOKUP(CONCATENATE(C47,'Registrar bienes de inversión'!D47),'CODIGO-LITERAL'!$C:$D,2,FALSE)),"",VLOOKUP(CONCATENATE(C47,'Registrar bienes de inversión'!D47),'CODIGO-LITERAL'!$C:$D,2,FALSE)))</f>
        <v/>
      </c>
      <c r="E47" s="60" t="str">
        <f>IF('Registrar bienes de inversión'!E47="","",'Registrar bienes de inversión'!E47)</f>
        <v/>
      </c>
      <c r="F47" s="60" t="str">
        <f>IF('Registrar bienes de inversión'!F47="","",VLOOKUP(CONCATENATE("TIPO BIEN",'Registrar bienes de inversión'!F47),'CODIGO-LITERAL'!$C:$D,2,FALSE))</f>
        <v/>
      </c>
      <c r="G47" s="60" t="str">
        <f>IF('Registrar bienes de inversión'!G47="","",'Registrar bienes de inversión'!G47)</f>
        <v/>
      </c>
      <c r="H47" s="60" t="str">
        <f>IF('Registrar bienes de inversión'!H47="","",'Registrar bienes de inversión'!H47)</f>
        <v/>
      </c>
      <c r="I47" s="64" t="str">
        <f>IF('Registrar bienes de inversión'!I47="","",'Registrar bienes de inversión'!I47)</f>
        <v/>
      </c>
      <c r="J47" s="72" t="str">
        <f>IF('Registrar bienes de inversión'!J47="","",'Registrar bienes de inversión'!J47)</f>
        <v/>
      </c>
      <c r="K47" s="72" t="str">
        <f>IF('Registrar bienes de inversión'!K47="","",'Registrar bienes de inversión'!K47)</f>
        <v/>
      </c>
      <c r="L47" s="60" t="str">
        <f>IF('Registrar bienes de inversión'!L47="","",VLOOKUP(CONCATENATE("METODO AMORTIZACION",'Registrar bienes de inversión'!L47),'CODIGO-LITERAL'!$C:$D,2,FALSE))</f>
        <v/>
      </c>
      <c r="M47" s="72" t="str">
        <f>IF('Registrar bienes de inversión'!M47="","",'Registrar bienes de inversión'!M47)</f>
        <v/>
      </c>
      <c r="N47" s="72" t="str">
        <f>IF('Registrar bienes de inversión'!N47="","",'Registrar bienes de inversión'!N47)</f>
        <v/>
      </c>
      <c r="O47" s="72" t="str">
        <f>IF('Registrar bienes de inversión'!O47="","",'Registrar bienes de inversión'!O47)</f>
        <v/>
      </c>
      <c r="P47" s="72" t="str">
        <f>IF('Registrar bienes de inversión'!P47="","",'Registrar bienes de inversión'!P47)</f>
        <v/>
      </c>
      <c r="Q47" s="72" t="str">
        <f>IF('Registrar bienes de inversión'!Q47="","",'Registrar bienes de inversión'!Q47)</f>
        <v/>
      </c>
      <c r="R47" s="64" t="str">
        <f>IF('Registrar bienes de inversión'!R47="","",'Registrar bienes de inversión'!R47)</f>
        <v/>
      </c>
      <c r="S47" s="60" t="str">
        <f>IF('Registrar bienes de inversión'!S47="","",'Registrar bienes de inversión'!S47)</f>
        <v/>
      </c>
      <c r="T47" s="60" t="str">
        <f>IF('Registrar bienes de inversión'!T47="","",'Registrar bienes de inversión'!T47)</f>
        <v/>
      </c>
      <c r="U47" s="60" t="str">
        <f>IF('Registrar bienes de inversión'!U47="","",'Registrar bienes de inversión'!U47)</f>
        <v/>
      </c>
      <c r="V47" s="60" t="str">
        <f>IF('Registrar bienes de inversión'!V47="","",'Registrar bienes de inversión'!V47)</f>
        <v/>
      </c>
      <c r="W47" s="60" t="str">
        <f>IF(OR('Registrar bienes de inversión'!W47="",LEFT('Registrar bienes de inversión'!W47,2)="01"),"",VLOOKUP(CONCATENATE("TIPO NIF",'Registrar bienes de inversión'!W47),'CODIGO-LITERAL'!$C:$D,2,FALSE))</f>
        <v/>
      </c>
      <c r="X47" s="60" t="str">
        <f>IF('Registrar bienes de inversión'!X47="","",'Registrar bienes de inversión'!X47)</f>
        <v/>
      </c>
      <c r="Y47" s="60" t="str">
        <f>IF('Registrar bienes de inversión'!Y47="","",'Registrar bienes de inversión'!Y47)</f>
        <v/>
      </c>
      <c r="Z47" s="60" t="str">
        <f>IF('Registrar bienes de inversión'!Z47="","",'Registrar bienes de inversión'!Z47)</f>
        <v/>
      </c>
      <c r="AA47" s="72" t="str">
        <f>IF('Registrar bienes de inversión'!AA47="","",ROUND('Registrar bienes de inversión'!AA47,2))</f>
        <v/>
      </c>
      <c r="AB47" s="72" t="str">
        <f>IF('Registrar bienes de inversión'!AB47="","",'Registrar bienes de inversión'!AB47)</f>
        <v/>
      </c>
      <c r="AC47" s="72" t="str">
        <f>IF('Registrar bienes de inversión'!AC47="","",ROUND('Registrar bienes de inversión'!AC47,2))</f>
        <v/>
      </c>
      <c r="AD47" s="72" t="str">
        <f>IF('Registrar bienes de inversión'!AD47="","",ROUND('Registrar bienes de inversión'!AD47,2))</f>
        <v/>
      </c>
      <c r="AE47" s="72" t="str">
        <f>IF('Registrar bienes de inversión'!AE47="","",ROUND('Registrar bienes de inversión'!AE47,2))</f>
        <v/>
      </c>
      <c r="AF47" s="72" t="str">
        <f>IF('Registrar bienes de inversión'!AF47="","",ROUND('Registrar bienes de inversión'!AF47,2))</f>
        <v/>
      </c>
      <c r="AG47" s="72" t="str">
        <f>IF('Registrar bienes de inversión'!AG47="","",ROUND('Registrar bienes de inversión'!AG47,2))</f>
        <v/>
      </c>
      <c r="AH47" s="64" t="str">
        <f>IF('Registrar bienes de inversión'!AH47="","",'Registrar bienes de inversión'!AH47)</f>
        <v/>
      </c>
      <c r="AI47" s="60" t="str">
        <f>IF('Registrar bienes de inversión'!AI47="","",VLOOKUP(CONCATENATE("CAUSA BAJA BIEN",'Registrar bienes de inversión'!AI47),'CODIGO-LITERAL'!$C:$D,2,FALSE))</f>
        <v/>
      </c>
      <c r="AJ47" s="60" t="str">
        <f>IF('Registrar bienes de inversión'!AJ47="","",'Registrar bienes de inversión'!AJ47)</f>
        <v/>
      </c>
      <c r="AK47" s="60" t="str">
        <f>IF('Registrar bienes de inversión'!AK47="","",'Registrar bienes de inversión'!AK47)</f>
        <v/>
      </c>
      <c r="AL47" s="60" t="str">
        <f>IF('Registrar bienes de inversión'!AL47="","",'Registrar bienes de inversión'!AL47)</f>
        <v/>
      </c>
      <c r="AM47" s="60" t="str">
        <f>IF('Registrar bienes de inversión'!AM47="","",'Registrar bienes de inversión'!AM47)</f>
        <v/>
      </c>
      <c r="AN47" s="60" t="str">
        <f>IF('Registrar bienes de inversión'!AN47="","",VLOOKUP(CONCATENATE("SITUACION",'Registrar bienes de inversión'!AN47),'CODIGO-LITERAL'!$C:$D,2,FALSE))</f>
        <v/>
      </c>
      <c r="AO47" s="60" t="str">
        <f>IF('Registrar bienes de inversión'!AO47="","",'Registrar bienes de inversión'!AO47)</f>
        <v/>
      </c>
      <c r="AP47" s="60" t="str">
        <f>IF('Registrar bienes de inversión'!AP47="","",'Registrar bienes de inversión'!AP47)</f>
        <v/>
      </c>
    </row>
    <row r="48" spans="1:42" x14ac:dyDescent="0.25">
      <c r="A48" s="71" t="str">
        <f>IF('Registrar bienes de inversión'!A48="","",'Registrar bienes de inversión'!A48)</f>
        <v/>
      </c>
      <c r="B48" s="60" t="str">
        <f>IF('Registrar bienes de inversión'!B48="","",'Registrar bienes de inversión'!B48)</f>
        <v/>
      </c>
      <c r="C48" s="60" t="str">
        <f>IF('Registrar bienes de inversión'!C48="","",VLOOKUP(CONCATENATE("ACTIVIDAD",'Registrar bienes de inversión'!C48),'CODIGO-LITERAL'!$C:$D,2,FALSE))</f>
        <v/>
      </c>
      <c r="D48" s="60" t="str">
        <f>IF(OR(C48="C",C48="D"),"",IF(ISERROR(VLOOKUP(CONCATENATE(C48,'Registrar bienes de inversión'!D48),'CODIGO-LITERAL'!$C:$D,2,FALSE)),"",VLOOKUP(CONCATENATE(C48,'Registrar bienes de inversión'!D48),'CODIGO-LITERAL'!$C:$D,2,FALSE)))</f>
        <v/>
      </c>
      <c r="E48" s="60" t="str">
        <f>IF('Registrar bienes de inversión'!E48="","",'Registrar bienes de inversión'!E48)</f>
        <v/>
      </c>
      <c r="F48" s="60" t="str">
        <f>IF('Registrar bienes de inversión'!F48="","",VLOOKUP(CONCATENATE("TIPO BIEN",'Registrar bienes de inversión'!F48),'CODIGO-LITERAL'!$C:$D,2,FALSE))</f>
        <v/>
      </c>
      <c r="G48" s="60" t="str">
        <f>IF('Registrar bienes de inversión'!G48="","",'Registrar bienes de inversión'!G48)</f>
        <v/>
      </c>
      <c r="H48" s="60" t="str">
        <f>IF('Registrar bienes de inversión'!H48="","",'Registrar bienes de inversión'!H48)</f>
        <v/>
      </c>
      <c r="I48" s="64" t="str">
        <f>IF('Registrar bienes de inversión'!I48="","",'Registrar bienes de inversión'!I48)</f>
        <v/>
      </c>
      <c r="J48" s="72" t="str">
        <f>IF('Registrar bienes de inversión'!J48="","",'Registrar bienes de inversión'!J48)</f>
        <v/>
      </c>
      <c r="K48" s="72" t="str">
        <f>IF('Registrar bienes de inversión'!K48="","",'Registrar bienes de inversión'!K48)</f>
        <v/>
      </c>
      <c r="L48" s="60" t="str">
        <f>IF('Registrar bienes de inversión'!L48="","",VLOOKUP(CONCATENATE("METODO AMORTIZACION",'Registrar bienes de inversión'!L48),'CODIGO-LITERAL'!$C:$D,2,FALSE))</f>
        <v/>
      </c>
      <c r="M48" s="72" t="str">
        <f>IF('Registrar bienes de inversión'!M48="","",'Registrar bienes de inversión'!M48)</f>
        <v/>
      </c>
      <c r="N48" s="72" t="str">
        <f>IF('Registrar bienes de inversión'!N48="","",'Registrar bienes de inversión'!N48)</f>
        <v/>
      </c>
      <c r="O48" s="72" t="str">
        <f>IF('Registrar bienes de inversión'!O48="","",'Registrar bienes de inversión'!O48)</f>
        <v/>
      </c>
      <c r="P48" s="72" t="str">
        <f>IF('Registrar bienes de inversión'!P48="","",'Registrar bienes de inversión'!P48)</f>
        <v/>
      </c>
      <c r="Q48" s="72" t="str">
        <f>IF('Registrar bienes de inversión'!Q48="","",'Registrar bienes de inversión'!Q48)</f>
        <v/>
      </c>
      <c r="R48" s="64" t="str">
        <f>IF('Registrar bienes de inversión'!R48="","",'Registrar bienes de inversión'!R48)</f>
        <v/>
      </c>
      <c r="S48" s="60" t="str">
        <f>IF('Registrar bienes de inversión'!S48="","",'Registrar bienes de inversión'!S48)</f>
        <v/>
      </c>
      <c r="T48" s="60" t="str">
        <f>IF('Registrar bienes de inversión'!T48="","",'Registrar bienes de inversión'!T48)</f>
        <v/>
      </c>
      <c r="U48" s="60" t="str">
        <f>IF('Registrar bienes de inversión'!U48="","",'Registrar bienes de inversión'!U48)</f>
        <v/>
      </c>
      <c r="V48" s="60" t="str">
        <f>IF('Registrar bienes de inversión'!V48="","",'Registrar bienes de inversión'!V48)</f>
        <v/>
      </c>
      <c r="W48" s="60" t="str">
        <f>IF(OR('Registrar bienes de inversión'!W48="",LEFT('Registrar bienes de inversión'!W48,2)="01"),"",VLOOKUP(CONCATENATE("TIPO NIF",'Registrar bienes de inversión'!W48),'CODIGO-LITERAL'!$C:$D,2,FALSE))</f>
        <v/>
      </c>
      <c r="X48" s="60" t="str">
        <f>IF('Registrar bienes de inversión'!X48="","",'Registrar bienes de inversión'!X48)</f>
        <v/>
      </c>
      <c r="Y48" s="60" t="str">
        <f>IF('Registrar bienes de inversión'!Y48="","",'Registrar bienes de inversión'!Y48)</f>
        <v/>
      </c>
      <c r="Z48" s="60" t="str">
        <f>IF('Registrar bienes de inversión'!Z48="","",'Registrar bienes de inversión'!Z48)</f>
        <v/>
      </c>
      <c r="AA48" s="72" t="str">
        <f>IF('Registrar bienes de inversión'!AA48="","",ROUND('Registrar bienes de inversión'!AA48,2))</f>
        <v/>
      </c>
      <c r="AB48" s="72" t="str">
        <f>IF('Registrar bienes de inversión'!AB48="","",'Registrar bienes de inversión'!AB48)</f>
        <v/>
      </c>
      <c r="AC48" s="72" t="str">
        <f>IF('Registrar bienes de inversión'!AC48="","",ROUND('Registrar bienes de inversión'!AC48,2))</f>
        <v/>
      </c>
      <c r="AD48" s="72" t="str">
        <f>IF('Registrar bienes de inversión'!AD48="","",ROUND('Registrar bienes de inversión'!AD48,2))</f>
        <v/>
      </c>
      <c r="AE48" s="72" t="str">
        <f>IF('Registrar bienes de inversión'!AE48="","",ROUND('Registrar bienes de inversión'!AE48,2))</f>
        <v/>
      </c>
      <c r="AF48" s="72" t="str">
        <f>IF('Registrar bienes de inversión'!AF48="","",ROUND('Registrar bienes de inversión'!AF48,2))</f>
        <v/>
      </c>
      <c r="AG48" s="72" t="str">
        <f>IF('Registrar bienes de inversión'!AG48="","",ROUND('Registrar bienes de inversión'!AG48,2))</f>
        <v/>
      </c>
      <c r="AH48" s="64" t="str">
        <f>IF('Registrar bienes de inversión'!AH48="","",'Registrar bienes de inversión'!AH48)</f>
        <v/>
      </c>
      <c r="AI48" s="60" t="str">
        <f>IF('Registrar bienes de inversión'!AI48="","",VLOOKUP(CONCATENATE("CAUSA BAJA BIEN",'Registrar bienes de inversión'!AI48),'CODIGO-LITERAL'!$C:$D,2,FALSE))</f>
        <v/>
      </c>
      <c r="AJ48" s="60" t="str">
        <f>IF('Registrar bienes de inversión'!AJ48="","",'Registrar bienes de inversión'!AJ48)</f>
        <v/>
      </c>
      <c r="AK48" s="60" t="str">
        <f>IF('Registrar bienes de inversión'!AK48="","",'Registrar bienes de inversión'!AK48)</f>
        <v/>
      </c>
      <c r="AL48" s="60" t="str">
        <f>IF('Registrar bienes de inversión'!AL48="","",'Registrar bienes de inversión'!AL48)</f>
        <v/>
      </c>
      <c r="AM48" s="60" t="str">
        <f>IF('Registrar bienes de inversión'!AM48="","",'Registrar bienes de inversión'!AM48)</f>
        <v/>
      </c>
      <c r="AN48" s="60" t="str">
        <f>IF('Registrar bienes de inversión'!AN48="","",VLOOKUP(CONCATENATE("SITUACION",'Registrar bienes de inversión'!AN48),'CODIGO-LITERAL'!$C:$D,2,FALSE))</f>
        <v/>
      </c>
      <c r="AO48" s="60" t="str">
        <f>IF('Registrar bienes de inversión'!AO48="","",'Registrar bienes de inversión'!AO48)</f>
        <v/>
      </c>
      <c r="AP48" s="60" t="str">
        <f>IF('Registrar bienes de inversión'!AP48="","",'Registrar bienes de inversión'!AP48)</f>
        <v/>
      </c>
    </row>
    <row r="49" spans="1:42" x14ac:dyDescent="0.25">
      <c r="A49" s="71" t="str">
        <f>IF('Registrar bienes de inversión'!A49="","",'Registrar bienes de inversión'!A49)</f>
        <v/>
      </c>
      <c r="B49" s="60" t="str">
        <f>IF('Registrar bienes de inversión'!B49="","",'Registrar bienes de inversión'!B49)</f>
        <v/>
      </c>
      <c r="C49" s="60" t="str">
        <f>IF('Registrar bienes de inversión'!C49="","",VLOOKUP(CONCATENATE("ACTIVIDAD",'Registrar bienes de inversión'!C49),'CODIGO-LITERAL'!$C:$D,2,FALSE))</f>
        <v/>
      </c>
      <c r="D49" s="60" t="str">
        <f>IF(OR(C49="C",C49="D"),"",IF(ISERROR(VLOOKUP(CONCATENATE(C49,'Registrar bienes de inversión'!D49),'CODIGO-LITERAL'!$C:$D,2,FALSE)),"",VLOOKUP(CONCATENATE(C49,'Registrar bienes de inversión'!D49),'CODIGO-LITERAL'!$C:$D,2,FALSE)))</f>
        <v/>
      </c>
      <c r="E49" s="60" t="str">
        <f>IF('Registrar bienes de inversión'!E49="","",'Registrar bienes de inversión'!E49)</f>
        <v/>
      </c>
      <c r="F49" s="60" t="str">
        <f>IF('Registrar bienes de inversión'!F49="","",VLOOKUP(CONCATENATE("TIPO BIEN",'Registrar bienes de inversión'!F49),'CODIGO-LITERAL'!$C:$D,2,FALSE))</f>
        <v/>
      </c>
      <c r="G49" s="60" t="str">
        <f>IF('Registrar bienes de inversión'!G49="","",'Registrar bienes de inversión'!G49)</f>
        <v/>
      </c>
      <c r="H49" s="60" t="str">
        <f>IF('Registrar bienes de inversión'!H49="","",'Registrar bienes de inversión'!H49)</f>
        <v/>
      </c>
      <c r="I49" s="64" t="str">
        <f>IF('Registrar bienes de inversión'!I49="","",'Registrar bienes de inversión'!I49)</f>
        <v/>
      </c>
      <c r="J49" s="72" t="str">
        <f>IF('Registrar bienes de inversión'!J49="","",'Registrar bienes de inversión'!J49)</f>
        <v/>
      </c>
      <c r="K49" s="72" t="str">
        <f>IF('Registrar bienes de inversión'!K49="","",'Registrar bienes de inversión'!K49)</f>
        <v/>
      </c>
      <c r="L49" s="60" t="str">
        <f>IF('Registrar bienes de inversión'!L49="","",VLOOKUP(CONCATENATE("METODO AMORTIZACION",'Registrar bienes de inversión'!L49),'CODIGO-LITERAL'!$C:$D,2,FALSE))</f>
        <v/>
      </c>
      <c r="M49" s="72" t="str">
        <f>IF('Registrar bienes de inversión'!M49="","",'Registrar bienes de inversión'!M49)</f>
        <v/>
      </c>
      <c r="N49" s="72" t="str">
        <f>IF('Registrar bienes de inversión'!N49="","",'Registrar bienes de inversión'!N49)</f>
        <v/>
      </c>
      <c r="O49" s="72" t="str">
        <f>IF('Registrar bienes de inversión'!O49="","",'Registrar bienes de inversión'!O49)</f>
        <v/>
      </c>
      <c r="P49" s="72" t="str">
        <f>IF('Registrar bienes de inversión'!P49="","",'Registrar bienes de inversión'!P49)</f>
        <v/>
      </c>
      <c r="Q49" s="72" t="str">
        <f>IF('Registrar bienes de inversión'!Q49="","",'Registrar bienes de inversión'!Q49)</f>
        <v/>
      </c>
      <c r="R49" s="64" t="str">
        <f>IF('Registrar bienes de inversión'!R49="","",'Registrar bienes de inversión'!R49)</f>
        <v/>
      </c>
      <c r="S49" s="60" t="str">
        <f>IF('Registrar bienes de inversión'!S49="","",'Registrar bienes de inversión'!S49)</f>
        <v/>
      </c>
      <c r="T49" s="60" t="str">
        <f>IF('Registrar bienes de inversión'!T49="","",'Registrar bienes de inversión'!T49)</f>
        <v/>
      </c>
      <c r="U49" s="60" t="str">
        <f>IF('Registrar bienes de inversión'!U49="","",'Registrar bienes de inversión'!U49)</f>
        <v/>
      </c>
      <c r="V49" s="60" t="str">
        <f>IF('Registrar bienes de inversión'!V49="","",'Registrar bienes de inversión'!V49)</f>
        <v/>
      </c>
      <c r="W49" s="60" t="str">
        <f>IF(OR('Registrar bienes de inversión'!W49="",LEFT('Registrar bienes de inversión'!W49,2)="01"),"",VLOOKUP(CONCATENATE("TIPO NIF",'Registrar bienes de inversión'!W49),'CODIGO-LITERAL'!$C:$D,2,FALSE))</f>
        <v/>
      </c>
      <c r="X49" s="60" t="str">
        <f>IF('Registrar bienes de inversión'!X49="","",'Registrar bienes de inversión'!X49)</f>
        <v/>
      </c>
      <c r="Y49" s="60" t="str">
        <f>IF('Registrar bienes de inversión'!Y49="","",'Registrar bienes de inversión'!Y49)</f>
        <v/>
      </c>
      <c r="Z49" s="60" t="str">
        <f>IF('Registrar bienes de inversión'!Z49="","",'Registrar bienes de inversión'!Z49)</f>
        <v/>
      </c>
      <c r="AA49" s="72" t="str">
        <f>IF('Registrar bienes de inversión'!AA49="","",ROUND('Registrar bienes de inversión'!AA49,2))</f>
        <v/>
      </c>
      <c r="AB49" s="72" t="str">
        <f>IF('Registrar bienes de inversión'!AB49="","",'Registrar bienes de inversión'!AB49)</f>
        <v/>
      </c>
      <c r="AC49" s="72" t="str">
        <f>IF('Registrar bienes de inversión'!AC49="","",ROUND('Registrar bienes de inversión'!AC49,2))</f>
        <v/>
      </c>
      <c r="AD49" s="72" t="str">
        <f>IF('Registrar bienes de inversión'!AD49="","",ROUND('Registrar bienes de inversión'!AD49,2))</f>
        <v/>
      </c>
      <c r="AE49" s="72" t="str">
        <f>IF('Registrar bienes de inversión'!AE49="","",ROUND('Registrar bienes de inversión'!AE49,2))</f>
        <v/>
      </c>
      <c r="AF49" s="72" t="str">
        <f>IF('Registrar bienes de inversión'!AF49="","",ROUND('Registrar bienes de inversión'!AF49,2))</f>
        <v/>
      </c>
      <c r="AG49" s="72" t="str">
        <f>IF('Registrar bienes de inversión'!AG49="","",ROUND('Registrar bienes de inversión'!AG49,2))</f>
        <v/>
      </c>
      <c r="AH49" s="64" t="str">
        <f>IF('Registrar bienes de inversión'!AH49="","",'Registrar bienes de inversión'!AH49)</f>
        <v/>
      </c>
      <c r="AI49" s="60" t="str">
        <f>IF('Registrar bienes de inversión'!AI49="","",VLOOKUP(CONCATENATE("CAUSA BAJA BIEN",'Registrar bienes de inversión'!AI49),'CODIGO-LITERAL'!$C:$D,2,FALSE))</f>
        <v/>
      </c>
      <c r="AJ49" s="60" t="str">
        <f>IF('Registrar bienes de inversión'!AJ49="","",'Registrar bienes de inversión'!AJ49)</f>
        <v/>
      </c>
      <c r="AK49" s="60" t="str">
        <f>IF('Registrar bienes de inversión'!AK49="","",'Registrar bienes de inversión'!AK49)</f>
        <v/>
      </c>
      <c r="AL49" s="60" t="str">
        <f>IF('Registrar bienes de inversión'!AL49="","",'Registrar bienes de inversión'!AL49)</f>
        <v/>
      </c>
      <c r="AM49" s="60" t="str">
        <f>IF('Registrar bienes de inversión'!AM49="","",'Registrar bienes de inversión'!AM49)</f>
        <v/>
      </c>
      <c r="AN49" s="60" t="str">
        <f>IF('Registrar bienes de inversión'!AN49="","",VLOOKUP(CONCATENATE("SITUACION",'Registrar bienes de inversión'!AN49),'CODIGO-LITERAL'!$C:$D,2,FALSE))</f>
        <v/>
      </c>
      <c r="AO49" s="60" t="str">
        <f>IF('Registrar bienes de inversión'!AO49="","",'Registrar bienes de inversión'!AO49)</f>
        <v/>
      </c>
      <c r="AP49" s="60" t="str">
        <f>IF('Registrar bienes de inversión'!AP49="","",'Registrar bienes de inversión'!AP49)</f>
        <v/>
      </c>
    </row>
    <row r="50" spans="1:42" x14ac:dyDescent="0.25">
      <c r="A50" s="71" t="str">
        <f>IF('Registrar bienes de inversión'!A50="","",'Registrar bienes de inversión'!A50)</f>
        <v/>
      </c>
      <c r="B50" s="60" t="str">
        <f>IF('Registrar bienes de inversión'!B50="","",'Registrar bienes de inversión'!B50)</f>
        <v/>
      </c>
      <c r="C50" s="60" t="str">
        <f>IF('Registrar bienes de inversión'!C50="","",VLOOKUP(CONCATENATE("ACTIVIDAD",'Registrar bienes de inversión'!C50),'CODIGO-LITERAL'!$C:$D,2,FALSE))</f>
        <v/>
      </c>
      <c r="D50" s="60" t="str">
        <f>IF(OR(C50="C",C50="D"),"",IF(ISERROR(VLOOKUP(CONCATENATE(C50,'Registrar bienes de inversión'!D50),'CODIGO-LITERAL'!$C:$D,2,FALSE)),"",VLOOKUP(CONCATENATE(C50,'Registrar bienes de inversión'!D50),'CODIGO-LITERAL'!$C:$D,2,FALSE)))</f>
        <v/>
      </c>
      <c r="E50" s="60" t="str">
        <f>IF('Registrar bienes de inversión'!E50="","",'Registrar bienes de inversión'!E50)</f>
        <v/>
      </c>
      <c r="F50" s="60" t="str">
        <f>IF('Registrar bienes de inversión'!F50="","",VLOOKUP(CONCATENATE("TIPO BIEN",'Registrar bienes de inversión'!F50),'CODIGO-LITERAL'!$C:$D,2,FALSE))</f>
        <v/>
      </c>
      <c r="G50" s="60" t="str">
        <f>IF('Registrar bienes de inversión'!G50="","",'Registrar bienes de inversión'!G50)</f>
        <v/>
      </c>
      <c r="H50" s="60" t="str">
        <f>IF('Registrar bienes de inversión'!H50="","",'Registrar bienes de inversión'!H50)</f>
        <v/>
      </c>
      <c r="I50" s="64" t="str">
        <f>IF('Registrar bienes de inversión'!I50="","",'Registrar bienes de inversión'!I50)</f>
        <v/>
      </c>
      <c r="J50" s="72" t="str">
        <f>IF('Registrar bienes de inversión'!J50="","",'Registrar bienes de inversión'!J50)</f>
        <v/>
      </c>
      <c r="K50" s="72" t="str">
        <f>IF('Registrar bienes de inversión'!K50="","",'Registrar bienes de inversión'!K50)</f>
        <v/>
      </c>
      <c r="L50" s="60" t="str">
        <f>IF('Registrar bienes de inversión'!L50="","",VLOOKUP(CONCATENATE("METODO AMORTIZACION",'Registrar bienes de inversión'!L50),'CODIGO-LITERAL'!$C:$D,2,FALSE))</f>
        <v/>
      </c>
      <c r="M50" s="72" t="str">
        <f>IF('Registrar bienes de inversión'!M50="","",'Registrar bienes de inversión'!M50)</f>
        <v/>
      </c>
      <c r="N50" s="72" t="str">
        <f>IF('Registrar bienes de inversión'!N50="","",'Registrar bienes de inversión'!N50)</f>
        <v/>
      </c>
      <c r="O50" s="72" t="str">
        <f>IF('Registrar bienes de inversión'!O50="","",'Registrar bienes de inversión'!O50)</f>
        <v/>
      </c>
      <c r="P50" s="72" t="str">
        <f>IF('Registrar bienes de inversión'!P50="","",'Registrar bienes de inversión'!P50)</f>
        <v/>
      </c>
      <c r="Q50" s="72" t="str">
        <f>IF('Registrar bienes de inversión'!Q50="","",'Registrar bienes de inversión'!Q50)</f>
        <v/>
      </c>
      <c r="R50" s="64" t="str">
        <f>IF('Registrar bienes de inversión'!R50="","",'Registrar bienes de inversión'!R50)</f>
        <v/>
      </c>
      <c r="S50" s="60" t="str">
        <f>IF('Registrar bienes de inversión'!S50="","",'Registrar bienes de inversión'!S50)</f>
        <v/>
      </c>
      <c r="T50" s="60" t="str">
        <f>IF('Registrar bienes de inversión'!T50="","",'Registrar bienes de inversión'!T50)</f>
        <v/>
      </c>
      <c r="U50" s="60" t="str">
        <f>IF('Registrar bienes de inversión'!U50="","",'Registrar bienes de inversión'!U50)</f>
        <v/>
      </c>
      <c r="V50" s="60" t="str">
        <f>IF('Registrar bienes de inversión'!V50="","",'Registrar bienes de inversión'!V50)</f>
        <v/>
      </c>
      <c r="W50" s="60" t="str">
        <f>IF(OR('Registrar bienes de inversión'!W50="",LEFT('Registrar bienes de inversión'!W50,2)="01"),"",VLOOKUP(CONCATENATE("TIPO NIF",'Registrar bienes de inversión'!W50),'CODIGO-LITERAL'!$C:$D,2,FALSE))</f>
        <v/>
      </c>
      <c r="X50" s="60" t="str">
        <f>IF('Registrar bienes de inversión'!X50="","",'Registrar bienes de inversión'!X50)</f>
        <v/>
      </c>
      <c r="Y50" s="60" t="str">
        <f>IF('Registrar bienes de inversión'!Y50="","",'Registrar bienes de inversión'!Y50)</f>
        <v/>
      </c>
      <c r="Z50" s="60" t="str">
        <f>IF('Registrar bienes de inversión'!Z50="","",'Registrar bienes de inversión'!Z50)</f>
        <v/>
      </c>
      <c r="AA50" s="72" t="str">
        <f>IF('Registrar bienes de inversión'!AA50="","",ROUND('Registrar bienes de inversión'!AA50,2))</f>
        <v/>
      </c>
      <c r="AB50" s="72" t="str">
        <f>IF('Registrar bienes de inversión'!AB50="","",'Registrar bienes de inversión'!AB50)</f>
        <v/>
      </c>
      <c r="AC50" s="72" t="str">
        <f>IF('Registrar bienes de inversión'!AC50="","",ROUND('Registrar bienes de inversión'!AC50,2))</f>
        <v/>
      </c>
      <c r="AD50" s="72" t="str">
        <f>IF('Registrar bienes de inversión'!AD50="","",ROUND('Registrar bienes de inversión'!AD50,2))</f>
        <v/>
      </c>
      <c r="AE50" s="72" t="str">
        <f>IF('Registrar bienes de inversión'!AE50="","",ROUND('Registrar bienes de inversión'!AE50,2))</f>
        <v/>
      </c>
      <c r="AF50" s="72" t="str">
        <f>IF('Registrar bienes de inversión'!AF50="","",ROUND('Registrar bienes de inversión'!AF50,2))</f>
        <v/>
      </c>
      <c r="AG50" s="72" t="str">
        <f>IF('Registrar bienes de inversión'!AG50="","",ROUND('Registrar bienes de inversión'!AG50,2))</f>
        <v/>
      </c>
      <c r="AH50" s="64" t="str">
        <f>IF('Registrar bienes de inversión'!AH50="","",'Registrar bienes de inversión'!AH50)</f>
        <v/>
      </c>
      <c r="AI50" s="60" t="str">
        <f>IF('Registrar bienes de inversión'!AI50="","",VLOOKUP(CONCATENATE("CAUSA BAJA BIEN",'Registrar bienes de inversión'!AI50),'CODIGO-LITERAL'!$C:$D,2,FALSE))</f>
        <v/>
      </c>
      <c r="AJ50" s="60" t="str">
        <f>IF('Registrar bienes de inversión'!AJ50="","",'Registrar bienes de inversión'!AJ50)</f>
        <v/>
      </c>
      <c r="AK50" s="60" t="str">
        <f>IF('Registrar bienes de inversión'!AK50="","",'Registrar bienes de inversión'!AK50)</f>
        <v/>
      </c>
      <c r="AL50" s="60" t="str">
        <f>IF('Registrar bienes de inversión'!AL50="","",'Registrar bienes de inversión'!AL50)</f>
        <v/>
      </c>
      <c r="AM50" s="60" t="str">
        <f>IF('Registrar bienes de inversión'!AM50="","",'Registrar bienes de inversión'!AM50)</f>
        <v/>
      </c>
      <c r="AN50" s="60" t="str">
        <f>IF('Registrar bienes de inversión'!AN50="","",VLOOKUP(CONCATENATE("SITUACION",'Registrar bienes de inversión'!AN50),'CODIGO-LITERAL'!$C:$D,2,FALSE))</f>
        <v/>
      </c>
      <c r="AO50" s="60" t="str">
        <f>IF('Registrar bienes de inversión'!AO50="","",'Registrar bienes de inversión'!AO50)</f>
        <v/>
      </c>
      <c r="AP50" s="60" t="str">
        <f>IF('Registrar bienes de inversión'!AP50="","",'Registrar bienes de inversión'!AP50)</f>
        <v/>
      </c>
    </row>
    <row r="51" spans="1:42" x14ac:dyDescent="0.25">
      <c r="A51" s="71" t="str">
        <f>IF('Registrar bienes de inversión'!A51="","",'Registrar bienes de inversión'!A51)</f>
        <v/>
      </c>
      <c r="B51" s="60" t="str">
        <f>IF('Registrar bienes de inversión'!B51="","",'Registrar bienes de inversión'!B51)</f>
        <v/>
      </c>
      <c r="C51" s="60" t="str">
        <f>IF('Registrar bienes de inversión'!C51="","",VLOOKUP(CONCATENATE("ACTIVIDAD",'Registrar bienes de inversión'!C51),'CODIGO-LITERAL'!$C:$D,2,FALSE))</f>
        <v/>
      </c>
      <c r="D51" s="60" t="str">
        <f>IF(OR(C51="C",C51="D"),"",IF(ISERROR(VLOOKUP(CONCATENATE(C51,'Registrar bienes de inversión'!D51),'CODIGO-LITERAL'!$C:$D,2,FALSE)),"",VLOOKUP(CONCATENATE(C51,'Registrar bienes de inversión'!D51),'CODIGO-LITERAL'!$C:$D,2,FALSE)))</f>
        <v/>
      </c>
      <c r="E51" s="60" t="str">
        <f>IF('Registrar bienes de inversión'!E51="","",'Registrar bienes de inversión'!E51)</f>
        <v/>
      </c>
      <c r="F51" s="60" t="str">
        <f>IF('Registrar bienes de inversión'!F51="","",VLOOKUP(CONCATENATE("TIPO BIEN",'Registrar bienes de inversión'!F51),'CODIGO-LITERAL'!$C:$D,2,FALSE))</f>
        <v/>
      </c>
      <c r="G51" s="60" t="str">
        <f>IF('Registrar bienes de inversión'!G51="","",'Registrar bienes de inversión'!G51)</f>
        <v/>
      </c>
      <c r="H51" s="60" t="str">
        <f>IF('Registrar bienes de inversión'!H51="","",'Registrar bienes de inversión'!H51)</f>
        <v/>
      </c>
      <c r="I51" s="64" t="str">
        <f>IF('Registrar bienes de inversión'!I51="","",'Registrar bienes de inversión'!I51)</f>
        <v/>
      </c>
      <c r="J51" s="72" t="str">
        <f>IF('Registrar bienes de inversión'!J51="","",'Registrar bienes de inversión'!J51)</f>
        <v/>
      </c>
      <c r="K51" s="72" t="str">
        <f>IF('Registrar bienes de inversión'!K51="","",'Registrar bienes de inversión'!K51)</f>
        <v/>
      </c>
      <c r="L51" s="60" t="str">
        <f>IF('Registrar bienes de inversión'!L51="","",VLOOKUP(CONCATENATE("METODO AMORTIZACION",'Registrar bienes de inversión'!L51),'CODIGO-LITERAL'!$C:$D,2,FALSE))</f>
        <v/>
      </c>
      <c r="M51" s="72" t="str">
        <f>IF('Registrar bienes de inversión'!M51="","",'Registrar bienes de inversión'!M51)</f>
        <v/>
      </c>
      <c r="N51" s="72" t="str">
        <f>IF('Registrar bienes de inversión'!N51="","",'Registrar bienes de inversión'!N51)</f>
        <v/>
      </c>
      <c r="O51" s="72" t="str">
        <f>IF('Registrar bienes de inversión'!O51="","",'Registrar bienes de inversión'!O51)</f>
        <v/>
      </c>
      <c r="P51" s="72" t="str">
        <f>IF('Registrar bienes de inversión'!P51="","",'Registrar bienes de inversión'!P51)</f>
        <v/>
      </c>
      <c r="Q51" s="72" t="str">
        <f>IF('Registrar bienes de inversión'!Q51="","",'Registrar bienes de inversión'!Q51)</f>
        <v/>
      </c>
      <c r="R51" s="64" t="str">
        <f>IF('Registrar bienes de inversión'!R51="","",'Registrar bienes de inversión'!R51)</f>
        <v/>
      </c>
      <c r="S51" s="60" t="str">
        <f>IF('Registrar bienes de inversión'!S51="","",'Registrar bienes de inversión'!S51)</f>
        <v/>
      </c>
      <c r="T51" s="60" t="str">
        <f>IF('Registrar bienes de inversión'!T51="","",'Registrar bienes de inversión'!T51)</f>
        <v/>
      </c>
      <c r="U51" s="60" t="str">
        <f>IF('Registrar bienes de inversión'!U51="","",'Registrar bienes de inversión'!U51)</f>
        <v/>
      </c>
      <c r="V51" s="60" t="str">
        <f>IF('Registrar bienes de inversión'!V51="","",'Registrar bienes de inversión'!V51)</f>
        <v/>
      </c>
      <c r="W51" s="60" t="str">
        <f>IF(OR('Registrar bienes de inversión'!W51="",LEFT('Registrar bienes de inversión'!W51,2)="01"),"",VLOOKUP(CONCATENATE("TIPO NIF",'Registrar bienes de inversión'!W51),'CODIGO-LITERAL'!$C:$D,2,FALSE))</f>
        <v/>
      </c>
      <c r="X51" s="60" t="str">
        <f>IF('Registrar bienes de inversión'!X51="","",'Registrar bienes de inversión'!X51)</f>
        <v/>
      </c>
      <c r="Y51" s="60" t="str">
        <f>IF('Registrar bienes de inversión'!Y51="","",'Registrar bienes de inversión'!Y51)</f>
        <v/>
      </c>
      <c r="Z51" s="60" t="str">
        <f>IF('Registrar bienes de inversión'!Z51="","",'Registrar bienes de inversión'!Z51)</f>
        <v/>
      </c>
      <c r="AA51" s="72" t="str">
        <f>IF('Registrar bienes de inversión'!AA51="","",ROUND('Registrar bienes de inversión'!AA51,2))</f>
        <v/>
      </c>
      <c r="AB51" s="72" t="str">
        <f>IF('Registrar bienes de inversión'!AB51="","",'Registrar bienes de inversión'!AB51)</f>
        <v/>
      </c>
      <c r="AC51" s="72" t="str">
        <f>IF('Registrar bienes de inversión'!AC51="","",ROUND('Registrar bienes de inversión'!AC51,2))</f>
        <v/>
      </c>
      <c r="AD51" s="72" t="str">
        <f>IF('Registrar bienes de inversión'!AD51="","",ROUND('Registrar bienes de inversión'!AD51,2))</f>
        <v/>
      </c>
      <c r="AE51" s="72" t="str">
        <f>IF('Registrar bienes de inversión'!AE51="","",ROUND('Registrar bienes de inversión'!AE51,2))</f>
        <v/>
      </c>
      <c r="AF51" s="72" t="str">
        <f>IF('Registrar bienes de inversión'!AF51="","",ROUND('Registrar bienes de inversión'!AF51,2))</f>
        <v/>
      </c>
      <c r="AG51" s="72" t="str">
        <f>IF('Registrar bienes de inversión'!AG51="","",ROUND('Registrar bienes de inversión'!AG51,2))</f>
        <v/>
      </c>
      <c r="AH51" s="64" t="str">
        <f>IF('Registrar bienes de inversión'!AH51="","",'Registrar bienes de inversión'!AH51)</f>
        <v/>
      </c>
      <c r="AI51" s="60" t="str">
        <f>IF('Registrar bienes de inversión'!AI51="","",VLOOKUP(CONCATENATE("CAUSA BAJA BIEN",'Registrar bienes de inversión'!AI51),'CODIGO-LITERAL'!$C:$D,2,FALSE))</f>
        <v/>
      </c>
      <c r="AJ51" s="60" t="str">
        <f>IF('Registrar bienes de inversión'!AJ51="","",'Registrar bienes de inversión'!AJ51)</f>
        <v/>
      </c>
      <c r="AK51" s="60" t="str">
        <f>IF('Registrar bienes de inversión'!AK51="","",'Registrar bienes de inversión'!AK51)</f>
        <v/>
      </c>
      <c r="AL51" s="60" t="str">
        <f>IF('Registrar bienes de inversión'!AL51="","",'Registrar bienes de inversión'!AL51)</f>
        <v/>
      </c>
      <c r="AM51" s="60" t="str">
        <f>IF('Registrar bienes de inversión'!AM51="","",'Registrar bienes de inversión'!AM51)</f>
        <v/>
      </c>
      <c r="AN51" s="60" t="str">
        <f>IF('Registrar bienes de inversión'!AN51="","",VLOOKUP(CONCATENATE("SITUACION",'Registrar bienes de inversión'!AN51),'CODIGO-LITERAL'!$C:$D,2,FALSE))</f>
        <v/>
      </c>
      <c r="AO51" s="60" t="str">
        <f>IF('Registrar bienes de inversión'!AO51="","",'Registrar bienes de inversión'!AO51)</f>
        <v/>
      </c>
      <c r="AP51" s="60" t="str">
        <f>IF('Registrar bienes de inversión'!AP51="","",'Registrar bienes de inversión'!AP51)</f>
        <v/>
      </c>
    </row>
    <row r="52" spans="1:42" x14ac:dyDescent="0.25">
      <c r="A52" s="71" t="str">
        <f>IF('Registrar bienes de inversión'!A52="","",'Registrar bienes de inversión'!A52)</f>
        <v/>
      </c>
      <c r="B52" s="60" t="str">
        <f>IF('Registrar bienes de inversión'!B52="","",'Registrar bienes de inversión'!B52)</f>
        <v/>
      </c>
      <c r="C52" s="60" t="str">
        <f>IF('Registrar bienes de inversión'!C52="","",VLOOKUP(CONCATENATE("ACTIVIDAD",'Registrar bienes de inversión'!C52),'CODIGO-LITERAL'!$C:$D,2,FALSE))</f>
        <v/>
      </c>
      <c r="D52" s="60" t="str">
        <f>IF(OR(C52="C",C52="D"),"",IF(ISERROR(VLOOKUP(CONCATENATE(C52,'Registrar bienes de inversión'!D52),'CODIGO-LITERAL'!$C:$D,2,FALSE)),"",VLOOKUP(CONCATENATE(C52,'Registrar bienes de inversión'!D52),'CODIGO-LITERAL'!$C:$D,2,FALSE)))</f>
        <v/>
      </c>
      <c r="E52" s="60" t="str">
        <f>IF('Registrar bienes de inversión'!E52="","",'Registrar bienes de inversión'!E52)</f>
        <v/>
      </c>
      <c r="F52" s="60" t="str">
        <f>IF('Registrar bienes de inversión'!F52="","",VLOOKUP(CONCATENATE("TIPO BIEN",'Registrar bienes de inversión'!F52),'CODIGO-LITERAL'!$C:$D,2,FALSE))</f>
        <v/>
      </c>
      <c r="G52" s="60" t="str">
        <f>IF('Registrar bienes de inversión'!G52="","",'Registrar bienes de inversión'!G52)</f>
        <v/>
      </c>
      <c r="H52" s="60" t="str">
        <f>IF('Registrar bienes de inversión'!H52="","",'Registrar bienes de inversión'!H52)</f>
        <v/>
      </c>
      <c r="I52" s="64" t="str">
        <f>IF('Registrar bienes de inversión'!I52="","",'Registrar bienes de inversión'!I52)</f>
        <v/>
      </c>
      <c r="J52" s="72" t="str">
        <f>IF('Registrar bienes de inversión'!J52="","",'Registrar bienes de inversión'!J52)</f>
        <v/>
      </c>
      <c r="K52" s="72" t="str">
        <f>IF('Registrar bienes de inversión'!K52="","",'Registrar bienes de inversión'!K52)</f>
        <v/>
      </c>
      <c r="L52" s="60" t="str">
        <f>IF('Registrar bienes de inversión'!L52="","",VLOOKUP(CONCATENATE("METODO AMORTIZACION",'Registrar bienes de inversión'!L52),'CODIGO-LITERAL'!$C:$D,2,FALSE))</f>
        <v/>
      </c>
      <c r="M52" s="72" t="str">
        <f>IF('Registrar bienes de inversión'!M52="","",'Registrar bienes de inversión'!M52)</f>
        <v/>
      </c>
      <c r="N52" s="72" t="str">
        <f>IF('Registrar bienes de inversión'!N52="","",'Registrar bienes de inversión'!N52)</f>
        <v/>
      </c>
      <c r="O52" s="72" t="str">
        <f>IF('Registrar bienes de inversión'!O52="","",'Registrar bienes de inversión'!O52)</f>
        <v/>
      </c>
      <c r="P52" s="72" t="str">
        <f>IF('Registrar bienes de inversión'!P52="","",'Registrar bienes de inversión'!P52)</f>
        <v/>
      </c>
      <c r="Q52" s="72" t="str">
        <f>IF('Registrar bienes de inversión'!Q52="","",'Registrar bienes de inversión'!Q52)</f>
        <v/>
      </c>
      <c r="R52" s="64" t="str">
        <f>IF('Registrar bienes de inversión'!R52="","",'Registrar bienes de inversión'!R52)</f>
        <v/>
      </c>
      <c r="S52" s="60" t="str">
        <f>IF('Registrar bienes de inversión'!S52="","",'Registrar bienes de inversión'!S52)</f>
        <v/>
      </c>
      <c r="T52" s="60" t="str">
        <f>IF('Registrar bienes de inversión'!T52="","",'Registrar bienes de inversión'!T52)</f>
        <v/>
      </c>
      <c r="U52" s="60" t="str">
        <f>IF('Registrar bienes de inversión'!U52="","",'Registrar bienes de inversión'!U52)</f>
        <v/>
      </c>
      <c r="V52" s="60" t="str">
        <f>IF('Registrar bienes de inversión'!V52="","",'Registrar bienes de inversión'!V52)</f>
        <v/>
      </c>
      <c r="W52" s="60" t="str">
        <f>IF(OR('Registrar bienes de inversión'!W52="",LEFT('Registrar bienes de inversión'!W52,2)="01"),"",VLOOKUP(CONCATENATE("TIPO NIF",'Registrar bienes de inversión'!W52),'CODIGO-LITERAL'!$C:$D,2,FALSE))</f>
        <v/>
      </c>
      <c r="X52" s="60" t="str">
        <f>IF('Registrar bienes de inversión'!X52="","",'Registrar bienes de inversión'!X52)</f>
        <v/>
      </c>
      <c r="Y52" s="60" t="str">
        <f>IF('Registrar bienes de inversión'!Y52="","",'Registrar bienes de inversión'!Y52)</f>
        <v/>
      </c>
      <c r="Z52" s="60" t="str">
        <f>IF('Registrar bienes de inversión'!Z52="","",'Registrar bienes de inversión'!Z52)</f>
        <v/>
      </c>
      <c r="AA52" s="72" t="str">
        <f>IF('Registrar bienes de inversión'!AA52="","",ROUND('Registrar bienes de inversión'!AA52,2))</f>
        <v/>
      </c>
      <c r="AB52" s="72" t="str">
        <f>IF('Registrar bienes de inversión'!AB52="","",'Registrar bienes de inversión'!AB52)</f>
        <v/>
      </c>
      <c r="AC52" s="72" t="str">
        <f>IF('Registrar bienes de inversión'!AC52="","",ROUND('Registrar bienes de inversión'!AC52,2))</f>
        <v/>
      </c>
      <c r="AD52" s="72" t="str">
        <f>IF('Registrar bienes de inversión'!AD52="","",ROUND('Registrar bienes de inversión'!AD52,2))</f>
        <v/>
      </c>
      <c r="AE52" s="72" t="str">
        <f>IF('Registrar bienes de inversión'!AE52="","",ROUND('Registrar bienes de inversión'!AE52,2))</f>
        <v/>
      </c>
      <c r="AF52" s="72" t="str">
        <f>IF('Registrar bienes de inversión'!AF52="","",ROUND('Registrar bienes de inversión'!AF52,2))</f>
        <v/>
      </c>
      <c r="AG52" s="72" t="str">
        <f>IF('Registrar bienes de inversión'!AG52="","",ROUND('Registrar bienes de inversión'!AG52,2))</f>
        <v/>
      </c>
      <c r="AH52" s="64" t="str">
        <f>IF('Registrar bienes de inversión'!AH52="","",'Registrar bienes de inversión'!AH52)</f>
        <v/>
      </c>
      <c r="AI52" s="60" t="str">
        <f>IF('Registrar bienes de inversión'!AI52="","",VLOOKUP(CONCATENATE("CAUSA BAJA BIEN",'Registrar bienes de inversión'!AI52),'CODIGO-LITERAL'!$C:$D,2,FALSE))</f>
        <v/>
      </c>
      <c r="AJ52" s="60" t="str">
        <f>IF('Registrar bienes de inversión'!AJ52="","",'Registrar bienes de inversión'!AJ52)</f>
        <v/>
      </c>
      <c r="AK52" s="60" t="str">
        <f>IF('Registrar bienes de inversión'!AK52="","",'Registrar bienes de inversión'!AK52)</f>
        <v/>
      </c>
      <c r="AL52" s="60" t="str">
        <f>IF('Registrar bienes de inversión'!AL52="","",'Registrar bienes de inversión'!AL52)</f>
        <v/>
      </c>
      <c r="AM52" s="60" t="str">
        <f>IF('Registrar bienes de inversión'!AM52="","",'Registrar bienes de inversión'!AM52)</f>
        <v/>
      </c>
      <c r="AN52" s="60" t="str">
        <f>IF('Registrar bienes de inversión'!AN52="","",VLOOKUP(CONCATENATE("SITUACION",'Registrar bienes de inversión'!AN52),'CODIGO-LITERAL'!$C:$D,2,FALSE))</f>
        <v/>
      </c>
      <c r="AO52" s="60" t="str">
        <f>IF('Registrar bienes de inversión'!AO52="","",'Registrar bienes de inversión'!AO52)</f>
        <v/>
      </c>
      <c r="AP52" s="60" t="str">
        <f>IF('Registrar bienes de inversión'!AP52="","",'Registrar bienes de inversión'!AP52)</f>
        <v/>
      </c>
    </row>
    <row r="53" spans="1:42" x14ac:dyDescent="0.25">
      <c r="A53" s="71" t="str">
        <f>IF('Registrar bienes de inversión'!A53="","",'Registrar bienes de inversión'!A53)</f>
        <v/>
      </c>
      <c r="B53" s="60" t="str">
        <f>IF('Registrar bienes de inversión'!B53="","",'Registrar bienes de inversión'!B53)</f>
        <v/>
      </c>
      <c r="C53" s="60" t="str">
        <f>IF('Registrar bienes de inversión'!C53="","",VLOOKUP(CONCATENATE("ACTIVIDAD",'Registrar bienes de inversión'!C53),'CODIGO-LITERAL'!$C:$D,2,FALSE))</f>
        <v/>
      </c>
      <c r="D53" s="60" t="str">
        <f>IF(OR(C53="C",C53="D"),"",IF(ISERROR(VLOOKUP(CONCATENATE(C53,'Registrar bienes de inversión'!D53),'CODIGO-LITERAL'!$C:$D,2,FALSE)),"",VLOOKUP(CONCATENATE(C53,'Registrar bienes de inversión'!D53),'CODIGO-LITERAL'!$C:$D,2,FALSE)))</f>
        <v/>
      </c>
      <c r="E53" s="60" t="str">
        <f>IF('Registrar bienes de inversión'!E53="","",'Registrar bienes de inversión'!E53)</f>
        <v/>
      </c>
      <c r="F53" s="60" t="str">
        <f>IF('Registrar bienes de inversión'!F53="","",VLOOKUP(CONCATENATE("TIPO BIEN",'Registrar bienes de inversión'!F53),'CODIGO-LITERAL'!$C:$D,2,FALSE))</f>
        <v/>
      </c>
      <c r="G53" s="60" t="str">
        <f>IF('Registrar bienes de inversión'!G53="","",'Registrar bienes de inversión'!G53)</f>
        <v/>
      </c>
      <c r="H53" s="60" t="str">
        <f>IF('Registrar bienes de inversión'!H53="","",'Registrar bienes de inversión'!H53)</f>
        <v/>
      </c>
      <c r="I53" s="64" t="str">
        <f>IF('Registrar bienes de inversión'!I53="","",'Registrar bienes de inversión'!I53)</f>
        <v/>
      </c>
      <c r="J53" s="72" t="str">
        <f>IF('Registrar bienes de inversión'!J53="","",'Registrar bienes de inversión'!J53)</f>
        <v/>
      </c>
      <c r="K53" s="72" t="str">
        <f>IF('Registrar bienes de inversión'!K53="","",'Registrar bienes de inversión'!K53)</f>
        <v/>
      </c>
      <c r="L53" s="60" t="str">
        <f>IF('Registrar bienes de inversión'!L53="","",VLOOKUP(CONCATENATE("METODO AMORTIZACION",'Registrar bienes de inversión'!L53),'CODIGO-LITERAL'!$C:$D,2,FALSE))</f>
        <v/>
      </c>
      <c r="M53" s="72" t="str">
        <f>IF('Registrar bienes de inversión'!M53="","",'Registrar bienes de inversión'!M53)</f>
        <v/>
      </c>
      <c r="N53" s="72" t="str">
        <f>IF('Registrar bienes de inversión'!N53="","",'Registrar bienes de inversión'!N53)</f>
        <v/>
      </c>
      <c r="O53" s="72" t="str">
        <f>IF('Registrar bienes de inversión'!O53="","",'Registrar bienes de inversión'!O53)</f>
        <v/>
      </c>
      <c r="P53" s="72" t="str">
        <f>IF('Registrar bienes de inversión'!P53="","",'Registrar bienes de inversión'!P53)</f>
        <v/>
      </c>
      <c r="Q53" s="72" t="str">
        <f>IF('Registrar bienes de inversión'!Q53="","",'Registrar bienes de inversión'!Q53)</f>
        <v/>
      </c>
      <c r="R53" s="64" t="str">
        <f>IF('Registrar bienes de inversión'!R53="","",'Registrar bienes de inversión'!R53)</f>
        <v/>
      </c>
      <c r="S53" s="60" t="str">
        <f>IF('Registrar bienes de inversión'!S53="","",'Registrar bienes de inversión'!S53)</f>
        <v/>
      </c>
      <c r="T53" s="60" t="str">
        <f>IF('Registrar bienes de inversión'!T53="","",'Registrar bienes de inversión'!T53)</f>
        <v/>
      </c>
      <c r="U53" s="60" t="str">
        <f>IF('Registrar bienes de inversión'!U53="","",'Registrar bienes de inversión'!U53)</f>
        <v/>
      </c>
      <c r="V53" s="60" t="str">
        <f>IF('Registrar bienes de inversión'!V53="","",'Registrar bienes de inversión'!V53)</f>
        <v/>
      </c>
      <c r="W53" s="60" t="str">
        <f>IF(OR('Registrar bienes de inversión'!W53="",LEFT('Registrar bienes de inversión'!W53,2)="01"),"",VLOOKUP(CONCATENATE("TIPO NIF",'Registrar bienes de inversión'!W53),'CODIGO-LITERAL'!$C:$D,2,FALSE))</f>
        <v/>
      </c>
      <c r="X53" s="60" t="str">
        <f>IF('Registrar bienes de inversión'!X53="","",'Registrar bienes de inversión'!X53)</f>
        <v/>
      </c>
      <c r="Y53" s="60" t="str">
        <f>IF('Registrar bienes de inversión'!Y53="","",'Registrar bienes de inversión'!Y53)</f>
        <v/>
      </c>
      <c r="Z53" s="60" t="str">
        <f>IF('Registrar bienes de inversión'!Z53="","",'Registrar bienes de inversión'!Z53)</f>
        <v/>
      </c>
      <c r="AA53" s="72" t="str">
        <f>IF('Registrar bienes de inversión'!AA53="","",ROUND('Registrar bienes de inversión'!AA53,2))</f>
        <v/>
      </c>
      <c r="AB53" s="72" t="str">
        <f>IF('Registrar bienes de inversión'!AB53="","",'Registrar bienes de inversión'!AB53)</f>
        <v/>
      </c>
      <c r="AC53" s="72" t="str">
        <f>IF('Registrar bienes de inversión'!AC53="","",ROUND('Registrar bienes de inversión'!AC53,2))</f>
        <v/>
      </c>
      <c r="AD53" s="72" t="str">
        <f>IF('Registrar bienes de inversión'!AD53="","",ROUND('Registrar bienes de inversión'!AD53,2))</f>
        <v/>
      </c>
      <c r="AE53" s="72" t="str">
        <f>IF('Registrar bienes de inversión'!AE53="","",ROUND('Registrar bienes de inversión'!AE53,2))</f>
        <v/>
      </c>
      <c r="AF53" s="72" t="str">
        <f>IF('Registrar bienes de inversión'!AF53="","",ROUND('Registrar bienes de inversión'!AF53,2))</f>
        <v/>
      </c>
      <c r="AG53" s="72" t="str">
        <f>IF('Registrar bienes de inversión'!AG53="","",ROUND('Registrar bienes de inversión'!AG53,2))</f>
        <v/>
      </c>
      <c r="AH53" s="64" t="str">
        <f>IF('Registrar bienes de inversión'!AH53="","",'Registrar bienes de inversión'!AH53)</f>
        <v/>
      </c>
      <c r="AI53" s="60" t="str">
        <f>IF('Registrar bienes de inversión'!AI53="","",VLOOKUP(CONCATENATE("CAUSA BAJA BIEN",'Registrar bienes de inversión'!AI53),'CODIGO-LITERAL'!$C:$D,2,FALSE))</f>
        <v/>
      </c>
      <c r="AJ53" s="60" t="str">
        <f>IF('Registrar bienes de inversión'!AJ53="","",'Registrar bienes de inversión'!AJ53)</f>
        <v/>
      </c>
      <c r="AK53" s="60" t="str">
        <f>IF('Registrar bienes de inversión'!AK53="","",'Registrar bienes de inversión'!AK53)</f>
        <v/>
      </c>
      <c r="AL53" s="60" t="str">
        <f>IF('Registrar bienes de inversión'!AL53="","",'Registrar bienes de inversión'!AL53)</f>
        <v/>
      </c>
      <c r="AM53" s="60" t="str">
        <f>IF('Registrar bienes de inversión'!AM53="","",'Registrar bienes de inversión'!AM53)</f>
        <v/>
      </c>
      <c r="AN53" s="60" t="str">
        <f>IF('Registrar bienes de inversión'!AN53="","",VLOOKUP(CONCATENATE("SITUACION",'Registrar bienes de inversión'!AN53),'CODIGO-LITERAL'!$C:$D,2,FALSE))</f>
        <v/>
      </c>
      <c r="AO53" s="60" t="str">
        <f>IF('Registrar bienes de inversión'!AO53="","",'Registrar bienes de inversión'!AO53)</f>
        <v/>
      </c>
      <c r="AP53" s="60" t="str">
        <f>IF('Registrar bienes de inversión'!AP53="","",'Registrar bienes de inversión'!AP53)</f>
        <v/>
      </c>
    </row>
    <row r="54" spans="1:42" x14ac:dyDescent="0.25">
      <c r="A54" s="71" t="str">
        <f>IF('Registrar bienes de inversión'!A54="","",'Registrar bienes de inversión'!A54)</f>
        <v/>
      </c>
      <c r="B54" s="60" t="str">
        <f>IF('Registrar bienes de inversión'!B54="","",'Registrar bienes de inversión'!B54)</f>
        <v/>
      </c>
      <c r="C54" s="60" t="str">
        <f>IF('Registrar bienes de inversión'!C54="","",VLOOKUP(CONCATENATE("ACTIVIDAD",'Registrar bienes de inversión'!C54),'CODIGO-LITERAL'!$C:$D,2,FALSE))</f>
        <v/>
      </c>
      <c r="D54" s="60" t="str">
        <f>IF(OR(C54="C",C54="D"),"",IF(ISERROR(VLOOKUP(CONCATENATE(C54,'Registrar bienes de inversión'!D54),'CODIGO-LITERAL'!$C:$D,2,FALSE)),"",VLOOKUP(CONCATENATE(C54,'Registrar bienes de inversión'!D54),'CODIGO-LITERAL'!$C:$D,2,FALSE)))</f>
        <v/>
      </c>
      <c r="E54" s="60" t="str">
        <f>IF('Registrar bienes de inversión'!E54="","",'Registrar bienes de inversión'!E54)</f>
        <v/>
      </c>
      <c r="F54" s="60" t="str">
        <f>IF('Registrar bienes de inversión'!F54="","",VLOOKUP(CONCATENATE("TIPO BIEN",'Registrar bienes de inversión'!F54),'CODIGO-LITERAL'!$C:$D,2,FALSE))</f>
        <v/>
      </c>
      <c r="G54" s="60" t="str">
        <f>IF('Registrar bienes de inversión'!G54="","",'Registrar bienes de inversión'!G54)</f>
        <v/>
      </c>
      <c r="H54" s="60" t="str">
        <f>IF('Registrar bienes de inversión'!H54="","",'Registrar bienes de inversión'!H54)</f>
        <v/>
      </c>
      <c r="I54" s="64" t="str">
        <f>IF('Registrar bienes de inversión'!I54="","",'Registrar bienes de inversión'!I54)</f>
        <v/>
      </c>
      <c r="J54" s="72" t="str">
        <f>IF('Registrar bienes de inversión'!J54="","",'Registrar bienes de inversión'!J54)</f>
        <v/>
      </c>
      <c r="K54" s="72" t="str">
        <f>IF('Registrar bienes de inversión'!K54="","",'Registrar bienes de inversión'!K54)</f>
        <v/>
      </c>
      <c r="L54" s="60" t="str">
        <f>IF('Registrar bienes de inversión'!L54="","",VLOOKUP(CONCATENATE("METODO AMORTIZACION",'Registrar bienes de inversión'!L54),'CODIGO-LITERAL'!$C:$D,2,FALSE))</f>
        <v/>
      </c>
      <c r="M54" s="72" t="str">
        <f>IF('Registrar bienes de inversión'!M54="","",'Registrar bienes de inversión'!M54)</f>
        <v/>
      </c>
      <c r="N54" s="72" t="str">
        <f>IF('Registrar bienes de inversión'!N54="","",'Registrar bienes de inversión'!N54)</f>
        <v/>
      </c>
      <c r="O54" s="72" t="str">
        <f>IF('Registrar bienes de inversión'!O54="","",'Registrar bienes de inversión'!O54)</f>
        <v/>
      </c>
      <c r="P54" s="72" t="str">
        <f>IF('Registrar bienes de inversión'!P54="","",'Registrar bienes de inversión'!P54)</f>
        <v/>
      </c>
      <c r="Q54" s="72" t="str">
        <f>IF('Registrar bienes de inversión'!Q54="","",'Registrar bienes de inversión'!Q54)</f>
        <v/>
      </c>
      <c r="R54" s="64" t="str">
        <f>IF('Registrar bienes de inversión'!R54="","",'Registrar bienes de inversión'!R54)</f>
        <v/>
      </c>
      <c r="S54" s="60" t="str">
        <f>IF('Registrar bienes de inversión'!S54="","",'Registrar bienes de inversión'!S54)</f>
        <v/>
      </c>
      <c r="T54" s="60" t="str">
        <f>IF('Registrar bienes de inversión'!T54="","",'Registrar bienes de inversión'!T54)</f>
        <v/>
      </c>
      <c r="U54" s="60" t="str">
        <f>IF('Registrar bienes de inversión'!U54="","",'Registrar bienes de inversión'!U54)</f>
        <v/>
      </c>
      <c r="V54" s="60" t="str">
        <f>IF('Registrar bienes de inversión'!V54="","",'Registrar bienes de inversión'!V54)</f>
        <v/>
      </c>
      <c r="W54" s="60" t="str">
        <f>IF(OR('Registrar bienes de inversión'!W54="",LEFT('Registrar bienes de inversión'!W54,2)="01"),"",VLOOKUP(CONCATENATE("TIPO NIF",'Registrar bienes de inversión'!W54),'CODIGO-LITERAL'!$C:$D,2,FALSE))</f>
        <v/>
      </c>
      <c r="X54" s="60" t="str">
        <f>IF('Registrar bienes de inversión'!X54="","",'Registrar bienes de inversión'!X54)</f>
        <v/>
      </c>
      <c r="Y54" s="60" t="str">
        <f>IF('Registrar bienes de inversión'!Y54="","",'Registrar bienes de inversión'!Y54)</f>
        <v/>
      </c>
      <c r="Z54" s="60" t="str">
        <f>IF('Registrar bienes de inversión'!Z54="","",'Registrar bienes de inversión'!Z54)</f>
        <v/>
      </c>
      <c r="AA54" s="72" t="str">
        <f>IF('Registrar bienes de inversión'!AA54="","",ROUND('Registrar bienes de inversión'!AA54,2))</f>
        <v/>
      </c>
      <c r="AB54" s="72" t="str">
        <f>IF('Registrar bienes de inversión'!AB54="","",'Registrar bienes de inversión'!AB54)</f>
        <v/>
      </c>
      <c r="AC54" s="72" t="str">
        <f>IF('Registrar bienes de inversión'!AC54="","",ROUND('Registrar bienes de inversión'!AC54,2))</f>
        <v/>
      </c>
      <c r="AD54" s="72" t="str">
        <f>IF('Registrar bienes de inversión'!AD54="","",ROUND('Registrar bienes de inversión'!AD54,2))</f>
        <v/>
      </c>
      <c r="AE54" s="72" t="str">
        <f>IF('Registrar bienes de inversión'!AE54="","",ROUND('Registrar bienes de inversión'!AE54,2))</f>
        <v/>
      </c>
      <c r="AF54" s="72" t="str">
        <f>IF('Registrar bienes de inversión'!AF54="","",ROUND('Registrar bienes de inversión'!AF54,2))</f>
        <v/>
      </c>
      <c r="AG54" s="72" t="str">
        <f>IF('Registrar bienes de inversión'!AG54="","",ROUND('Registrar bienes de inversión'!AG54,2))</f>
        <v/>
      </c>
      <c r="AH54" s="64" t="str">
        <f>IF('Registrar bienes de inversión'!AH54="","",'Registrar bienes de inversión'!AH54)</f>
        <v/>
      </c>
      <c r="AI54" s="60" t="str">
        <f>IF('Registrar bienes de inversión'!AI54="","",VLOOKUP(CONCATENATE("CAUSA BAJA BIEN",'Registrar bienes de inversión'!AI54),'CODIGO-LITERAL'!$C:$D,2,FALSE))</f>
        <v/>
      </c>
      <c r="AJ54" s="60" t="str">
        <f>IF('Registrar bienes de inversión'!AJ54="","",'Registrar bienes de inversión'!AJ54)</f>
        <v/>
      </c>
      <c r="AK54" s="60" t="str">
        <f>IF('Registrar bienes de inversión'!AK54="","",'Registrar bienes de inversión'!AK54)</f>
        <v/>
      </c>
      <c r="AL54" s="60" t="str">
        <f>IF('Registrar bienes de inversión'!AL54="","",'Registrar bienes de inversión'!AL54)</f>
        <v/>
      </c>
      <c r="AM54" s="60" t="str">
        <f>IF('Registrar bienes de inversión'!AM54="","",'Registrar bienes de inversión'!AM54)</f>
        <v/>
      </c>
      <c r="AN54" s="60" t="str">
        <f>IF('Registrar bienes de inversión'!AN54="","",VLOOKUP(CONCATENATE("SITUACION",'Registrar bienes de inversión'!AN54),'CODIGO-LITERAL'!$C:$D,2,FALSE))</f>
        <v/>
      </c>
      <c r="AO54" s="60" t="str">
        <f>IF('Registrar bienes de inversión'!AO54="","",'Registrar bienes de inversión'!AO54)</f>
        <v/>
      </c>
      <c r="AP54" s="60" t="str">
        <f>IF('Registrar bienes de inversión'!AP54="","",'Registrar bienes de inversión'!AP54)</f>
        <v/>
      </c>
    </row>
    <row r="55" spans="1:42" x14ac:dyDescent="0.25">
      <c r="A55" s="71" t="str">
        <f>IF('Registrar bienes de inversión'!A55="","",'Registrar bienes de inversión'!A55)</f>
        <v/>
      </c>
      <c r="B55" s="60" t="str">
        <f>IF('Registrar bienes de inversión'!B55="","",'Registrar bienes de inversión'!B55)</f>
        <v/>
      </c>
      <c r="C55" s="60" t="str">
        <f>IF('Registrar bienes de inversión'!C55="","",VLOOKUP(CONCATENATE("ACTIVIDAD",'Registrar bienes de inversión'!C55),'CODIGO-LITERAL'!$C:$D,2,FALSE))</f>
        <v/>
      </c>
      <c r="D55" s="60" t="str">
        <f>IF(OR(C55="C",C55="D"),"",IF(ISERROR(VLOOKUP(CONCATENATE(C55,'Registrar bienes de inversión'!D55),'CODIGO-LITERAL'!$C:$D,2,FALSE)),"",VLOOKUP(CONCATENATE(C55,'Registrar bienes de inversión'!D55),'CODIGO-LITERAL'!$C:$D,2,FALSE)))</f>
        <v/>
      </c>
      <c r="E55" s="60" t="str">
        <f>IF('Registrar bienes de inversión'!E55="","",'Registrar bienes de inversión'!E55)</f>
        <v/>
      </c>
      <c r="F55" s="60" t="str">
        <f>IF('Registrar bienes de inversión'!F55="","",VLOOKUP(CONCATENATE("TIPO BIEN",'Registrar bienes de inversión'!F55),'CODIGO-LITERAL'!$C:$D,2,FALSE))</f>
        <v/>
      </c>
      <c r="G55" s="60" t="str">
        <f>IF('Registrar bienes de inversión'!G55="","",'Registrar bienes de inversión'!G55)</f>
        <v/>
      </c>
      <c r="H55" s="60" t="str">
        <f>IF('Registrar bienes de inversión'!H55="","",'Registrar bienes de inversión'!H55)</f>
        <v/>
      </c>
      <c r="I55" s="64" t="str">
        <f>IF('Registrar bienes de inversión'!I55="","",'Registrar bienes de inversión'!I55)</f>
        <v/>
      </c>
      <c r="J55" s="72" t="str">
        <f>IF('Registrar bienes de inversión'!J55="","",'Registrar bienes de inversión'!J55)</f>
        <v/>
      </c>
      <c r="K55" s="72" t="str">
        <f>IF('Registrar bienes de inversión'!K55="","",'Registrar bienes de inversión'!K55)</f>
        <v/>
      </c>
      <c r="L55" s="60" t="str">
        <f>IF('Registrar bienes de inversión'!L55="","",VLOOKUP(CONCATENATE("METODO AMORTIZACION",'Registrar bienes de inversión'!L55),'CODIGO-LITERAL'!$C:$D,2,FALSE))</f>
        <v/>
      </c>
      <c r="M55" s="72" t="str">
        <f>IF('Registrar bienes de inversión'!M55="","",'Registrar bienes de inversión'!M55)</f>
        <v/>
      </c>
      <c r="N55" s="72" t="str">
        <f>IF('Registrar bienes de inversión'!N55="","",'Registrar bienes de inversión'!N55)</f>
        <v/>
      </c>
      <c r="O55" s="72" t="str">
        <f>IF('Registrar bienes de inversión'!O55="","",'Registrar bienes de inversión'!O55)</f>
        <v/>
      </c>
      <c r="P55" s="72" t="str">
        <f>IF('Registrar bienes de inversión'!P55="","",'Registrar bienes de inversión'!P55)</f>
        <v/>
      </c>
      <c r="Q55" s="72" t="str">
        <f>IF('Registrar bienes de inversión'!Q55="","",'Registrar bienes de inversión'!Q55)</f>
        <v/>
      </c>
      <c r="R55" s="64" t="str">
        <f>IF('Registrar bienes de inversión'!R55="","",'Registrar bienes de inversión'!R55)</f>
        <v/>
      </c>
      <c r="S55" s="60" t="str">
        <f>IF('Registrar bienes de inversión'!S55="","",'Registrar bienes de inversión'!S55)</f>
        <v/>
      </c>
      <c r="T55" s="60" t="str">
        <f>IF('Registrar bienes de inversión'!T55="","",'Registrar bienes de inversión'!T55)</f>
        <v/>
      </c>
      <c r="U55" s="60" t="str">
        <f>IF('Registrar bienes de inversión'!U55="","",'Registrar bienes de inversión'!U55)</f>
        <v/>
      </c>
      <c r="V55" s="60" t="str">
        <f>IF('Registrar bienes de inversión'!V55="","",'Registrar bienes de inversión'!V55)</f>
        <v/>
      </c>
      <c r="W55" s="60" t="str">
        <f>IF(OR('Registrar bienes de inversión'!W55="",LEFT('Registrar bienes de inversión'!W55,2)="01"),"",VLOOKUP(CONCATENATE("TIPO NIF",'Registrar bienes de inversión'!W55),'CODIGO-LITERAL'!$C:$D,2,FALSE))</f>
        <v/>
      </c>
      <c r="X55" s="60" t="str">
        <f>IF('Registrar bienes de inversión'!X55="","",'Registrar bienes de inversión'!X55)</f>
        <v/>
      </c>
      <c r="Y55" s="60" t="str">
        <f>IF('Registrar bienes de inversión'!Y55="","",'Registrar bienes de inversión'!Y55)</f>
        <v/>
      </c>
      <c r="Z55" s="60" t="str">
        <f>IF('Registrar bienes de inversión'!Z55="","",'Registrar bienes de inversión'!Z55)</f>
        <v/>
      </c>
      <c r="AA55" s="72" t="str">
        <f>IF('Registrar bienes de inversión'!AA55="","",ROUND('Registrar bienes de inversión'!AA55,2))</f>
        <v/>
      </c>
      <c r="AB55" s="72" t="str">
        <f>IF('Registrar bienes de inversión'!AB55="","",'Registrar bienes de inversión'!AB55)</f>
        <v/>
      </c>
      <c r="AC55" s="72" t="str">
        <f>IF('Registrar bienes de inversión'!AC55="","",ROUND('Registrar bienes de inversión'!AC55,2))</f>
        <v/>
      </c>
      <c r="AD55" s="72" t="str">
        <f>IF('Registrar bienes de inversión'!AD55="","",ROUND('Registrar bienes de inversión'!AD55,2))</f>
        <v/>
      </c>
      <c r="AE55" s="72" t="str">
        <f>IF('Registrar bienes de inversión'!AE55="","",ROUND('Registrar bienes de inversión'!AE55,2))</f>
        <v/>
      </c>
      <c r="AF55" s="72" t="str">
        <f>IF('Registrar bienes de inversión'!AF55="","",ROUND('Registrar bienes de inversión'!AF55,2))</f>
        <v/>
      </c>
      <c r="AG55" s="72" t="str">
        <f>IF('Registrar bienes de inversión'!AG55="","",ROUND('Registrar bienes de inversión'!AG55,2))</f>
        <v/>
      </c>
      <c r="AH55" s="64" t="str">
        <f>IF('Registrar bienes de inversión'!AH55="","",'Registrar bienes de inversión'!AH55)</f>
        <v/>
      </c>
      <c r="AI55" s="60" t="str">
        <f>IF('Registrar bienes de inversión'!AI55="","",VLOOKUP(CONCATENATE("CAUSA BAJA BIEN",'Registrar bienes de inversión'!AI55),'CODIGO-LITERAL'!$C:$D,2,FALSE))</f>
        <v/>
      </c>
      <c r="AJ55" s="60" t="str">
        <f>IF('Registrar bienes de inversión'!AJ55="","",'Registrar bienes de inversión'!AJ55)</f>
        <v/>
      </c>
      <c r="AK55" s="60" t="str">
        <f>IF('Registrar bienes de inversión'!AK55="","",'Registrar bienes de inversión'!AK55)</f>
        <v/>
      </c>
      <c r="AL55" s="60" t="str">
        <f>IF('Registrar bienes de inversión'!AL55="","",'Registrar bienes de inversión'!AL55)</f>
        <v/>
      </c>
      <c r="AM55" s="60" t="str">
        <f>IF('Registrar bienes de inversión'!AM55="","",'Registrar bienes de inversión'!AM55)</f>
        <v/>
      </c>
      <c r="AN55" s="60" t="str">
        <f>IF('Registrar bienes de inversión'!AN55="","",VLOOKUP(CONCATENATE("SITUACION",'Registrar bienes de inversión'!AN55),'CODIGO-LITERAL'!$C:$D,2,FALSE))</f>
        <v/>
      </c>
      <c r="AO55" s="60" t="str">
        <f>IF('Registrar bienes de inversión'!AO55="","",'Registrar bienes de inversión'!AO55)</f>
        <v/>
      </c>
      <c r="AP55" s="60" t="str">
        <f>IF('Registrar bienes de inversión'!AP55="","",'Registrar bienes de inversión'!AP55)</f>
        <v/>
      </c>
    </row>
    <row r="56" spans="1:42" x14ac:dyDescent="0.25">
      <c r="A56" s="71" t="str">
        <f>IF('Registrar bienes de inversión'!A56="","",'Registrar bienes de inversión'!A56)</f>
        <v/>
      </c>
      <c r="B56" s="60" t="str">
        <f>IF('Registrar bienes de inversión'!B56="","",'Registrar bienes de inversión'!B56)</f>
        <v/>
      </c>
      <c r="C56" s="60" t="str">
        <f>IF('Registrar bienes de inversión'!C56="","",VLOOKUP(CONCATENATE("ACTIVIDAD",'Registrar bienes de inversión'!C56),'CODIGO-LITERAL'!$C:$D,2,FALSE))</f>
        <v/>
      </c>
      <c r="D56" s="60" t="str">
        <f>IF(OR(C56="C",C56="D"),"",IF(ISERROR(VLOOKUP(CONCATENATE(C56,'Registrar bienes de inversión'!D56),'CODIGO-LITERAL'!$C:$D,2,FALSE)),"",VLOOKUP(CONCATENATE(C56,'Registrar bienes de inversión'!D56),'CODIGO-LITERAL'!$C:$D,2,FALSE)))</f>
        <v/>
      </c>
      <c r="E56" s="60" t="str">
        <f>IF('Registrar bienes de inversión'!E56="","",'Registrar bienes de inversión'!E56)</f>
        <v/>
      </c>
      <c r="F56" s="60" t="str">
        <f>IF('Registrar bienes de inversión'!F56="","",VLOOKUP(CONCATENATE("TIPO BIEN",'Registrar bienes de inversión'!F56),'CODIGO-LITERAL'!$C:$D,2,FALSE))</f>
        <v/>
      </c>
      <c r="G56" s="60" t="str">
        <f>IF('Registrar bienes de inversión'!G56="","",'Registrar bienes de inversión'!G56)</f>
        <v/>
      </c>
      <c r="H56" s="60" t="str">
        <f>IF('Registrar bienes de inversión'!H56="","",'Registrar bienes de inversión'!H56)</f>
        <v/>
      </c>
      <c r="I56" s="64" t="str">
        <f>IF('Registrar bienes de inversión'!I56="","",'Registrar bienes de inversión'!I56)</f>
        <v/>
      </c>
      <c r="J56" s="72" t="str">
        <f>IF('Registrar bienes de inversión'!J56="","",'Registrar bienes de inversión'!J56)</f>
        <v/>
      </c>
      <c r="K56" s="72" t="str">
        <f>IF('Registrar bienes de inversión'!K56="","",'Registrar bienes de inversión'!K56)</f>
        <v/>
      </c>
      <c r="L56" s="60" t="str">
        <f>IF('Registrar bienes de inversión'!L56="","",VLOOKUP(CONCATENATE("METODO AMORTIZACION",'Registrar bienes de inversión'!L56),'CODIGO-LITERAL'!$C:$D,2,FALSE))</f>
        <v/>
      </c>
      <c r="M56" s="72" t="str">
        <f>IF('Registrar bienes de inversión'!M56="","",'Registrar bienes de inversión'!M56)</f>
        <v/>
      </c>
      <c r="N56" s="72" t="str">
        <f>IF('Registrar bienes de inversión'!N56="","",'Registrar bienes de inversión'!N56)</f>
        <v/>
      </c>
      <c r="O56" s="72" t="str">
        <f>IF('Registrar bienes de inversión'!O56="","",'Registrar bienes de inversión'!O56)</f>
        <v/>
      </c>
      <c r="P56" s="72" t="str">
        <f>IF('Registrar bienes de inversión'!P56="","",'Registrar bienes de inversión'!P56)</f>
        <v/>
      </c>
      <c r="Q56" s="72" t="str">
        <f>IF('Registrar bienes de inversión'!Q56="","",'Registrar bienes de inversión'!Q56)</f>
        <v/>
      </c>
      <c r="R56" s="64" t="str">
        <f>IF('Registrar bienes de inversión'!R56="","",'Registrar bienes de inversión'!R56)</f>
        <v/>
      </c>
      <c r="S56" s="60" t="str">
        <f>IF('Registrar bienes de inversión'!S56="","",'Registrar bienes de inversión'!S56)</f>
        <v/>
      </c>
      <c r="T56" s="60" t="str">
        <f>IF('Registrar bienes de inversión'!T56="","",'Registrar bienes de inversión'!T56)</f>
        <v/>
      </c>
      <c r="U56" s="60" t="str">
        <f>IF('Registrar bienes de inversión'!U56="","",'Registrar bienes de inversión'!U56)</f>
        <v/>
      </c>
      <c r="V56" s="60" t="str">
        <f>IF('Registrar bienes de inversión'!V56="","",'Registrar bienes de inversión'!V56)</f>
        <v/>
      </c>
      <c r="W56" s="60" t="str">
        <f>IF(OR('Registrar bienes de inversión'!W56="",LEFT('Registrar bienes de inversión'!W56,2)="01"),"",VLOOKUP(CONCATENATE("TIPO NIF",'Registrar bienes de inversión'!W56),'CODIGO-LITERAL'!$C:$D,2,FALSE))</f>
        <v/>
      </c>
      <c r="X56" s="60" t="str">
        <f>IF('Registrar bienes de inversión'!X56="","",'Registrar bienes de inversión'!X56)</f>
        <v/>
      </c>
      <c r="Y56" s="60" t="str">
        <f>IF('Registrar bienes de inversión'!Y56="","",'Registrar bienes de inversión'!Y56)</f>
        <v/>
      </c>
      <c r="Z56" s="60" t="str">
        <f>IF('Registrar bienes de inversión'!Z56="","",'Registrar bienes de inversión'!Z56)</f>
        <v/>
      </c>
      <c r="AA56" s="72" t="str">
        <f>IF('Registrar bienes de inversión'!AA56="","",ROUND('Registrar bienes de inversión'!AA56,2))</f>
        <v/>
      </c>
      <c r="AB56" s="72" t="str">
        <f>IF('Registrar bienes de inversión'!AB56="","",'Registrar bienes de inversión'!AB56)</f>
        <v/>
      </c>
      <c r="AC56" s="72" t="str">
        <f>IF('Registrar bienes de inversión'!AC56="","",ROUND('Registrar bienes de inversión'!AC56,2))</f>
        <v/>
      </c>
      <c r="AD56" s="72" t="str">
        <f>IF('Registrar bienes de inversión'!AD56="","",ROUND('Registrar bienes de inversión'!AD56,2))</f>
        <v/>
      </c>
      <c r="AE56" s="72" t="str">
        <f>IF('Registrar bienes de inversión'!AE56="","",ROUND('Registrar bienes de inversión'!AE56,2))</f>
        <v/>
      </c>
      <c r="AF56" s="72" t="str">
        <f>IF('Registrar bienes de inversión'!AF56="","",ROUND('Registrar bienes de inversión'!AF56,2))</f>
        <v/>
      </c>
      <c r="AG56" s="72" t="str">
        <f>IF('Registrar bienes de inversión'!AG56="","",ROUND('Registrar bienes de inversión'!AG56,2))</f>
        <v/>
      </c>
      <c r="AH56" s="64" t="str">
        <f>IF('Registrar bienes de inversión'!AH56="","",'Registrar bienes de inversión'!AH56)</f>
        <v/>
      </c>
      <c r="AI56" s="60" t="str">
        <f>IF('Registrar bienes de inversión'!AI56="","",VLOOKUP(CONCATENATE("CAUSA BAJA BIEN",'Registrar bienes de inversión'!AI56),'CODIGO-LITERAL'!$C:$D,2,FALSE))</f>
        <v/>
      </c>
      <c r="AJ56" s="60" t="str">
        <f>IF('Registrar bienes de inversión'!AJ56="","",'Registrar bienes de inversión'!AJ56)</f>
        <v/>
      </c>
      <c r="AK56" s="60" t="str">
        <f>IF('Registrar bienes de inversión'!AK56="","",'Registrar bienes de inversión'!AK56)</f>
        <v/>
      </c>
      <c r="AL56" s="60" t="str">
        <f>IF('Registrar bienes de inversión'!AL56="","",'Registrar bienes de inversión'!AL56)</f>
        <v/>
      </c>
      <c r="AM56" s="60" t="str">
        <f>IF('Registrar bienes de inversión'!AM56="","",'Registrar bienes de inversión'!AM56)</f>
        <v/>
      </c>
      <c r="AN56" s="60" t="str">
        <f>IF('Registrar bienes de inversión'!AN56="","",VLOOKUP(CONCATENATE("SITUACION",'Registrar bienes de inversión'!AN56),'CODIGO-LITERAL'!$C:$D,2,FALSE))</f>
        <v/>
      </c>
      <c r="AO56" s="60" t="str">
        <f>IF('Registrar bienes de inversión'!AO56="","",'Registrar bienes de inversión'!AO56)</f>
        <v/>
      </c>
      <c r="AP56" s="60" t="str">
        <f>IF('Registrar bienes de inversión'!AP56="","",'Registrar bienes de inversión'!AP56)</f>
        <v/>
      </c>
    </row>
    <row r="57" spans="1:42" x14ac:dyDescent="0.25">
      <c r="A57" s="71" t="str">
        <f>IF('Registrar bienes de inversión'!A57="","",'Registrar bienes de inversión'!A57)</f>
        <v/>
      </c>
      <c r="B57" s="60" t="str">
        <f>IF('Registrar bienes de inversión'!B57="","",'Registrar bienes de inversión'!B57)</f>
        <v/>
      </c>
      <c r="C57" s="60" t="str">
        <f>IF('Registrar bienes de inversión'!C57="","",VLOOKUP(CONCATENATE("ACTIVIDAD",'Registrar bienes de inversión'!C57),'CODIGO-LITERAL'!$C:$D,2,FALSE))</f>
        <v/>
      </c>
      <c r="D57" s="60" t="str">
        <f>IF(OR(C57="C",C57="D"),"",IF(ISERROR(VLOOKUP(CONCATENATE(C57,'Registrar bienes de inversión'!D57),'CODIGO-LITERAL'!$C:$D,2,FALSE)),"",VLOOKUP(CONCATENATE(C57,'Registrar bienes de inversión'!D57),'CODIGO-LITERAL'!$C:$D,2,FALSE)))</f>
        <v/>
      </c>
      <c r="E57" s="60" t="str">
        <f>IF('Registrar bienes de inversión'!E57="","",'Registrar bienes de inversión'!E57)</f>
        <v/>
      </c>
      <c r="F57" s="60" t="str">
        <f>IF('Registrar bienes de inversión'!F57="","",VLOOKUP(CONCATENATE("TIPO BIEN",'Registrar bienes de inversión'!F57),'CODIGO-LITERAL'!$C:$D,2,FALSE))</f>
        <v/>
      </c>
      <c r="G57" s="60" t="str">
        <f>IF('Registrar bienes de inversión'!G57="","",'Registrar bienes de inversión'!G57)</f>
        <v/>
      </c>
      <c r="H57" s="60" t="str">
        <f>IF('Registrar bienes de inversión'!H57="","",'Registrar bienes de inversión'!H57)</f>
        <v/>
      </c>
      <c r="I57" s="64" t="str">
        <f>IF('Registrar bienes de inversión'!I57="","",'Registrar bienes de inversión'!I57)</f>
        <v/>
      </c>
      <c r="J57" s="72" t="str">
        <f>IF('Registrar bienes de inversión'!J57="","",'Registrar bienes de inversión'!J57)</f>
        <v/>
      </c>
      <c r="K57" s="72" t="str">
        <f>IF('Registrar bienes de inversión'!K57="","",'Registrar bienes de inversión'!K57)</f>
        <v/>
      </c>
      <c r="L57" s="60" t="str">
        <f>IF('Registrar bienes de inversión'!L57="","",VLOOKUP(CONCATENATE("METODO AMORTIZACION",'Registrar bienes de inversión'!L57),'CODIGO-LITERAL'!$C:$D,2,FALSE))</f>
        <v/>
      </c>
      <c r="M57" s="72" t="str">
        <f>IF('Registrar bienes de inversión'!M57="","",'Registrar bienes de inversión'!M57)</f>
        <v/>
      </c>
      <c r="N57" s="72" t="str">
        <f>IF('Registrar bienes de inversión'!N57="","",'Registrar bienes de inversión'!N57)</f>
        <v/>
      </c>
      <c r="O57" s="72" t="str">
        <f>IF('Registrar bienes de inversión'!O57="","",'Registrar bienes de inversión'!O57)</f>
        <v/>
      </c>
      <c r="P57" s="72" t="str">
        <f>IF('Registrar bienes de inversión'!P57="","",'Registrar bienes de inversión'!P57)</f>
        <v/>
      </c>
      <c r="Q57" s="72" t="str">
        <f>IF('Registrar bienes de inversión'!Q57="","",'Registrar bienes de inversión'!Q57)</f>
        <v/>
      </c>
      <c r="R57" s="64" t="str">
        <f>IF('Registrar bienes de inversión'!R57="","",'Registrar bienes de inversión'!R57)</f>
        <v/>
      </c>
      <c r="S57" s="60" t="str">
        <f>IF('Registrar bienes de inversión'!S57="","",'Registrar bienes de inversión'!S57)</f>
        <v/>
      </c>
      <c r="T57" s="60" t="str">
        <f>IF('Registrar bienes de inversión'!T57="","",'Registrar bienes de inversión'!T57)</f>
        <v/>
      </c>
      <c r="U57" s="60" t="str">
        <f>IF('Registrar bienes de inversión'!U57="","",'Registrar bienes de inversión'!U57)</f>
        <v/>
      </c>
      <c r="V57" s="60" t="str">
        <f>IF('Registrar bienes de inversión'!V57="","",'Registrar bienes de inversión'!V57)</f>
        <v/>
      </c>
      <c r="W57" s="60" t="str">
        <f>IF(OR('Registrar bienes de inversión'!W57="",LEFT('Registrar bienes de inversión'!W57,2)="01"),"",VLOOKUP(CONCATENATE("TIPO NIF",'Registrar bienes de inversión'!W57),'CODIGO-LITERAL'!$C:$D,2,FALSE))</f>
        <v/>
      </c>
      <c r="X57" s="60" t="str">
        <f>IF('Registrar bienes de inversión'!X57="","",'Registrar bienes de inversión'!X57)</f>
        <v/>
      </c>
      <c r="Y57" s="60" t="str">
        <f>IF('Registrar bienes de inversión'!Y57="","",'Registrar bienes de inversión'!Y57)</f>
        <v/>
      </c>
      <c r="Z57" s="60" t="str">
        <f>IF('Registrar bienes de inversión'!Z57="","",'Registrar bienes de inversión'!Z57)</f>
        <v/>
      </c>
      <c r="AA57" s="72" t="str">
        <f>IF('Registrar bienes de inversión'!AA57="","",ROUND('Registrar bienes de inversión'!AA57,2))</f>
        <v/>
      </c>
      <c r="AB57" s="72" t="str">
        <f>IF('Registrar bienes de inversión'!AB57="","",'Registrar bienes de inversión'!AB57)</f>
        <v/>
      </c>
      <c r="AC57" s="72" t="str">
        <f>IF('Registrar bienes de inversión'!AC57="","",ROUND('Registrar bienes de inversión'!AC57,2))</f>
        <v/>
      </c>
      <c r="AD57" s="72" t="str">
        <f>IF('Registrar bienes de inversión'!AD57="","",ROUND('Registrar bienes de inversión'!AD57,2))</f>
        <v/>
      </c>
      <c r="AE57" s="72" t="str">
        <f>IF('Registrar bienes de inversión'!AE57="","",ROUND('Registrar bienes de inversión'!AE57,2))</f>
        <v/>
      </c>
      <c r="AF57" s="72" t="str">
        <f>IF('Registrar bienes de inversión'!AF57="","",ROUND('Registrar bienes de inversión'!AF57,2))</f>
        <v/>
      </c>
      <c r="AG57" s="72" t="str">
        <f>IF('Registrar bienes de inversión'!AG57="","",ROUND('Registrar bienes de inversión'!AG57,2))</f>
        <v/>
      </c>
      <c r="AH57" s="64" t="str">
        <f>IF('Registrar bienes de inversión'!AH57="","",'Registrar bienes de inversión'!AH57)</f>
        <v/>
      </c>
      <c r="AI57" s="60" t="str">
        <f>IF('Registrar bienes de inversión'!AI57="","",VLOOKUP(CONCATENATE("CAUSA BAJA BIEN",'Registrar bienes de inversión'!AI57),'CODIGO-LITERAL'!$C:$D,2,FALSE))</f>
        <v/>
      </c>
      <c r="AJ57" s="60" t="str">
        <f>IF('Registrar bienes de inversión'!AJ57="","",'Registrar bienes de inversión'!AJ57)</f>
        <v/>
      </c>
      <c r="AK57" s="60" t="str">
        <f>IF('Registrar bienes de inversión'!AK57="","",'Registrar bienes de inversión'!AK57)</f>
        <v/>
      </c>
      <c r="AL57" s="60" t="str">
        <f>IF('Registrar bienes de inversión'!AL57="","",'Registrar bienes de inversión'!AL57)</f>
        <v/>
      </c>
      <c r="AM57" s="60" t="str">
        <f>IF('Registrar bienes de inversión'!AM57="","",'Registrar bienes de inversión'!AM57)</f>
        <v/>
      </c>
      <c r="AN57" s="60" t="str">
        <f>IF('Registrar bienes de inversión'!AN57="","",VLOOKUP(CONCATENATE("SITUACION",'Registrar bienes de inversión'!AN57),'CODIGO-LITERAL'!$C:$D,2,FALSE))</f>
        <v/>
      </c>
      <c r="AO57" s="60" t="str">
        <f>IF('Registrar bienes de inversión'!AO57="","",'Registrar bienes de inversión'!AO57)</f>
        <v/>
      </c>
      <c r="AP57" s="60" t="str">
        <f>IF('Registrar bienes de inversión'!AP57="","",'Registrar bienes de inversión'!AP57)</f>
        <v/>
      </c>
    </row>
    <row r="58" spans="1:42" x14ac:dyDescent="0.25">
      <c r="A58" s="71" t="str">
        <f>IF('Registrar bienes de inversión'!A58="","",'Registrar bienes de inversión'!A58)</f>
        <v/>
      </c>
      <c r="B58" s="60" t="str">
        <f>IF('Registrar bienes de inversión'!B58="","",'Registrar bienes de inversión'!B58)</f>
        <v/>
      </c>
      <c r="C58" s="60" t="str">
        <f>IF('Registrar bienes de inversión'!C58="","",VLOOKUP(CONCATENATE("ACTIVIDAD",'Registrar bienes de inversión'!C58),'CODIGO-LITERAL'!$C:$D,2,FALSE))</f>
        <v/>
      </c>
      <c r="D58" s="60" t="str">
        <f>IF(OR(C58="C",C58="D"),"",IF(ISERROR(VLOOKUP(CONCATENATE(C58,'Registrar bienes de inversión'!D58),'CODIGO-LITERAL'!$C:$D,2,FALSE)),"",VLOOKUP(CONCATENATE(C58,'Registrar bienes de inversión'!D58),'CODIGO-LITERAL'!$C:$D,2,FALSE)))</f>
        <v/>
      </c>
      <c r="E58" s="60" t="str">
        <f>IF('Registrar bienes de inversión'!E58="","",'Registrar bienes de inversión'!E58)</f>
        <v/>
      </c>
      <c r="F58" s="60" t="str">
        <f>IF('Registrar bienes de inversión'!F58="","",VLOOKUP(CONCATENATE("TIPO BIEN",'Registrar bienes de inversión'!F58),'CODIGO-LITERAL'!$C:$D,2,FALSE))</f>
        <v/>
      </c>
      <c r="G58" s="60" t="str">
        <f>IF('Registrar bienes de inversión'!G58="","",'Registrar bienes de inversión'!G58)</f>
        <v/>
      </c>
      <c r="H58" s="60" t="str">
        <f>IF('Registrar bienes de inversión'!H58="","",'Registrar bienes de inversión'!H58)</f>
        <v/>
      </c>
      <c r="I58" s="64" t="str">
        <f>IF('Registrar bienes de inversión'!I58="","",'Registrar bienes de inversión'!I58)</f>
        <v/>
      </c>
      <c r="J58" s="72" t="str">
        <f>IF('Registrar bienes de inversión'!J58="","",'Registrar bienes de inversión'!J58)</f>
        <v/>
      </c>
      <c r="K58" s="72" t="str">
        <f>IF('Registrar bienes de inversión'!K58="","",'Registrar bienes de inversión'!K58)</f>
        <v/>
      </c>
      <c r="L58" s="60" t="str">
        <f>IF('Registrar bienes de inversión'!L58="","",VLOOKUP(CONCATENATE("METODO AMORTIZACION",'Registrar bienes de inversión'!L58),'CODIGO-LITERAL'!$C:$D,2,FALSE))</f>
        <v/>
      </c>
      <c r="M58" s="72" t="str">
        <f>IF('Registrar bienes de inversión'!M58="","",'Registrar bienes de inversión'!M58)</f>
        <v/>
      </c>
      <c r="N58" s="72" t="str">
        <f>IF('Registrar bienes de inversión'!N58="","",'Registrar bienes de inversión'!N58)</f>
        <v/>
      </c>
      <c r="O58" s="72" t="str">
        <f>IF('Registrar bienes de inversión'!O58="","",'Registrar bienes de inversión'!O58)</f>
        <v/>
      </c>
      <c r="P58" s="72" t="str">
        <f>IF('Registrar bienes de inversión'!P58="","",'Registrar bienes de inversión'!P58)</f>
        <v/>
      </c>
      <c r="Q58" s="72" t="str">
        <f>IF('Registrar bienes de inversión'!Q58="","",'Registrar bienes de inversión'!Q58)</f>
        <v/>
      </c>
      <c r="R58" s="64" t="str">
        <f>IF('Registrar bienes de inversión'!R58="","",'Registrar bienes de inversión'!R58)</f>
        <v/>
      </c>
      <c r="S58" s="60" t="str">
        <f>IF('Registrar bienes de inversión'!S58="","",'Registrar bienes de inversión'!S58)</f>
        <v/>
      </c>
      <c r="T58" s="60" t="str">
        <f>IF('Registrar bienes de inversión'!T58="","",'Registrar bienes de inversión'!T58)</f>
        <v/>
      </c>
      <c r="U58" s="60" t="str">
        <f>IF('Registrar bienes de inversión'!U58="","",'Registrar bienes de inversión'!U58)</f>
        <v/>
      </c>
      <c r="V58" s="60" t="str">
        <f>IF('Registrar bienes de inversión'!V58="","",'Registrar bienes de inversión'!V58)</f>
        <v/>
      </c>
      <c r="W58" s="60" t="str">
        <f>IF(OR('Registrar bienes de inversión'!W58="",LEFT('Registrar bienes de inversión'!W58,2)="01"),"",VLOOKUP(CONCATENATE("TIPO NIF",'Registrar bienes de inversión'!W58),'CODIGO-LITERAL'!$C:$D,2,FALSE))</f>
        <v/>
      </c>
      <c r="X58" s="60" t="str">
        <f>IF('Registrar bienes de inversión'!X58="","",'Registrar bienes de inversión'!X58)</f>
        <v/>
      </c>
      <c r="Y58" s="60" t="str">
        <f>IF('Registrar bienes de inversión'!Y58="","",'Registrar bienes de inversión'!Y58)</f>
        <v/>
      </c>
      <c r="Z58" s="60" t="str">
        <f>IF('Registrar bienes de inversión'!Z58="","",'Registrar bienes de inversión'!Z58)</f>
        <v/>
      </c>
      <c r="AA58" s="72" t="str">
        <f>IF('Registrar bienes de inversión'!AA58="","",ROUND('Registrar bienes de inversión'!AA58,2))</f>
        <v/>
      </c>
      <c r="AB58" s="72" t="str">
        <f>IF('Registrar bienes de inversión'!AB58="","",'Registrar bienes de inversión'!AB58)</f>
        <v/>
      </c>
      <c r="AC58" s="72" t="str">
        <f>IF('Registrar bienes de inversión'!AC58="","",ROUND('Registrar bienes de inversión'!AC58,2))</f>
        <v/>
      </c>
      <c r="AD58" s="72" t="str">
        <f>IF('Registrar bienes de inversión'!AD58="","",ROUND('Registrar bienes de inversión'!AD58,2))</f>
        <v/>
      </c>
      <c r="AE58" s="72" t="str">
        <f>IF('Registrar bienes de inversión'!AE58="","",ROUND('Registrar bienes de inversión'!AE58,2))</f>
        <v/>
      </c>
      <c r="AF58" s="72" t="str">
        <f>IF('Registrar bienes de inversión'!AF58="","",ROUND('Registrar bienes de inversión'!AF58,2))</f>
        <v/>
      </c>
      <c r="AG58" s="72" t="str">
        <f>IF('Registrar bienes de inversión'!AG58="","",ROUND('Registrar bienes de inversión'!AG58,2))</f>
        <v/>
      </c>
      <c r="AH58" s="64" t="str">
        <f>IF('Registrar bienes de inversión'!AH58="","",'Registrar bienes de inversión'!AH58)</f>
        <v/>
      </c>
      <c r="AI58" s="60" t="str">
        <f>IF('Registrar bienes de inversión'!AI58="","",VLOOKUP(CONCATENATE("CAUSA BAJA BIEN",'Registrar bienes de inversión'!AI58),'CODIGO-LITERAL'!$C:$D,2,FALSE))</f>
        <v/>
      </c>
      <c r="AJ58" s="60" t="str">
        <f>IF('Registrar bienes de inversión'!AJ58="","",'Registrar bienes de inversión'!AJ58)</f>
        <v/>
      </c>
      <c r="AK58" s="60" t="str">
        <f>IF('Registrar bienes de inversión'!AK58="","",'Registrar bienes de inversión'!AK58)</f>
        <v/>
      </c>
      <c r="AL58" s="60" t="str">
        <f>IF('Registrar bienes de inversión'!AL58="","",'Registrar bienes de inversión'!AL58)</f>
        <v/>
      </c>
      <c r="AM58" s="60" t="str">
        <f>IF('Registrar bienes de inversión'!AM58="","",'Registrar bienes de inversión'!AM58)</f>
        <v/>
      </c>
      <c r="AN58" s="60" t="str">
        <f>IF('Registrar bienes de inversión'!AN58="","",VLOOKUP(CONCATENATE("SITUACION",'Registrar bienes de inversión'!AN58),'CODIGO-LITERAL'!$C:$D,2,FALSE))</f>
        <v/>
      </c>
      <c r="AO58" s="60" t="str">
        <f>IF('Registrar bienes de inversión'!AO58="","",'Registrar bienes de inversión'!AO58)</f>
        <v/>
      </c>
      <c r="AP58" s="60" t="str">
        <f>IF('Registrar bienes de inversión'!AP58="","",'Registrar bienes de inversión'!AP58)</f>
        <v/>
      </c>
    </row>
    <row r="59" spans="1:42" x14ac:dyDescent="0.25">
      <c r="A59" s="71" t="str">
        <f>IF('Registrar bienes de inversión'!A59="","",'Registrar bienes de inversión'!A59)</f>
        <v/>
      </c>
      <c r="B59" s="60" t="str">
        <f>IF('Registrar bienes de inversión'!B59="","",'Registrar bienes de inversión'!B59)</f>
        <v/>
      </c>
      <c r="C59" s="60" t="str">
        <f>IF('Registrar bienes de inversión'!C59="","",VLOOKUP(CONCATENATE("ACTIVIDAD",'Registrar bienes de inversión'!C59),'CODIGO-LITERAL'!$C:$D,2,FALSE))</f>
        <v/>
      </c>
      <c r="D59" s="60" t="str">
        <f>IF(OR(C59="C",C59="D"),"",IF(ISERROR(VLOOKUP(CONCATENATE(C59,'Registrar bienes de inversión'!D59),'CODIGO-LITERAL'!$C:$D,2,FALSE)),"",VLOOKUP(CONCATENATE(C59,'Registrar bienes de inversión'!D59),'CODIGO-LITERAL'!$C:$D,2,FALSE)))</f>
        <v/>
      </c>
      <c r="E59" s="60" t="str">
        <f>IF('Registrar bienes de inversión'!E59="","",'Registrar bienes de inversión'!E59)</f>
        <v/>
      </c>
      <c r="F59" s="60" t="str">
        <f>IF('Registrar bienes de inversión'!F59="","",VLOOKUP(CONCATENATE("TIPO BIEN",'Registrar bienes de inversión'!F59),'CODIGO-LITERAL'!$C:$D,2,FALSE))</f>
        <v/>
      </c>
      <c r="G59" s="60" t="str">
        <f>IF('Registrar bienes de inversión'!G59="","",'Registrar bienes de inversión'!G59)</f>
        <v/>
      </c>
      <c r="H59" s="60" t="str">
        <f>IF('Registrar bienes de inversión'!H59="","",'Registrar bienes de inversión'!H59)</f>
        <v/>
      </c>
      <c r="I59" s="64" t="str">
        <f>IF('Registrar bienes de inversión'!I59="","",'Registrar bienes de inversión'!I59)</f>
        <v/>
      </c>
      <c r="J59" s="72" t="str">
        <f>IF('Registrar bienes de inversión'!J59="","",'Registrar bienes de inversión'!J59)</f>
        <v/>
      </c>
      <c r="K59" s="72" t="str">
        <f>IF('Registrar bienes de inversión'!K59="","",'Registrar bienes de inversión'!K59)</f>
        <v/>
      </c>
      <c r="L59" s="60" t="str">
        <f>IF('Registrar bienes de inversión'!L59="","",VLOOKUP(CONCATENATE("METODO AMORTIZACION",'Registrar bienes de inversión'!L59),'CODIGO-LITERAL'!$C:$D,2,FALSE))</f>
        <v/>
      </c>
      <c r="M59" s="72" t="str">
        <f>IF('Registrar bienes de inversión'!M59="","",'Registrar bienes de inversión'!M59)</f>
        <v/>
      </c>
      <c r="N59" s="72" t="str">
        <f>IF('Registrar bienes de inversión'!N59="","",'Registrar bienes de inversión'!N59)</f>
        <v/>
      </c>
      <c r="O59" s="72" t="str">
        <f>IF('Registrar bienes de inversión'!O59="","",'Registrar bienes de inversión'!O59)</f>
        <v/>
      </c>
      <c r="P59" s="72" t="str">
        <f>IF('Registrar bienes de inversión'!P59="","",'Registrar bienes de inversión'!P59)</f>
        <v/>
      </c>
      <c r="Q59" s="72" t="str">
        <f>IF('Registrar bienes de inversión'!Q59="","",'Registrar bienes de inversión'!Q59)</f>
        <v/>
      </c>
      <c r="R59" s="64" t="str">
        <f>IF('Registrar bienes de inversión'!R59="","",'Registrar bienes de inversión'!R59)</f>
        <v/>
      </c>
      <c r="S59" s="60" t="str">
        <f>IF('Registrar bienes de inversión'!S59="","",'Registrar bienes de inversión'!S59)</f>
        <v/>
      </c>
      <c r="T59" s="60" t="str">
        <f>IF('Registrar bienes de inversión'!T59="","",'Registrar bienes de inversión'!T59)</f>
        <v/>
      </c>
      <c r="U59" s="60" t="str">
        <f>IF('Registrar bienes de inversión'!U59="","",'Registrar bienes de inversión'!U59)</f>
        <v/>
      </c>
      <c r="V59" s="60" t="str">
        <f>IF('Registrar bienes de inversión'!V59="","",'Registrar bienes de inversión'!V59)</f>
        <v/>
      </c>
      <c r="W59" s="60" t="str">
        <f>IF(OR('Registrar bienes de inversión'!W59="",LEFT('Registrar bienes de inversión'!W59,2)="01"),"",VLOOKUP(CONCATENATE("TIPO NIF",'Registrar bienes de inversión'!W59),'CODIGO-LITERAL'!$C:$D,2,FALSE))</f>
        <v/>
      </c>
      <c r="X59" s="60" t="str">
        <f>IF('Registrar bienes de inversión'!X59="","",'Registrar bienes de inversión'!X59)</f>
        <v/>
      </c>
      <c r="Y59" s="60" t="str">
        <f>IF('Registrar bienes de inversión'!Y59="","",'Registrar bienes de inversión'!Y59)</f>
        <v/>
      </c>
      <c r="Z59" s="60" t="str">
        <f>IF('Registrar bienes de inversión'!Z59="","",'Registrar bienes de inversión'!Z59)</f>
        <v/>
      </c>
      <c r="AA59" s="72" t="str">
        <f>IF('Registrar bienes de inversión'!AA59="","",ROUND('Registrar bienes de inversión'!AA59,2))</f>
        <v/>
      </c>
      <c r="AB59" s="72" t="str">
        <f>IF('Registrar bienes de inversión'!AB59="","",'Registrar bienes de inversión'!AB59)</f>
        <v/>
      </c>
      <c r="AC59" s="72" t="str">
        <f>IF('Registrar bienes de inversión'!AC59="","",ROUND('Registrar bienes de inversión'!AC59,2))</f>
        <v/>
      </c>
      <c r="AD59" s="72" t="str">
        <f>IF('Registrar bienes de inversión'!AD59="","",ROUND('Registrar bienes de inversión'!AD59,2))</f>
        <v/>
      </c>
      <c r="AE59" s="72" t="str">
        <f>IF('Registrar bienes de inversión'!AE59="","",ROUND('Registrar bienes de inversión'!AE59,2))</f>
        <v/>
      </c>
      <c r="AF59" s="72" t="str">
        <f>IF('Registrar bienes de inversión'!AF59="","",ROUND('Registrar bienes de inversión'!AF59,2))</f>
        <v/>
      </c>
      <c r="AG59" s="72" t="str">
        <f>IF('Registrar bienes de inversión'!AG59="","",ROUND('Registrar bienes de inversión'!AG59,2))</f>
        <v/>
      </c>
      <c r="AH59" s="64" t="str">
        <f>IF('Registrar bienes de inversión'!AH59="","",'Registrar bienes de inversión'!AH59)</f>
        <v/>
      </c>
      <c r="AI59" s="60" t="str">
        <f>IF('Registrar bienes de inversión'!AI59="","",VLOOKUP(CONCATENATE("CAUSA BAJA BIEN",'Registrar bienes de inversión'!AI59),'CODIGO-LITERAL'!$C:$D,2,FALSE))</f>
        <v/>
      </c>
      <c r="AJ59" s="60" t="str">
        <f>IF('Registrar bienes de inversión'!AJ59="","",'Registrar bienes de inversión'!AJ59)</f>
        <v/>
      </c>
      <c r="AK59" s="60" t="str">
        <f>IF('Registrar bienes de inversión'!AK59="","",'Registrar bienes de inversión'!AK59)</f>
        <v/>
      </c>
      <c r="AL59" s="60" t="str">
        <f>IF('Registrar bienes de inversión'!AL59="","",'Registrar bienes de inversión'!AL59)</f>
        <v/>
      </c>
      <c r="AM59" s="60" t="str">
        <f>IF('Registrar bienes de inversión'!AM59="","",'Registrar bienes de inversión'!AM59)</f>
        <v/>
      </c>
      <c r="AN59" s="60" t="str">
        <f>IF('Registrar bienes de inversión'!AN59="","",VLOOKUP(CONCATENATE("SITUACION",'Registrar bienes de inversión'!AN59),'CODIGO-LITERAL'!$C:$D,2,FALSE))</f>
        <v/>
      </c>
      <c r="AO59" s="60" t="str">
        <f>IF('Registrar bienes de inversión'!AO59="","",'Registrar bienes de inversión'!AO59)</f>
        <v/>
      </c>
      <c r="AP59" s="60" t="str">
        <f>IF('Registrar bienes de inversión'!AP59="","",'Registrar bienes de inversión'!AP59)</f>
        <v/>
      </c>
    </row>
    <row r="60" spans="1:42" x14ac:dyDescent="0.25">
      <c r="A60" s="71" t="str">
        <f>IF('Registrar bienes de inversión'!A60="","",'Registrar bienes de inversión'!A60)</f>
        <v/>
      </c>
      <c r="B60" s="60" t="str">
        <f>IF('Registrar bienes de inversión'!B60="","",'Registrar bienes de inversión'!B60)</f>
        <v/>
      </c>
      <c r="C60" s="60" t="str">
        <f>IF('Registrar bienes de inversión'!C60="","",VLOOKUP(CONCATENATE("ACTIVIDAD",'Registrar bienes de inversión'!C60),'CODIGO-LITERAL'!$C:$D,2,FALSE))</f>
        <v/>
      </c>
      <c r="D60" s="60" t="str">
        <f>IF(OR(C60="C",C60="D"),"",IF(ISERROR(VLOOKUP(CONCATENATE(C60,'Registrar bienes de inversión'!D60),'CODIGO-LITERAL'!$C:$D,2,FALSE)),"",VLOOKUP(CONCATENATE(C60,'Registrar bienes de inversión'!D60),'CODIGO-LITERAL'!$C:$D,2,FALSE)))</f>
        <v/>
      </c>
      <c r="E60" s="60" t="str">
        <f>IF('Registrar bienes de inversión'!E60="","",'Registrar bienes de inversión'!E60)</f>
        <v/>
      </c>
      <c r="F60" s="60" t="str">
        <f>IF('Registrar bienes de inversión'!F60="","",VLOOKUP(CONCATENATE("TIPO BIEN",'Registrar bienes de inversión'!F60),'CODIGO-LITERAL'!$C:$D,2,FALSE))</f>
        <v/>
      </c>
      <c r="G60" s="60" t="str">
        <f>IF('Registrar bienes de inversión'!G60="","",'Registrar bienes de inversión'!G60)</f>
        <v/>
      </c>
      <c r="H60" s="60" t="str">
        <f>IF('Registrar bienes de inversión'!H60="","",'Registrar bienes de inversión'!H60)</f>
        <v/>
      </c>
      <c r="I60" s="64" t="str">
        <f>IF('Registrar bienes de inversión'!I60="","",'Registrar bienes de inversión'!I60)</f>
        <v/>
      </c>
      <c r="J60" s="72" t="str">
        <f>IF('Registrar bienes de inversión'!J60="","",'Registrar bienes de inversión'!J60)</f>
        <v/>
      </c>
      <c r="K60" s="72" t="str">
        <f>IF('Registrar bienes de inversión'!K60="","",'Registrar bienes de inversión'!K60)</f>
        <v/>
      </c>
      <c r="L60" s="60" t="str">
        <f>IF('Registrar bienes de inversión'!L60="","",VLOOKUP(CONCATENATE("METODO AMORTIZACION",'Registrar bienes de inversión'!L60),'CODIGO-LITERAL'!$C:$D,2,FALSE))</f>
        <v/>
      </c>
      <c r="M60" s="72" t="str">
        <f>IF('Registrar bienes de inversión'!M60="","",'Registrar bienes de inversión'!M60)</f>
        <v/>
      </c>
      <c r="N60" s="72" t="str">
        <f>IF('Registrar bienes de inversión'!N60="","",'Registrar bienes de inversión'!N60)</f>
        <v/>
      </c>
      <c r="O60" s="72" t="str">
        <f>IF('Registrar bienes de inversión'!O60="","",'Registrar bienes de inversión'!O60)</f>
        <v/>
      </c>
      <c r="P60" s="72" t="str">
        <f>IF('Registrar bienes de inversión'!P60="","",'Registrar bienes de inversión'!P60)</f>
        <v/>
      </c>
      <c r="Q60" s="72" t="str">
        <f>IF('Registrar bienes de inversión'!Q60="","",'Registrar bienes de inversión'!Q60)</f>
        <v/>
      </c>
      <c r="R60" s="64" t="str">
        <f>IF('Registrar bienes de inversión'!R60="","",'Registrar bienes de inversión'!R60)</f>
        <v/>
      </c>
      <c r="S60" s="60" t="str">
        <f>IF('Registrar bienes de inversión'!S60="","",'Registrar bienes de inversión'!S60)</f>
        <v/>
      </c>
      <c r="T60" s="60" t="str">
        <f>IF('Registrar bienes de inversión'!T60="","",'Registrar bienes de inversión'!T60)</f>
        <v/>
      </c>
      <c r="U60" s="60" t="str">
        <f>IF('Registrar bienes de inversión'!U60="","",'Registrar bienes de inversión'!U60)</f>
        <v/>
      </c>
      <c r="V60" s="60" t="str">
        <f>IF('Registrar bienes de inversión'!V60="","",'Registrar bienes de inversión'!V60)</f>
        <v/>
      </c>
      <c r="W60" s="60" t="str">
        <f>IF(OR('Registrar bienes de inversión'!W60="",LEFT('Registrar bienes de inversión'!W60,2)="01"),"",VLOOKUP(CONCATENATE("TIPO NIF",'Registrar bienes de inversión'!W60),'CODIGO-LITERAL'!$C:$D,2,FALSE))</f>
        <v/>
      </c>
      <c r="X60" s="60" t="str">
        <f>IF('Registrar bienes de inversión'!X60="","",'Registrar bienes de inversión'!X60)</f>
        <v/>
      </c>
      <c r="Y60" s="60" t="str">
        <f>IF('Registrar bienes de inversión'!Y60="","",'Registrar bienes de inversión'!Y60)</f>
        <v/>
      </c>
      <c r="Z60" s="60" t="str">
        <f>IF('Registrar bienes de inversión'!Z60="","",'Registrar bienes de inversión'!Z60)</f>
        <v/>
      </c>
      <c r="AA60" s="72" t="str">
        <f>IF('Registrar bienes de inversión'!AA60="","",ROUND('Registrar bienes de inversión'!AA60,2))</f>
        <v/>
      </c>
      <c r="AB60" s="72" t="str">
        <f>IF('Registrar bienes de inversión'!AB60="","",'Registrar bienes de inversión'!AB60)</f>
        <v/>
      </c>
      <c r="AC60" s="72" t="str">
        <f>IF('Registrar bienes de inversión'!AC60="","",ROUND('Registrar bienes de inversión'!AC60,2))</f>
        <v/>
      </c>
      <c r="AD60" s="72" t="str">
        <f>IF('Registrar bienes de inversión'!AD60="","",ROUND('Registrar bienes de inversión'!AD60,2))</f>
        <v/>
      </c>
      <c r="AE60" s="72" t="str">
        <f>IF('Registrar bienes de inversión'!AE60="","",ROUND('Registrar bienes de inversión'!AE60,2))</f>
        <v/>
      </c>
      <c r="AF60" s="72" t="str">
        <f>IF('Registrar bienes de inversión'!AF60="","",ROUND('Registrar bienes de inversión'!AF60,2))</f>
        <v/>
      </c>
      <c r="AG60" s="72" t="str">
        <f>IF('Registrar bienes de inversión'!AG60="","",ROUND('Registrar bienes de inversión'!AG60,2))</f>
        <v/>
      </c>
      <c r="AH60" s="64" t="str">
        <f>IF('Registrar bienes de inversión'!AH60="","",'Registrar bienes de inversión'!AH60)</f>
        <v/>
      </c>
      <c r="AI60" s="60" t="str">
        <f>IF('Registrar bienes de inversión'!AI60="","",VLOOKUP(CONCATENATE("CAUSA BAJA BIEN",'Registrar bienes de inversión'!AI60),'CODIGO-LITERAL'!$C:$D,2,FALSE))</f>
        <v/>
      </c>
      <c r="AJ60" s="60" t="str">
        <f>IF('Registrar bienes de inversión'!AJ60="","",'Registrar bienes de inversión'!AJ60)</f>
        <v/>
      </c>
      <c r="AK60" s="60" t="str">
        <f>IF('Registrar bienes de inversión'!AK60="","",'Registrar bienes de inversión'!AK60)</f>
        <v/>
      </c>
      <c r="AL60" s="60" t="str">
        <f>IF('Registrar bienes de inversión'!AL60="","",'Registrar bienes de inversión'!AL60)</f>
        <v/>
      </c>
      <c r="AM60" s="60" t="str">
        <f>IF('Registrar bienes de inversión'!AM60="","",'Registrar bienes de inversión'!AM60)</f>
        <v/>
      </c>
      <c r="AN60" s="60" t="str">
        <f>IF('Registrar bienes de inversión'!AN60="","",VLOOKUP(CONCATENATE("SITUACION",'Registrar bienes de inversión'!AN60),'CODIGO-LITERAL'!$C:$D,2,FALSE))</f>
        <v/>
      </c>
      <c r="AO60" s="60" t="str">
        <f>IF('Registrar bienes de inversión'!AO60="","",'Registrar bienes de inversión'!AO60)</f>
        <v/>
      </c>
      <c r="AP60" s="60" t="str">
        <f>IF('Registrar bienes de inversión'!AP60="","",'Registrar bienes de inversión'!AP60)</f>
        <v/>
      </c>
    </row>
    <row r="61" spans="1:42" x14ac:dyDescent="0.25">
      <c r="A61" s="71" t="str">
        <f>IF('Registrar bienes de inversión'!A61="","",'Registrar bienes de inversión'!A61)</f>
        <v/>
      </c>
      <c r="B61" s="60" t="str">
        <f>IF('Registrar bienes de inversión'!B61="","",'Registrar bienes de inversión'!B61)</f>
        <v/>
      </c>
      <c r="C61" s="60" t="str">
        <f>IF('Registrar bienes de inversión'!C61="","",VLOOKUP(CONCATENATE("ACTIVIDAD",'Registrar bienes de inversión'!C61),'CODIGO-LITERAL'!$C:$D,2,FALSE))</f>
        <v/>
      </c>
      <c r="D61" s="60" t="str">
        <f>IF(OR(C61="C",C61="D"),"",IF(ISERROR(VLOOKUP(CONCATENATE(C61,'Registrar bienes de inversión'!D61),'CODIGO-LITERAL'!$C:$D,2,FALSE)),"",VLOOKUP(CONCATENATE(C61,'Registrar bienes de inversión'!D61),'CODIGO-LITERAL'!$C:$D,2,FALSE)))</f>
        <v/>
      </c>
      <c r="E61" s="60" t="str">
        <f>IF('Registrar bienes de inversión'!E61="","",'Registrar bienes de inversión'!E61)</f>
        <v/>
      </c>
      <c r="F61" s="60" t="str">
        <f>IF('Registrar bienes de inversión'!F61="","",VLOOKUP(CONCATENATE("TIPO BIEN",'Registrar bienes de inversión'!F61),'CODIGO-LITERAL'!$C:$D,2,FALSE))</f>
        <v/>
      </c>
      <c r="G61" s="60" t="str">
        <f>IF('Registrar bienes de inversión'!G61="","",'Registrar bienes de inversión'!G61)</f>
        <v/>
      </c>
      <c r="H61" s="60" t="str">
        <f>IF('Registrar bienes de inversión'!H61="","",'Registrar bienes de inversión'!H61)</f>
        <v/>
      </c>
      <c r="I61" s="64" t="str">
        <f>IF('Registrar bienes de inversión'!I61="","",'Registrar bienes de inversión'!I61)</f>
        <v/>
      </c>
      <c r="J61" s="72" t="str">
        <f>IF('Registrar bienes de inversión'!J61="","",'Registrar bienes de inversión'!J61)</f>
        <v/>
      </c>
      <c r="K61" s="72" t="str">
        <f>IF('Registrar bienes de inversión'!K61="","",'Registrar bienes de inversión'!K61)</f>
        <v/>
      </c>
      <c r="L61" s="60" t="str">
        <f>IF('Registrar bienes de inversión'!L61="","",VLOOKUP(CONCATENATE("METODO AMORTIZACION",'Registrar bienes de inversión'!L61),'CODIGO-LITERAL'!$C:$D,2,FALSE))</f>
        <v/>
      </c>
      <c r="M61" s="72" t="str">
        <f>IF('Registrar bienes de inversión'!M61="","",'Registrar bienes de inversión'!M61)</f>
        <v/>
      </c>
      <c r="N61" s="72" t="str">
        <f>IF('Registrar bienes de inversión'!N61="","",'Registrar bienes de inversión'!N61)</f>
        <v/>
      </c>
      <c r="O61" s="72" t="str">
        <f>IF('Registrar bienes de inversión'!O61="","",'Registrar bienes de inversión'!O61)</f>
        <v/>
      </c>
      <c r="P61" s="72" t="str">
        <f>IF('Registrar bienes de inversión'!P61="","",'Registrar bienes de inversión'!P61)</f>
        <v/>
      </c>
      <c r="Q61" s="72" t="str">
        <f>IF('Registrar bienes de inversión'!Q61="","",'Registrar bienes de inversión'!Q61)</f>
        <v/>
      </c>
      <c r="R61" s="64" t="str">
        <f>IF('Registrar bienes de inversión'!R61="","",'Registrar bienes de inversión'!R61)</f>
        <v/>
      </c>
      <c r="S61" s="60" t="str">
        <f>IF('Registrar bienes de inversión'!S61="","",'Registrar bienes de inversión'!S61)</f>
        <v/>
      </c>
      <c r="T61" s="60" t="str">
        <f>IF('Registrar bienes de inversión'!T61="","",'Registrar bienes de inversión'!T61)</f>
        <v/>
      </c>
      <c r="U61" s="60" t="str">
        <f>IF('Registrar bienes de inversión'!U61="","",'Registrar bienes de inversión'!U61)</f>
        <v/>
      </c>
      <c r="V61" s="60" t="str">
        <f>IF('Registrar bienes de inversión'!V61="","",'Registrar bienes de inversión'!V61)</f>
        <v/>
      </c>
      <c r="W61" s="60" t="str">
        <f>IF(OR('Registrar bienes de inversión'!W61="",LEFT('Registrar bienes de inversión'!W61,2)="01"),"",VLOOKUP(CONCATENATE("TIPO NIF",'Registrar bienes de inversión'!W61),'CODIGO-LITERAL'!$C:$D,2,FALSE))</f>
        <v/>
      </c>
      <c r="X61" s="60" t="str">
        <f>IF('Registrar bienes de inversión'!X61="","",'Registrar bienes de inversión'!X61)</f>
        <v/>
      </c>
      <c r="Y61" s="60" t="str">
        <f>IF('Registrar bienes de inversión'!Y61="","",'Registrar bienes de inversión'!Y61)</f>
        <v/>
      </c>
      <c r="Z61" s="60" t="str">
        <f>IF('Registrar bienes de inversión'!Z61="","",'Registrar bienes de inversión'!Z61)</f>
        <v/>
      </c>
      <c r="AA61" s="72" t="str">
        <f>IF('Registrar bienes de inversión'!AA61="","",ROUND('Registrar bienes de inversión'!AA61,2))</f>
        <v/>
      </c>
      <c r="AB61" s="72" t="str">
        <f>IF('Registrar bienes de inversión'!AB61="","",'Registrar bienes de inversión'!AB61)</f>
        <v/>
      </c>
      <c r="AC61" s="72" t="str">
        <f>IF('Registrar bienes de inversión'!AC61="","",ROUND('Registrar bienes de inversión'!AC61,2))</f>
        <v/>
      </c>
      <c r="AD61" s="72" t="str">
        <f>IF('Registrar bienes de inversión'!AD61="","",ROUND('Registrar bienes de inversión'!AD61,2))</f>
        <v/>
      </c>
      <c r="AE61" s="72" t="str">
        <f>IF('Registrar bienes de inversión'!AE61="","",ROUND('Registrar bienes de inversión'!AE61,2))</f>
        <v/>
      </c>
      <c r="AF61" s="72" t="str">
        <f>IF('Registrar bienes de inversión'!AF61="","",ROUND('Registrar bienes de inversión'!AF61,2))</f>
        <v/>
      </c>
      <c r="AG61" s="72" t="str">
        <f>IF('Registrar bienes de inversión'!AG61="","",ROUND('Registrar bienes de inversión'!AG61,2))</f>
        <v/>
      </c>
      <c r="AH61" s="64" t="str">
        <f>IF('Registrar bienes de inversión'!AH61="","",'Registrar bienes de inversión'!AH61)</f>
        <v/>
      </c>
      <c r="AI61" s="60" t="str">
        <f>IF('Registrar bienes de inversión'!AI61="","",VLOOKUP(CONCATENATE("CAUSA BAJA BIEN",'Registrar bienes de inversión'!AI61),'CODIGO-LITERAL'!$C:$D,2,FALSE))</f>
        <v/>
      </c>
      <c r="AJ61" s="60" t="str">
        <f>IF('Registrar bienes de inversión'!AJ61="","",'Registrar bienes de inversión'!AJ61)</f>
        <v/>
      </c>
      <c r="AK61" s="60" t="str">
        <f>IF('Registrar bienes de inversión'!AK61="","",'Registrar bienes de inversión'!AK61)</f>
        <v/>
      </c>
      <c r="AL61" s="60" t="str">
        <f>IF('Registrar bienes de inversión'!AL61="","",'Registrar bienes de inversión'!AL61)</f>
        <v/>
      </c>
      <c r="AM61" s="60" t="str">
        <f>IF('Registrar bienes de inversión'!AM61="","",'Registrar bienes de inversión'!AM61)</f>
        <v/>
      </c>
      <c r="AN61" s="60" t="str">
        <f>IF('Registrar bienes de inversión'!AN61="","",VLOOKUP(CONCATENATE("SITUACION",'Registrar bienes de inversión'!AN61),'CODIGO-LITERAL'!$C:$D,2,FALSE))</f>
        <v/>
      </c>
      <c r="AO61" s="60" t="str">
        <f>IF('Registrar bienes de inversión'!AO61="","",'Registrar bienes de inversión'!AO61)</f>
        <v/>
      </c>
      <c r="AP61" s="60" t="str">
        <f>IF('Registrar bienes de inversión'!AP61="","",'Registrar bienes de inversión'!AP61)</f>
        <v/>
      </c>
    </row>
    <row r="62" spans="1:42" x14ac:dyDescent="0.25">
      <c r="A62" s="71" t="str">
        <f>IF('Registrar bienes de inversión'!A62="","",'Registrar bienes de inversión'!A62)</f>
        <v/>
      </c>
      <c r="B62" s="60" t="str">
        <f>IF('Registrar bienes de inversión'!B62="","",'Registrar bienes de inversión'!B62)</f>
        <v/>
      </c>
      <c r="C62" s="60" t="str">
        <f>IF('Registrar bienes de inversión'!C62="","",VLOOKUP(CONCATENATE("ACTIVIDAD",'Registrar bienes de inversión'!C62),'CODIGO-LITERAL'!$C:$D,2,FALSE))</f>
        <v/>
      </c>
      <c r="D62" s="60" t="str">
        <f>IF(OR(C62="C",C62="D"),"",IF(ISERROR(VLOOKUP(CONCATENATE(C62,'Registrar bienes de inversión'!D62),'CODIGO-LITERAL'!$C:$D,2,FALSE)),"",VLOOKUP(CONCATENATE(C62,'Registrar bienes de inversión'!D62),'CODIGO-LITERAL'!$C:$D,2,FALSE)))</f>
        <v/>
      </c>
      <c r="E62" s="60" t="str">
        <f>IF('Registrar bienes de inversión'!E62="","",'Registrar bienes de inversión'!E62)</f>
        <v/>
      </c>
      <c r="F62" s="60" t="str">
        <f>IF('Registrar bienes de inversión'!F62="","",VLOOKUP(CONCATENATE("TIPO BIEN",'Registrar bienes de inversión'!F62),'CODIGO-LITERAL'!$C:$D,2,FALSE))</f>
        <v/>
      </c>
      <c r="G62" s="60" t="str">
        <f>IF('Registrar bienes de inversión'!G62="","",'Registrar bienes de inversión'!G62)</f>
        <v/>
      </c>
      <c r="H62" s="60" t="str">
        <f>IF('Registrar bienes de inversión'!H62="","",'Registrar bienes de inversión'!H62)</f>
        <v/>
      </c>
      <c r="I62" s="64" t="str">
        <f>IF('Registrar bienes de inversión'!I62="","",'Registrar bienes de inversión'!I62)</f>
        <v/>
      </c>
      <c r="J62" s="72" t="str">
        <f>IF('Registrar bienes de inversión'!J62="","",'Registrar bienes de inversión'!J62)</f>
        <v/>
      </c>
      <c r="K62" s="72" t="str">
        <f>IF('Registrar bienes de inversión'!K62="","",'Registrar bienes de inversión'!K62)</f>
        <v/>
      </c>
      <c r="L62" s="60" t="str">
        <f>IF('Registrar bienes de inversión'!L62="","",VLOOKUP(CONCATENATE("METODO AMORTIZACION",'Registrar bienes de inversión'!L62),'CODIGO-LITERAL'!$C:$D,2,FALSE))</f>
        <v/>
      </c>
      <c r="M62" s="72" t="str">
        <f>IF('Registrar bienes de inversión'!M62="","",'Registrar bienes de inversión'!M62)</f>
        <v/>
      </c>
      <c r="N62" s="72" t="str">
        <f>IF('Registrar bienes de inversión'!N62="","",'Registrar bienes de inversión'!N62)</f>
        <v/>
      </c>
      <c r="O62" s="72" t="str">
        <f>IF('Registrar bienes de inversión'!O62="","",'Registrar bienes de inversión'!O62)</f>
        <v/>
      </c>
      <c r="P62" s="72" t="str">
        <f>IF('Registrar bienes de inversión'!P62="","",'Registrar bienes de inversión'!P62)</f>
        <v/>
      </c>
      <c r="Q62" s="72" t="str">
        <f>IF('Registrar bienes de inversión'!Q62="","",'Registrar bienes de inversión'!Q62)</f>
        <v/>
      </c>
      <c r="R62" s="64" t="str">
        <f>IF('Registrar bienes de inversión'!R62="","",'Registrar bienes de inversión'!R62)</f>
        <v/>
      </c>
      <c r="S62" s="60" t="str">
        <f>IF('Registrar bienes de inversión'!S62="","",'Registrar bienes de inversión'!S62)</f>
        <v/>
      </c>
      <c r="T62" s="60" t="str">
        <f>IF('Registrar bienes de inversión'!T62="","",'Registrar bienes de inversión'!T62)</f>
        <v/>
      </c>
      <c r="U62" s="60" t="str">
        <f>IF('Registrar bienes de inversión'!U62="","",'Registrar bienes de inversión'!U62)</f>
        <v/>
      </c>
      <c r="V62" s="60" t="str">
        <f>IF('Registrar bienes de inversión'!V62="","",'Registrar bienes de inversión'!V62)</f>
        <v/>
      </c>
      <c r="W62" s="60" t="str">
        <f>IF(OR('Registrar bienes de inversión'!W62="",LEFT('Registrar bienes de inversión'!W62,2)="01"),"",VLOOKUP(CONCATENATE("TIPO NIF",'Registrar bienes de inversión'!W62),'CODIGO-LITERAL'!$C:$D,2,FALSE))</f>
        <v/>
      </c>
      <c r="X62" s="60" t="str">
        <f>IF('Registrar bienes de inversión'!X62="","",'Registrar bienes de inversión'!X62)</f>
        <v/>
      </c>
      <c r="Y62" s="60" t="str">
        <f>IF('Registrar bienes de inversión'!Y62="","",'Registrar bienes de inversión'!Y62)</f>
        <v/>
      </c>
      <c r="Z62" s="60" t="str">
        <f>IF('Registrar bienes de inversión'!Z62="","",'Registrar bienes de inversión'!Z62)</f>
        <v/>
      </c>
      <c r="AA62" s="72" t="str">
        <f>IF('Registrar bienes de inversión'!AA62="","",ROUND('Registrar bienes de inversión'!AA62,2))</f>
        <v/>
      </c>
      <c r="AB62" s="72" t="str">
        <f>IF('Registrar bienes de inversión'!AB62="","",'Registrar bienes de inversión'!AB62)</f>
        <v/>
      </c>
      <c r="AC62" s="72" t="str">
        <f>IF('Registrar bienes de inversión'!AC62="","",ROUND('Registrar bienes de inversión'!AC62,2))</f>
        <v/>
      </c>
      <c r="AD62" s="72" t="str">
        <f>IF('Registrar bienes de inversión'!AD62="","",ROUND('Registrar bienes de inversión'!AD62,2))</f>
        <v/>
      </c>
      <c r="AE62" s="72" t="str">
        <f>IF('Registrar bienes de inversión'!AE62="","",ROUND('Registrar bienes de inversión'!AE62,2))</f>
        <v/>
      </c>
      <c r="AF62" s="72" t="str">
        <f>IF('Registrar bienes de inversión'!AF62="","",ROUND('Registrar bienes de inversión'!AF62,2))</f>
        <v/>
      </c>
      <c r="AG62" s="72" t="str">
        <f>IF('Registrar bienes de inversión'!AG62="","",ROUND('Registrar bienes de inversión'!AG62,2))</f>
        <v/>
      </c>
      <c r="AH62" s="64" t="str">
        <f>IF('Registrar bienes de inversión'!AH62="","",'Registrar bienes de inversión'!AH62)</f>
        <v/>
      </c>
      <c r="AI62" s="60" t="str">
        <f>IF('Registrar bienes de inversión'!AI62="","",VLOOKUP(CONCATENATE("CAUSA BAJA BIEN",'Registrar bienes de inversión'!AI62),'CODIGO-LITERAL'!$C:$D,2,FALSE))</f>
        <v/>
      </c>
      <c r="AJ62" s="60" t="str">
        <f>IF('Registrar bienes de inversión'!AJ62="","",'Registrar bienes de inversión'!AJ62)</f>
        <v/>
      </c>
      <c r="AK62" s="60" t="str">
        <f>IF('Registrar bienes de inversión'!AK62="","",'Registrar bienes de inversión'!AK62)</f>
        <v/>
      </c>
      <c r="AL62" s="60" t="str">
        <f>IF('Registrar bienes de inversión'!AL62="","",'Registrar bienes de inversión'!AL62)</f>
        <v/>
      </c>
      <c r="AM62" s="60" t="str">
        <f>IF('Registrar bienes de inversión'!AM62="","",'Registrar bienes de inversión'!AM62)</f>
        <v/>
      </c>
      <c r="AN62" s="60" t="str">
        <f>IF('Registrar bienes de inversión'!AN62="","",VLOOKUP(CONCATENATE("SITUACION",'Registrar bienes de inversión'!AN62),'CODIGO-LITERAL'!$C:$D,2,FALSE))</f>
        <v/>
      </c>
      <c r="AO62" s="60" t="str">
        <f>IF('Registrar bienes de inversión'!AO62="","",'Registrar bienes de inversión'!AO62)</f>
        <v/>
      </c>
      <c r="AP62" s="60" t="str">
        <f>IF('Registrar bienes de inversión'!AP62="","",'Registrar bienes de inversión'!AP62)</f>
        <v/>
      </c>
    </row>
    <row r="63" spans="1:42" x14ac:dyDescent="0.25">
      <c r="A63" s="71" t="str">
        <f>IF('Registrar bienes de inversión'!A63="","",'Registrar bienes de inversión'!A63)</f>
        <v/>
      </c>
      <c r="B63" s="60" t="str">
        <f>IF('Registrar bienes de inversión'!B63="","",'Registrar bienes de inversión'!B63)</f>
        <v/>
      </c>
      <c r="C63" s="60" t="str">
        <f>IF('Registrar bienes de inversión'!C63="","",VLOOKUP(CONCATENATE("ACTIVIDAD",'Registrar bienes de inversión'!C63),'CODIGO-LITERAL'!$C:$D,2,FALSE))</f>
        <v/>
      </c>
      <c r="D63" s="60" t="str">
        <f>IF(OR(C63="C",C63="D"),"",IF(ISERROR(VLOOKUP(CONCATENATE(C63,'Registrar bienes de inversión'!D63),'CODIGO-LITERAL'!$C:$D,2,FALSE)),"",VLOOKUP(CONCATENATE(C63,'Registrar bienes de inversión'!D63),'CODIGO-LITERAL'!$C:$D,2,FALSE)))</f>
        <v/>
      </c>
      <c r="E63" s="60" t="str">
        <f>IF('Registrar bienes de inversión'!E63="","",'Registrar bienes de inversión'!E63)</f>
        <v/>
      </c>
      <c r="F63" s="60" t="str">
        <f>IF('Registrar bienes de inversión'!F63="","",VLOOKUP(CONCATENATE("TIPO BIEN",'Registrar bienes de inversión'!F63),'CODIGO-LITERAL'!$C:$D,2,FALSE))</f>
        <v/>
      </c>
      <c r="G63" s="60" t="str">
        <f>IF('Registrar bienes de inversión'!G63="","",'Registrar bienes de inversión'!G63)</f>
        <v/>
      </c>
      <c r="H63" s="60" t="str">
        <f>IF('Registrar bienes de inversión'!H63="","",'Registrar bienes de inversión'!H63)</f>
        <v/>
      </c>
      <c r="I63" s="64" t="str">
        <f>IF('Registrar bienes de inversión'!I63="","",'Registrar bienes de inversión'!I63)</f>
        <v/>
      </c>
      <c r="J63" s="72" t="str">
        <f>IF('Registrar bienes de inversión'!J63="","",'Registrar bienes de inversión'!J63)</f>
        <v/>
      </c>
      <c r="K63" s="72" t="str">
        <f>IF('Registrar bienes de inversión'!K63="","",'Registrar bienes de inversión'!K63)</f>
        <v/>
      </c>
      <c r="L63" s="60" t="str">
        <f>IF('Registrar bienes de inversión'!L63="","",VLOOKUP(CONCATENATE("METODO AMORTIZACION",'Registrar bienes de inversión'!L63),'CODIGO-LITERAL'!$C:$D,2,FALSE))</f>
        <v/>
      </c>
      <c r="M63" s="72" t="str">
        <f>IF('Registrar bienes de inversión'!M63="","",'Registrar bienes de inversión'!M63)</f>
        <v/>
      </c>
      <c r="N63" s="72" t="str">
        <f>IF('Registrar bienes de inversión'!N63="","",'Registrar bienes de inversión'!N63)</f>
        <v/>
      </c>
      <c r="O63" s="72" t="str">
        <f>IF('Registrar bienes de inversión'!O63="","",'Registrar bienes de inversión'!O63)</f>
        <v/>
      </c>
      <c r="P63" s="72" t="str">
        <f>IF('Registrar bienes de inversión'!P63="","",'Registrar bienes de inversión'!P63)</f>
        <v/>
      </c>
      <c r="Q63" s="72" t="str">
        <f>IF('Registrar bienes de inversión'!Q63="","",'Registrar bienes de inversión'!Q63)</f>
        <v/>
      </c>
      <c r="R63" s="64" t="str">
        <f>IF('Registrar bienes de inversión'!R63="","",'Registrar bienes de inversión'!R63)</f>
        <v/>
      </c>
      <c r="S63" s="60" t="str">
        <f>IF('Registrar bienes de inversión'!S63="","",'Registrar bienes de inversión'!S63)</f>
        <v/>
      </c>
      <c r="T63" s="60" t="str">
        <f>IF('Registrar bienes de inversión'!T63="","",'Registrar bienes de inversión'!T63)</f>
        <v/>
      </c>
      <c r="U63" s="60" t="str">
        <f>IF('Registrar bienes de inversión'!U63="","",'Registrar bienes de inversión'!U63)</f>
        <v/>
      </c>
      <c r="V63" s="60" t="str">
        <f>IF('Registrar bienes de inversión'!V63="","",'Registrar bienes de inversión'!V63)</f>
        <v/>
      </c>
      <c r="W63" s="60" t="str">
        <f>IF(OR('Registrar bienes de inversión'!W63="",LEFT('Registrar bienes de inversión'!W63,2)="01"),"",VLOOKUP(CONCATENATE("TIPO NIF",'Registrar bienes de inversión'!W63),'CODIGO-LITERAL'!$C:$D,2,FALSE))</f>
        <v/>
      </c>
      <c r="X63" s="60" t="str">
        <f>IF('Registrar bienes de inversión'!X63="","",'Registrar bienes de inversión'!X63)</f>
        <v/>
      </c>
      <c r="Y63" s="60" t="str">
        <f>IF('Registrar bienes de inversión'!Y63="","",'Registrar bienes de inversión'!Y63)</f>
        <v/>
      </c>
      <c r="Z63" s="60" t="str">
        <f>IF('Registrar bienes de inversión'!Z63="","",'Registrar bienes de inversión'!Z63)</f>
        <v/>
      </c>
      <c r="AA63" s="72" t="str">
        <f>IF('Registrar bienes de inversión'!AA63="","",ROUND('Registrar bienes de inversión'!AA63,2))</f>
        <v/>
      </c>
      <c r="AB63" s="72" t="str">
        <f>IF('Registrar bienes de inversión'!AB63="","",'Registrar bienes de inversión'!AB63)</f>
        <v/>
      </c>
      <c r="AC63" s="72" t="str">
        <f>IF('Registrar bienes de inversión'!AC63="","",ROUND('Registrar bienes de inversión'!AC63,2))</f>
        <v/>
      </c>
      <c r="AD63" s="72" t="str">
        <f>IF('Registrar bienes de inversión'!AD63="","",ROUND('Registrar bienes de inversión'!AD63,2))</f>
        <v/>
      </c>
      <c r="AE63" s="72" t="str">
        <f>IF('Registrar bienes de inversión'!AE63="","",ROUND('Registrar bienes de inversión'!AE63,2))</f>
        <v/>
      </c>
      <c r="AF63" s="72" t="str">
        <f>IF('Registrar bienes de inversión'!AF63="","",ROUND('Registrar bienes de inversión'!AF63,2))</f>
        <v/>
      </c>
      <c r="AG63" s="72" t="str">
        <f>IF('Registrar bienes de inversión'!AG63="","",ROUND('Registrar bienes de inversión'!AG63,2))</f>
        <v/>
      </c>
      <c r="AH63" s="64" t="str">
        <f>IF('Registrar bienes de inversión'!AH63="","",'Registrar bienes de inversión'!AH63)</f>
        <v/>
      </c>
      <c r="AI63" s="60" t="str">
        <f>IF('Registrar bienes de inversión'!AI63="","",VLOOKUP(CONCATENATE("CAUSA BAJA BIEN",'Registrar bienes de inversión'!AI63),'CODIGO-LITERAL'!$C:$D,2,FALSE))</f>
        <v/>
      </c>
      <c r="AJ63" s="60" t="str">
        <f>IF('Registrar bienes de inversión'!AJ63="","",'Registrar bienes de inversión'!AJ63)</f>
        <v/>
      </c>
      <c r="AK63" s="60" t="str">
        <f>IF('Registrar bienes de inversión'!AK63="","",'Registrar bienes de inversión'!AK63)</f>
        <v/>
      </c>
      <c r="AL63" s="60" t="str">
        <f>IF('Registrar bienes de inversión'!AL63="","",'Registrar bienes de inversión'!AL63)</f>
        <v/>
      </c>
      <c r="AM63" s="60" t="str">
        <f>IF('Registrar bienes de inversión'!AM63="","",'Registrar bienes de inversión'!AM63)</f>
        <v/>
      </c>
      <c r="AN63" s="60" t="str">
        <f>IF('Registrar bienes de inversión'!AN63="","",VLOOKUP(CONCATENATE("SITUACION",'Registrar bienes de inversión'!AN63),'CODIGO-LITERAL'!$C:$D,2,FALSE))</f>
        <v/>
      </c>
      <c r="AO63" s="60" t="str">
        <f>IF('Registrar bienes de inversión'!AO63="","",'Registrar bienes de inversión'!AO63)</f>
        <v/>
      </c>
      <c r="AP63" s="60" t="str">
        <f>IF('Registrar bienes de inversión'!AP63="","",'Registrar bienes de inversión'!AP63)</f>
        <v/>
      </c>
    </row>
    <row r="64" spans="1:42" x14ac:dyDescent="0.25">
      <c r="A64" s="71" t="str">
        <f>IF('Registrar bienes de inversión'!A64="","",'Registrar bienes de inversión'!A64)</f>
        <v/>
      </c>
      <c r="B64" s="60" t="str">
        <f>IF('Registrar bienes de inversión'!B64="","",'Registrar bienes de inversión'!B64)</f>
        <v/>
      </c>
      <c r="C64" s="60" t="str">
        <f>IF('Registrar bienes de inversión'!C64="","",VLOOKUP(CONCATENATE("ACTIVIDAD",'Registrar bienes de inversión'!C64),'CODIGO-LITERAL'!$C:$D,2,FALSE))</f>
        <v/>
      </c>
      <c r="D64" s="60" t="str">
        <f>IF(OR(C64="C",C64="D"),"",IF(ISERROR(VLOOKUP(CONCATENATE(C64,'Registrar bienes de inversión'!D64),'CODIGO-LITERAL'!$C:$D,2,FALSE)),"",VLOOKUP(CONCATENATE(C64,'Registrar bienes de inversión'!D64),'CODIGO-LITERAL'!$C:$D,2,FALSE)))</f>
        <v/>
      </c>
      <c r="E64" s="60" t="str">
        <f>IF('Registrar bienes de inversión'!E64="","",'Registrar bienes de inversión'!E64)</f>
        <v/>
      </c>
      <c r="F64" s="60" t="str">
        <f>IF('Registrar bienes de inversión'!F64="","",VLOOKUP(CONCATENATE("TIPO BIEN",'Registrar bienes de inversión'!F64),'CODIGO-LITERAL'!$C:$D,2,FALSE))</f>
        <v/>
      </c>
      <c r="G64" s="60" t="str">
        <f>IF('Registrar bienes de inversión'!G64="","",'Registrar bienes de inversión'!G64)</f>
        <v/>
      </c>
      <c r="H64" s="60" t="str">
        <f>IF('Registrar bienes de inversión'!H64="","",'Registrar bienes de inversión'!H64)</f>
        <v/>
      </c>
      <c r="I64" s="64" t="str">
        <f>IF('Registrar bienes de inversión'!I64="","",'Registrar bienes de inversión'!I64)</f>
        <v/>
      </c>
      <c r="J64" s="72" t="str">
        <f>IF('Registrar bienes de inversión'!J64="","",'Registrar bienes de inversión'!J64)</f>
        <v/>
      </c>
      <c r="K64" s="72" t="str">
        <f>IF('Registrar bienes de inversión'!K64="","",'Registrar bienes de inversión'!K64)</f>
        <v/>
      </c>
      <c r="L64" s="60" t="str">
        <f>IF('Registrar bienes de inversión'!L64="","",VLOOKUP(CONCATENATE("METODO AMORTIZACION",'Registrar bienes de inversión'!L64),'CODIGO-LITERAL'!$C:$D,2,FALSE))</f>
        <v/>
      </c>
      <c r="M64" s="72" t="str">
        <f>IF('Registrar bienes de inversión'!M64="","",'Registrar bienes de inversión'!M64)</f>
        <v/>
      </c>
      <c r="N64" s="72" t="str">
        <f>IF('Registrar bienes de inversión'!N64="","",'Registrar bienes de inversión'!N64)</f>
        <v/>
      </c>
      <c r="O64" s="72" t="str">
        <f>IF('Registrar bienes de inversión'!O64="","",'Registrar bienes de inversión'!O64)</f>
        <v/>
      </c>
      <c r="P64" s="72" t="str">
        <f>IF('Registrar bienes de inversión'!P64="","",'Registrar bienes de inversión'!P64)</f>
        <v/>
      </c>
      <c r="Q64" s="72" t="str">
        <f>IF('Registrar bienes de inversión'!Q64="","",'Registrar bienes de inversión'!Q64)</f>
        <v/>
      </c>
      <c r="R64" s="64" t="str">
        <f>IF('Registrar bienes de inversión'!R64="","",'Registrar bienes de inversión'!R64)</f>
        <v/>
      </c>
      <c r="S64" s="60" t="str">
        <f>IF('Registrar bienes de inversión'!S64="","",'Registrar bienes de inversión'!S64)</f>
        <v/>
      </c>
      <c r="T64" s="60" t="str">
        <f>IF('Registrar bienes de inversión'!T64="","",'Registrar bienes de inversión'!T64)</f>
        <v/>
      </c>
      <c r="U64" s="60" t="str">
        <f>IF('Registrar bienes de inversión'!U64="","",'Registrar bienes de inversión'!U64)</f>
        <v/>
      </c>
      <c r="V64" s="60" t="str">
        <f>IF('Registrar bienes de inversión'!V64="","",'Registrar bienes de inversión'!V64)</f>
        <v/>
      </c>
      <c r="W64" s="60" t="str">
        <f>IF(OR('Registrar bienes de inversión'!W64="",LEFT('Registrar bienes de inversión'!W64,2)="01"),"",VLOOKUP(CONCATENATE("TIPO NIF",'Registrar bienes de inversión'!W64),'CODIGO-LITERAL'!$C:$D,2,FALSE))</f>
        <v/>
      </c>
      <c r="X64" s="60" t="str">
        <f>IF('Registrar bienes de inversión'!X64="","",'Registrar bienes de inversión'!X64)</f>
        <v/>
      </c>
      <c r="Y64" s="60" t="str">
        <f>IF('Registrar bienes de inversión'!Y64="","",'Registrar bienes de inversión'!Y64)</f>
        <v/>
      </c>
      <c r="Z64" s="60" t="str">
        <f>IF('Registrar bienes de inversión'!Z64="","",'Registrar bienes de inversión'!Z64)</f>
        <v/>
      </c>
      <c r="AA64" s="72" t="str">
        <f>IF('Registrar bienes de inversión'!AA64="","",ROUND('Registrar bienes de inversión'!AA64,2))</f>
        <v/>
      </c>
      <c r="AB64" s="72" t="str">
        <f>IF('Registrar bienes de inversión'!AB64="","",'Registrar bienes de inversión'!AB64)</f>
        <v/>
      </c>
      <c r="AC64" s="72" t="str">
        <f>IF('Registrar bienes de inversión'!AC64="","",ROUND('Registrar bienes de inversión'!AC64,2))</f>
        <v/>
      </c>
      <c r="AD64" s="72" t="str">
        <f>IF('Registrar bienes de inversión'!AD64="","",ROUND('Registrar bienes de inversión'!AD64,2))</f>
        <v/>
      </c>
      <c r="AE64" s="72" t="str">
        <f>IF('Registrar bienes de inversión'!AE64="","",ROUND('Registrar bienes de inversión'!AE64,2))</f>
        <v/>
      </c>
      <c r="AF64" s="72" t="str">
        <f>IF('Registrar bienes de inversión'!AF64="","",ROUND('Registrar bienes de inversión'!AF64,2))</f>
        <v/>
      </c>
      <c r="AG64" s="72" t="str">
        <f>IF('Registrar bienes de inversión'!AG64="","",ROUND('Registrar bienes de inversión'!AG64,2))</f>
        <v/>
      </c>
      <c r="AH64" s="64" t="str">
        <f>IF('Registrar bienes de inversión'!AH64="","",'Registrar bienes de inversión'!AH64)</f>
        <v/>
      </c>
      <c r="AI64" s="60" t="str">
        <f>IF('Registrar bienes de inversión'!AI64="","",VLOOKUP(CONCATENATE("CAUSA BAJA BIEN",'Registrar bienes de inversión'!AI64),'CODIGO-LITERAL'!$C:$D,2,FALSE))</f>
        <v/>
      </c>
      <c r="AJ64" s="60" t="str">
        <f>IF('Registrar bienes de inversión'!AJ64="","",'Registrar bienes de inversión'!AJ64)</f>
        <v/>
      </c>
      <c r="AK64" s="60" t="str">
        <f>IF('Registrar bienes de inversión'!AK64="","",'Registrar bienes de inversión'!AK64)</f>
        <v/>
      </c>
      <c r="AL64" s="60" t="str">
        <f>IF('Registrar bienes de inversión'!AL64="","",'Registrar bienes de inversión'!AL64)</f>
        <v/>
      </c>
      <c r="AM64" s="60" t="str">
        <f>IF('Registrar bienes de inversión'!AM64="","",'Registrar bienes de inversión'!AM64)</f>
        <v/>
      </c>
      <c r="AN64" s="60" t="str">
        <f>IF('Registrar bienes de inversión'!AN64="","",VLOOKUP(CONCATENATE("SITUACION",'Registrar bienes de inversión'!AN64),'CODIGO-LITERAL'!$C:$D,2,FALSE))</f>
        <v/>
      </c>
      <c r="AO64" s="60" t="str">
        <f>IF('Registrar bienes de inversión'!AO64="","",'Registrar bienes de inversión'!AO64)</f>
        <v/>
      </c>
      <c r="AP64" s="60" t="str">
        <f>IF('Registrar bienes de inversión'!AP64="","",'Registrar bienes de inversión'!AP64)</f>
        <v/>
      </c>
    </row>
    <row r="65" spans="1:42" x14ac:dyDescent="0.25">
      <c r="A65" s="71" t="str">
        <f>IF('Registrar bienes de inversión'!A65="","",'Registrar bienes de inversión'!A65)</f>
        <v/>
      </c>
      <c r="B65" s="60" t="str">
        <f>IF('Registrar bienes de inversión'!B65="","",'Registrar bienes de inversión'!B65)</f>
        <v/>
      </c>
      <c r="C65" s="60" t="str">
        <f>IF('Registrar bienes de inversión'!C65="","",VLOOKUP(CONCATENATE("ACTIVIDAD",'Registrar bienes de inversión'!C65),'CODIGO-LITERAL'!$C:$D,2,FALSE))</f>
        <v/>
      </c>
      <c r="D65" s="60" t="str">
        <f>IF(OR(C65="C",C65="D"),"",IF(ISERROR(VLOOKUP(CONCATENATE(C65,'Registrar bienes de inversión'!D65),'CODIGO-LITERAL'!$C:$D,2,FALSE)),"",VLOOKUP(CONCATENATE(C65,'Registrar bienes de inversión'!D65),'CODIGO-LITERAL'!$C:$D,2,FALSE)))</f>
        <v/>
      </c>
      <c r="E65" s="60" t="str">
        <f>IF('Registrar bienes de inversión'!E65="","",'Registrar bienes de inversión'!E65)</f>
        <v/>
      </c>
      <c r="F65" s="60" t="str">
        <f>IF('Registrar bienes de inversión'!F65="","",VLOOKUP(CONCATENATE("TIPO BIEN",'Registrar bienes de inversión'!F65),'CODIGO-LITERAL'!$C:$D,2,FALSE))</f>
        <v/>
      </c>
      <c r="G65" s="60" t="str">
        <f>IF('Registrar bienes de inversión'!G65="","",'Registrar bienes de inversión'!G65)</f>
        <v/>
      </c>
      <c r="H65" s="60" t="str">
        <f>IF('Registrar bienes de inversión'!H65="","",'Registrar bienes de inversión'!H65)</f>
        <v/>
      </c>
      <c r="I65" s="64" t="str">
        <f>IF('Registrar bienes de inversión'!I65="","",'Registrar bienes de inversión'!I65)</f>
        <v/>
      </c>
      <c r="J65" s="72" t="str">
        <f>IF('Registrar bienes de inversión'!J65="","",'Registrar bienes de inversión'!J65)</f>
        <v/>
      </c>
      <c r="K65" s="72" t="str">
        <f>IF('Registrar bienes de inversión'!K65="","",'Registrar bienes de inversión'!K65)</f>
        <v/>
      </c>
      <c r="L65" s="60" t="str">
        <f>IF('Registrar bienes de inversión'!L65="","",VLOOKUP(CONCATENATE("METODO AMORTIZACION",'Registrar bienes de inversión'!L65),'CODIGO-LITERAL'!$C:$D,2,FALSE))</f>
        <v/>
      </c>
      <c r="M65" s="72" t="str">
        <f>IF('Registrar bienes de inversión'!M65="","",'Registrar bienes de inversión'!M65)</f>
        <v/>
      </c>
      <c r="N65" s="72" t="str">
        <f>IF('Registrar bienes de inversión'!N65="","",'Registrar bienes de inversión'!N65)</f>
        <v/>
      </c>
      <c r="O65" s="72" t="str">
        <f>IF('Registrar bienes de inversión'!O65="","",'Registrar bienes de inversión'!O65)</f>
        <v/>
      </c>
      <c r="P65" s="72" t="str">
        <f>IF('Registrar bienes de inversión'!P65="","",'Registrar bienes de inversión'!P65)</f>
        <v/>
      </c>
      <c r="Q65" s="72" t="str">
        <f>IF('Registrar bienes de inversión'!Q65="","",'Registrar bienes de inversión'!Q65)</f>
        <v/>
      </c>
      <c r="R65" s="64" t="str">
        <f>IF('Registrar bienes de inversión'!R65="","",'Registrar bienes de inversión'!R65)</f>
        <v/>
      </c>
      <c r="S65" s="60" t="str">
        <f>IF('Registrar bienes de inversión'!S65="","",'Registrar bienes de inversión'!S65)</f>
        <v/>
      </c>
      <c r="T65" s="60" t="str">
        <f>IF('Registrar bienes de inversión'!T65="","",'Registrar bienes de inversión'!T65)</f>
        <v/>
      </c>
      <c r="U65" s="60" t="str">
        <f>IF('Registrar bienes de inversión'!U65="","",'Registrar bienes de inversión'!U65)</f>
        <v/>
      </c>
      <c r="V65" s="60" t="str">
        <f>IF('Registrar bienes de inversión'!V65="","",'Registrar bienes de inversión'!V65)</f>
        <v/>
      </c>
      <c r="W65" s="60" t="str">
        <f>IF(OR('Registrar bienes de inversión'!W65="",LEFT('Registrar bienes de inversión'!W65,2)="01"),"",VLOOKUP(CONCATENATE("TIPO NIF",'Registrar bienes de inversión'!W65),'CODIGO-LITERAL'!$C:$D,2,FALSE))</f>
        <v/>
      </c>
      <c r="X65" s="60" t="str">
        <f>IF('Registrar bienes de inversión'!X65="","",'Registrar bienes de inversión'!X65)</f>
        <v/>
      </c>
      <c r="Y65" s="60" t="str">
        <f>IF('Registrar bienes de inversión'!Y65="","",'Registrar bienes de inversión'!Y65)</f>
        <v/>
      </c>
      <c r="Z65" s="60" t="str">
        <f>IF('Registrar bienes de inversión'!Z65="","",'Registrar bienes de inversión'!Z65)</f>
        <v/>
      </c>
      <c r="AA65" s="72" t="str">
        <f>IF('Registrar bienes de inversión'!AA65="","",ROUND('Registrar bienes de inversión'!AA65,2))</f>
        <v/>
      </c>
      <c r="AB65" s="72" t="str">
        <f>IF('Registrar bienes de inversión'!AB65="","",'Registrar bienes de inversión'!AB65)</f>
        <v/>
      </c>
      <c r="AC65" s="72" t="str">
        <f>IF('Registrar bienes de inversión'!AC65="","",ROUND('Registrar bienes de inversión'!AC65,2))</f>
        <v/>
      </c>
      <c r="AD65" s="72" t="str">
        <f>IF('Registrar bienes de inversión'!AD65="","",ROUND('Registrar bienes de inversión'!AD65,2))</f>
        <v/>
      </c>
      <c r="AE65" s="72" t="str">
        <f>IF('Registrar bienes de inversión'!AE65="","",ROUND('Registrar bienes de inversión'!AE65,2))</f>
        <v/>
      </c>
      <c r="AF65" s="72" t="str">
        <f>IF('Registrar bienes de inversión'!AF65="","",ROUND('Registrar bienes de inversión'!AF65,2))</f>
        <v/>
      </c>
      <c r="AG65" s="72" t="str">
        <f>IF('Registrar bienes de inversión'!AG65="","",ROUND('Registrar bienes de inversión'!AG65,2))</f>
        <v/>
      </c>
      <c r="AH65" s="64" t="str">
        <f>IF('Registrar bienes de inversión'!AH65="","",'Registrar bienes de inversión'!AH65)</f>
        <v/>
      </c>
      <c r="AI65" s="60" t="str">
        <f>IF('Registrar bienes de inversión'!AI65="","",VLOOKUP(CONCATENATE("CAUSA BAJA BIEN",'Registrar bienes de inversión'!AI65),'CODIGO-LITERAL'!$C:$D,2,FALSE))</f>
        <v/>
      </c>
      <c r="AJ65" s="60" t="str">
        <f>IF('Registrar bienes de inversión'!AJ65="","",'Registrar bienes de inversión'!AJ65)</f>
        <v/>
      </c>
      <c r="AK65" s="60" t="str">
        <f>IF('Registrar bienes de inversión'!AK65="","",'Registrar bienes de inversión'!AK65)</f>
        <v/>
      </c>
      <c r="AL65" s="60" t="str">
        <f>IF('Registrar bienes de inversión'!AL65="","",'Registrar bienes de inversión'!AL65)</f>
        <v/>
      </c>
      <c r="AM65" s="60" t="str">
        <f>IF('Registrar bienes de inversión'!AM65="","",'Registrar bienes de inversión'!AM65)</f>
        <v/>
      </c>
      <c r="AN65" s="60" t="str">
        <f>IF('Registrar bienes de inversión'!AN65="","",VLOOKUP(CONCATENATE("SITUACION",'Registrar bienes de inversión'!AN65),'CODIGO-LITERAL'!$C:$D,2,FALSE))</f>
        <v/>
      </c>
      <c r="AO65" s="60" t="str">
        <f>IF('Registrar bienes de inversión'!AO65="","",'Registrar bienes de inversión'!AO65)</f>
        <v/>
      </c>
      <c r="AP65" s="60" t="str">
        <f>IF('Registrar bienes de inversión'!AP65="","",'Registrar bienes de inversión'!AP65)</f>
        <v/>
      </c>
    </row>
    <row r="66" spans="1:42" x14ac:dyDescent="0.25">
      <c r="A66" s="71" t="str">
        <f>IF('Registrar bienes de inversión'!A66="","",'Registrar bienes de inversión'!A66)</f>
        <v/>
      </c>
      <c r="B66" s="60" t="str">
        <f>IF('Registrar bienes de inversión'!B66="","",'Registrar bienes de inversión'!B66)</f>
        <v/>
      </c>
      <c r="C66" s="60" t="str">
        <f>IF('Registrar bienes de inversión'!C66="","",VLOOKUP(CONCATENATE("ACTIVIDAD",'Registrar bienes de inversión'!C66),'CODIGO-LITERAL'!$C:$D,2,FALSE))</f>
        <v/>
      </c>
      <c r="D66" s="60" t="str">
        <f>IF(OR(C66="C",C66="D"),"",IF(ISERROR(VLOOKUP(CONCATENATE(C66,'Registrar bienes de inversión'!D66),'CODIGO-LITERAL'!$C:$D,2,FALSE)),"",VLOOKUP(CONCATENATE(C66,'Registrar bienes de inversión'!D66),'CODIGO-LITERAL'!$C:$D,2,FALSE)))</f>
        <v/>
      </c>
      <c r="E66" s="60" t="str">
        <f>IF('Registrar bienes de inversión'!E66="","",'Registrar bienes de inversión'!E66)</f>
        <v/>
      </c>
      <c r="F66" s="60" t="str">
        <f>IF('Registrar bienes de inversión'!F66="","",VLOOKUP(CONCATENATE("TIPO BIEN",'Registrar bienes de inversión'!F66),'CODIGO-LITERAL'!$C:$D,2,FALSE))</f>
        <v/>
      </c>
      <c r="G66" s="60" t="str">
        <f>IF('Registrar bienes de inversión'!G66="","",'Registrar bienes de inversión'!G66)</f>
        <v/>
      </c>
      <c r="H66" s="60" t="str">
        <f>IF('Registrar bienes de inversión'!H66="","",'Registrar bienes de inversión'!H66)</f>
        <v/>
      </c>
      <c r="I66" s="64" t="str">
        <f>IF('Registrar bienes de inversión'!I66="","",'Registrar bienes de inversión'!I66)</f>
        <v/>
      </c>
      <c r="J66" s="72" t="str">
        <f>IF('Registrar bienes de inversión'!J66="","",'Registrar bienes de inversión'!J66)</f>
        <v/>
      </c>
      <c r="K66" s="72" t="str">
        <f>IF('Registrar bienes de inversión'!K66="","",'Registrar bienes de inversión'!K66)</f>
        <v/>
      </c>
      <c r="L66" s="60" t="str">
        <f>IF('Registrar bienes de inversión'!L66="","",VLOOKUP(CONCATENATE("METODO AMORTIZACION",'Registrar bienes de inversión'!L66),'CODIGO-LITERAL'!$C:$D,2,FALSE))</f>
        <v/>
      </c>
      <c r="M66" s="72" t="str">
        <f>IF('Registrar bienes de inversión'!M66="","",'Registrar bienes de inversión'!M66)</f>
        <v/>
      </c>
      <c r="N66" s="72" t="str">
        <f>IF('Registrar bienes de inversión'!N66="","",'Registrar bienes de inversión'!N66)</f>
        <v/>
      </c>
      <c r="O66" s="72" t="str">
        <f>IF('Registrar bienes de inversión'!O66="","",'Registrar bienes de inversión'!O66)</f>
        <v/>
      </c>
      <c r="P66" s="72" t="str">
        <f>IF('Registrar bienes de inversión'!P66="","",'Registrar bienes de inversión'!P66)</f>
        <v/>
      </c>
      <c r="Q66" s="72" t="str">
        <f>IF('Registrar bienes de inversión'!Q66="","",'Registrar bienes de inversión'!Q66)</f>
        <v/>
      </c>
      <c r="R66" s="64" t="str">
        <f>IF('Registrar bienes de inversión'!R66="","",'Registrar bienes de inversión'!R66)</f>
        <v/>
      </c>
      <c r="S66" s="60" t="str">
        <f>IF('Registrar bienes de inversión'!S66="","",'Registrar bienes de inversión'!S66)</f>
        <v/>
      </c>
      <c r="T66" s="60" t="str">
        <f>IF('Registrar bienes de inversión'!T66="","",'Registrar bienes de inversión'!T66)</f>
        <v/>
      </c>
      <c r="U66" s="60" t="str">
        <f>IF('Registrar bienes de inversión'!U66="","",'Registrar bienes de inversión'!U66)</f>
        <v/>
      </c>
      <c r="V66" s="60" t="str">
        <f>IF('Registrar bienes de inversión'!V66="","",'Registrar bienes de inversión'!V66)</f>
        <v/>
      </c>
      <c r="W66" s="60" t="str">
        <f>IF(OR('Registrar bienes de inversión'!W66="",LEFT('Registrar bienes de inversión'!W66,2)="01"),"",VLOOKUP(CONCATENATE("TIPO NIF",'Registrar bienes de inversión'!W66),'CODIGO-LITERAL'!$C:$D,2,FALSE))</f>
        <v/>
      </c>
      <c r="X66" s="60" t="str">
        <f>IF('Registrar bienes de inversión'!X66="","",'Registrar bienes de inversión'!X66)</f>
        <v/>
      </c>
      <c r="Y66" s="60" t="str">
        <f>IF('Registrar bienes de inversión'!Y66="","",'Registrar bienes de inversión'!Y66)</f>
        <v/>
      </c>
      <c r="Z66" s="60" t="str">
        <f>IF('Registrar bienes de inversión'!Z66="","",'Registrar bienes de inversión'!Z66)</f>
        <v/>
      </c>
      <c r="AA66" s="72" t="str">
        <f>IF('Registrar bienes de inversión'!AA66="","",ROUND('Registrar bienes de inversión'!AA66,2))</f>
        <v/>
      </c>
      <c r="AB66" s="72" t="str">
        <f>IF('Registrar bienes de inversión'!AB66="","",'Registrar bienes de inversión'!AB66)</f>
        <v/>
      </c>
      <c r="AC66" s="72" t="str">
        <f>IF('Registrar bienes de inversión'!AC66="","",ROUND('Registrar bienes de inversión'!AC66,2))</f>
        <v/>
      </c>
      <c r="AD66" s="72" t="str">
        <f>IF('Registrar bienes de inversión'!AD66="","",ROUND('Registrar bienes de inversión'!AD66,2))</f>
        <v/>
      </c>
      <c r="AE66" s="72" t="str">
        <f>IF('Registrar bienes de inversión'!AE66="","",ROUND('Registrar bienes de inversión'!AE66,2))</f>
        <v/>
      </c>
      <c r="AF66" s="72" t="str">
        <f>IF('Registrar bienes de inversión'!AF66="","",ROUND('Registrar bienes de inversión'!AF66,2))</f>
        <v/>
      </c>
      <c r="AG66" s="72" t="str">
        <f>IF('Registrar bienes de inversión'!AG66="","",ROUND('Registrar bienes de inversión'!AG66,2))</f>
        <v/>
      </c>
      <c r="AH66" s="64" t="str">
        <f>IF('Registrar bienes de inversión'!AH66="","",'Registrar bienes de inversión'!AH66)</f>
        <v/>
      </c>
      <c r="AI66" s="60" t="str">
        <f>IF('Registrar bienes de inversión'!AI66="","",VLOOKUP(CONCATENATE("CAUSA BAJA BIEN",'Registrar bienes de inversión'!AI66),'CODIGO-LITERAL'!$C:$D,2,FALSE))</f>
        <v/>
      </c>
      <c r="AJ66" s="60" t="str">
        <f>IF('Registrar bienes de inversión'!AJ66="","",'Registrar bienes de inversión'!AJ66)</f>
        <v/>
      </c>
      <c r="AK66" s="60" t="str">
        <f>IF('Registrar bienes de inversión'!AK66="","",'Registrar bienes de inversión'!AK66)</f>
        <v/>
      </c>
      <c r="AL66" s="60" t="str">
        <f>IF('Registrar bienes de inversión'!AL66="","",'Registrar bienes de inversión'!AL66)</f>
        <v/>
      </c>
      <c r="AM66" s="60" t="str">
        <f>IF('Registrar bienes de inversión'!AM66="","",'Registrar bienes de inversión'!AM66)</f>
        <v/>
      </c>
      <c r="AN66" s="60" t="str">
        <f>IF('Registrar bienes de inversión'!AN66="","",VLOOKUP(CONCATENATE("SITUACION",'Registrar bienes de inversión'!AN66),'CODIGO-LITERAL'!$C:$D,2,FALSE))</f>
        <v/>
      </c>
      <c r="AO66" s="60" t="str">
        <f>IF('Registrar bienes de inversión'!AO66="","",'Registrar bienes de inversión'!AO66)</f>
        <v/>
      </c>
      <c r="AP66" s="60" t="str">
        <f>IF('Registrar bienes de inversión'!AP66="","",'Registrar bienes de inversión'!AP66)</f>
        <v/>
      </c>
    </row>
    <row r="67" spans="1:42" x14ac:dyDescent="0.25">
      <c r="A67" s="71" t="str">
        <f>IF('Registrar bienes de inversión'!A67="","",'Registrar bienes de inversión'!A67)</f>
        <v/>
      </c>
      <c r="B67" s="60" t="str">
        <f>IF('Registrar bienes de inversión'!B67="","",'Registrar bienes de inversión'!B67)</f>
        <v/>
      </c>
      <c r="C67" s="60" t="str">
        <f>IF('Registrar bienes de inversión'!C67="","",VLOOKUP(CONCATENATE("ACTIVIDAD",'Registrar bienes de inversión'!C67),'CODIGO-LITERAL'!$C:$D,2,FALSE))</f>
        <v/>
      </c>
      <c r="D67" s="60" t="str">
        <f>IF(OR(C67="C",C67="D"),"",IF(ISERROR(VLOOKUP(CONCATENATE(C67,'Registrar bienes de inversión'!D67),'CODIGO-LITERAL'!$C:$D,2,FALSE)),"",VLOOKUP(CONCATENATE(C67,'Registrar bienes de inversión'!D67),'CODIGO-LITERAL'!$C:$D,2,FALSE)))</f>
        <v/>
      </c>
      <c r="E67" s="60" t="str">
        <f>IF('Registrar bienes de inversión'!E67="","",'Registrar bienes de inversión'!E67)</f>
        <v/>
      </c>
      <c r="F67" s="60" t="str">
        <f>IF('Registrar bienes de inversión'!F67="","",VLOOKUP(CONCATENATE("TIPO BIEN",'Registrar bienes de inversión'!F67),'CODIGO-LITERAL'!$C:$D,2,FALSE))</f>
        <v/>
      </c>
      <c r="G67" s="60" t="str">
        <f>IF('Registrar bienes de inversión'!G67="","",'Registrar bienes de inversión'!G67)</f>
        <v/>
      </c>
      <c r="H67" s="60" t="str">
        <f>IF('Registrar bienes de inversión'!H67="","",'Registrar bienes de inversión'!H67)</f>
        <v/>
      </c>
      <c r="I67" s="64" t="str">
        <f>IF('Registrar bienes de inversión'!I67="","",'Registrar bienes de inversión'!I67)</f>
        <v/>
      </c>
      <c r="J67" s="72" t="str">
        <f>IF('Registrar bienes de inversión'!J67="","",'Registrar bienes de inversión'!J67)</f>
        <v/>
      </c>
      <c r="K67" s="72" t="str">
        <f>IF('Registrar bienes de inversión'!K67="","",'Registrar bienes de inversión'!K67)</f>
        <v/>
      </c>
      <c r="L67" s="60" t="str">
        <f>IF('Registrar bienes de inversión'!L67="","",VLOOKUP(CONCATENATE("METODO AMORTIZACION",'Registrar bienes de inversión'!L67),'CODIGO-LITERAL'!$C:$D,2,FALSE))</f>
        <v/>
      </c>
      <c r="M67" s="72" t="str">
        <f>IF('Registrar bienes de inversión'!M67="","",'Registrar bienes de inversión'!M67)</f>
        <v/>
      </c>
      <c r="N67" s="72" t="str">
        <f>IF('Registrar bienes de inversión'!N67="","",'Registrar bienes de inversión'!N67)</f>
        <v/>
      </c>
      <c r="O67" s="72" t="str">
        <f>IF('Registrar bienes de inversión'!O67="","",'Registrar bienes de inversión'!O67)</f>
        <v/>
      </c>
      <c r="P67" s="72" t="str">
        <f>IF('Registrar bienes de inversión'!P67="","",'Registrar bienes de inversión'!P67)</f>
        <v/>
      </c>
      <c r="Q67" s="72" t="str">
        <f>IF('Registrar bienes de inversión'!Q67="","",'Registrar bienes de inversión'!Q67)</f>
        <v/>
      </c>
      <c r="R67" s="64" t="str">
        <f>IF('Registrar bienes de inversión'!R67="","",'Registrar bienes de inversión'!R67)</f>
        <v/>
      </c>
      <c r="S67" s="60" t="str">
        <f>IF('Registrar bienes de inversión'!S67="","",'Registrar bienes de inversión'!S67)</f>
        <v/>
      </c>
      <c r="T67" s="60" t="str">
        <f>IF('Registrar bienes de inversión'!T67="","",'Registrar bienes de inversión'!T67)</f>
        <v/>
      </c>
      <c r="U67" s="60" t="str">
        <f>IF('Registrar bienes de inversión'!U67="","",'Registrar bienes de inversión'!U67)</f>
        <v/>
      </c>
      <c r="V67" s="60" t="str">
        <f>IF('Registrar bienes de inversión'!V67="","",'Registrar bienes de inversión'!V67)</f>
        <v/>
      </c>
      <c r="W67" s="60" t="str">
        <f>IF(OR('Registrar bienes de inversión'!W67="",LEFT('Registrar bienes de inversión'!W67,2)="01"),"",VLOOKUP(CONCATENATE("TIPO NIF",'Registrar bienes de inversión'!W67),'CODIGO-LITERAL'!$C:$D,2,FALSE))</f>
        <v/>
      </c>
      <c r="X67" s="60" t="str">
        <f>IF('Registrar bienes de inversión'!X67="","",'Registrar bienes de inversión'!X67)</f>
        <v/>
      </c>
      <c r="Y67" s="60" t="str">
        <f>IF('Registrar bienes de inversión'!Y67="","",'Registrar bienes de inversión'!Y67)</f>
        <v/>
      </c>
      <c r="Z67" s="60" t="str">
        <f>IF('Registrar bienes de inversión'!Z67="","",'Registrar bienes de inversión'!Z67)</f>
        <v/>
      </c>
      <c r="AA67" s="72" t="str">
        <f>IF('Registrar bienes de inversión'!AA67="","",ROUND('Registrar bienes de inversión'!AA67,2))</f>
        <v/>
      </c>
      <c r="AB67" s="72" t="str">
        <f>IF('Registrar bienes de inversión'!AB67="","",'Registrar bienes de inversión'!AB67)</f>
        <v/>
      </c>
      <c r="AC67" s="72" t="str">
        <f>IF('Registrar bienes de inversión'!AC67="","",ROUND('Registrar bienes de inversión'!AC67,2))</f>
        <v/>
      </c>
      <c r="AD67" s="72" t="str">
        <f>IF('Registrar bienes de inversión'!AD67="","",ROUND('Registrar bienes de inversión'!AD67,2))</f>
        <v/>
      </c>
      <c r="AE67" s="72" t="str">
        <f>IF('Registrar bienes de inversión'!AE67="","",ROUND('Registrar bienes de inversión'!AE67,2))</f>
        <v/>
      </c>
      <c r="AF67" s="72" t="str">
        <f>IF('Registrar bienes de inversión'!AF67="","",ROUND('Registrar bienes de inversión'!AF67,2))</f>
        <v/>
      </c>
      <c r="AG67" s="72" t="str">
        <f>IF('Registrar bienes de inversión'!AG67="","",ROUND('Registrar bienes de inversión'!AG67,2))</f>
        <v/>
      </c>
      <c r="AH67" s="64" t="str">
        <f>IF('Registrar bienes de inversión'!AH67="","",'Registrar bienes de inversión'!AH67)</f>
        <v/>
      </c>
      <c r="AI67" s="60" t="str">
        <f>IF('Registrar bienes de inversión'!AI67="","",VLOOKUP(CONCATENATE("CAUSA BAJA BIEN",'Registrar bienes de inversión'!AI67),'CODIGO-LITERAL'!$C:$D,2,FALSE))</f>
        <v/>
      </c>
      <c r="AJ67" s="60" t="str">
        <f>IF('Registrar bienes de inversión'!AJ67="","",'Registrar bienes de inversión'!AJ67)</f>
        <v/>
      </c>
      <c r="AK67" s="60" t="str">
        <f>IF('Registrar bienes de inversión'!AK67="","",'Registrar bienes de inversión'!AK67)</f>
        <v/>
      </c>
      <c r="AL67" s="60" t="str">
        <f>IF('Registrar bienes de inversión'!AL67="","",'Registrar bienes de inversión'!AL67)</f>
        <v/>
      </c>
      <c r="AM67" s="60" t="str">
        <f>IF('Registrar bienes de inversión'!AM67="","",'Registrar bienes de inversión'!AM67)</f>
        <v/>
      </c>
      <c r="AN67" s="60" t="str">
        <f>IF('Registrar bienes de inversión'!AN67="","",VLOOKUP(CONCATENATE("SITUACION",'Registrar bienes de inversión'!AN67),'CODIGO-LITERAL'!$C:$D,2,FALSE))</f>
        <v/>
      </c>
      <c r="AO67" s="60" t="str">
        <f>IF('Registrar bienes de inversión'!AO67="","",'Registrar bienes de inversión'!AO67)</f>
        <v/>
      </c>
      <c r="AP67" s="60" t="str">
        <f>IF('Registrar bienes de inversión'!AP67="","",'Registrar bienes de inversión'!AP67)</f>
        <v/>
      </c>
    </row>
    <row r="68" spans="1:42" x14ac:dyDescent="0.25">
      <c r="A68" s="71" t="str">
        <f>IF('Registrar bienes de inversión'!A68="","",'Registrar bienes de inversión'!A68)</f>
        <v/>
      </c>
      <c r="B68" s="60" t="str">
        <f>IF('Registrar bienes de inversión'!B68="","",'Registrar bienes de inversión'!B68)</f>
        <v/>
      </c>
      <c r="C68" s="60" t="str">
        <f>IF('Registrar bienes de inversión'!C68="","",VLOOKUP(CONCATENATE("ACTIVIDAD",'Registrar bienes de inversión'!C68),'CODIGO-LITERAL'!$C:$D,2,FALSE))</f>
        <v/>
      </c>
      <c r="D68" s="60" t="str">
        <f>IF(OR(C68="C",C68="D"),"",IF(ISERROR(VLOOKUP(CONCATENATE(C68,'Registrar bienes de inversión'!D68),'CODIGO-LITERAL'!$C:$D,2,FALSE)),"",VLOOKUP(CONCATENATE(C68,'Registrar bienes de inversión'!D68),'CODIGO-LITERAL'!$C:$D,2,FALSE)))</f>
        <v/>
      </c>
      <c r="E68" s="60" t="str">
        <f>IF('Registrar bienes de inversión'!E68="","",'Registrar bienes de inversión'!E68)</f>
        <v/>
      </c>
      <c r="F68" s="60" t="str">
        <f>IF('Registrar bienes de inversión'!F68="","",VLOOKUP(CONCATENATE("TIPO BIEN",'Registrar bienes de inversión'!F68),'CODIGO-LITERAL'!$C:$D,2,FALSE))</f>
        <v/>
      </c>
      <c r="G68" s="60" t="str">
        <f>IF('Registrar bienes de inversión'!G68="","",'Registrar bienes de inversión'!G68)</f>
        <v/>
      </c>
      <c r="H68" s="60" t="str">
        <f>IF('Registrar bienes de inversión'!H68="","",'Registrar bienes de inversión'!H68)</f>
        <v/>
      </c>
      <c r="I68" s="64" t="str">
        <f>IF('Registrar bienes de inversión'!I68="","",'Registrar bienes de inversión'!I68)</f>
        <v/>
      </c>
      <c r="J68" s="72" t="str">
        <f>IF('Registrar bienes de inversión'!J68="","",'Registrar bienes de inversión'!J68)</f>
        <v/>
      </c>
      <c r="K68" s="72" t="str">
        <f>IF('Registrar bienes de inversión'!K68="","",'Registrar bienes de inversión'!K68)</f>
        <v/>
      </c>
      <c r="L68" s="60" t="str">
        <f>IF('Registrar bienes de inversión'!L68="","",VLOOKUP(CONCATENATE("METODO AMORTIZACION",'Registrar bienes de inversión'!L68),'CODIGO-LITERAL'!$C:$D,2,FALSE))</f>
        <v/>
      </c>
      <c r="M68" s="72" t="str">
        <f>IF('Registrar bienes de inversión'!M68="","",'Registrar bienes de inversión'!M68)</f>
        <v/>
      </c>
      <c r="N68" s="72" t="str">
        <f>IF('Registrar bienes de inversión'!N68="","",'Registrar bienes de inversión'!N68)</f>
        <v/>
      </c>
      <c r="O68" s="72" t="str">
        <f>IF('Registrar bienes de inversión'!O68="","",'Registrar bienes de inversión'!O68)</f>
        <v/>
      </c>
      <c r="P68" s="72" t="str">
        <f>IF('Registrar bienes de inversión'!P68="","",'Registrar bienes de inversión'!P68)</f>
        <v/>
      </c>
      <c r="Q68" s="72" t="str">
        <f>IF('Registrar bienes de inversión'!Q68="","",'Registrar bienes de inversión'!Q68)</f>
        <v/>
      </c>
      <c r="R68" s="64" t="str">
        <f>IF('Registrar bienes de inversión'!R68="","",'Registrar bienes de inversión'!R68)</f>
        <v/>
      </c>
      <c r="S68" s="60" t="str">
        <f>IF('Registrar bienes de inversión'!S68="","",'Registrar bienes de inversión'!S68)</f>
        <v/>
      </c>
      <c r="T68" s="60" t="str">
        <f>IF('Registrar bienes de inversión'!T68="","",'Registrar bienes de inversión'!T68)</f>
        <v/>
      </c>
      <c r="U68" s="60" t="str">
        <f>IF('Registrar bienes de inversión'!U68="","",'Registrar bienes de inversión'!U68)</f>
        <v/>
      </c>
      <c r="V68" s="60" t="str">
        <f>IF('Registrar bienes de inversión'!V68="","",'Registrar bienes de inversión'!V68)</f>
        <v/>
      </c>
      <c r="W68" s="60" t="str">
        <f>IF(OR('Registrar bienes de inversión'!W68="",LEFT('Registrar bienes de inversión'!W68,2)="01"),"",VLOOKUP(CONCATENATE("TIPO NIF",'Registrar bienes de inversión'!W68),'CODIGO-LITERAL'!$C:$D,2,FALSE))</f>
        <v/>
      </c>
      <c r="X68" s="60" t="str">
        <f>IF('Registrar bienes de inversión'!X68="","",'Registrar bienes de inversión'!X68)</f>
        <v/>
      </c>
      <c r="Y68" s="60" t="str">
        <f>IF('Registrar bienes de inversión'!Y68="","",'Registrar bienes de inversión'!Y68)</f>
        <v/>
      </c>
      <c r="Z68" s="60" t="str">
        <f>IF('Registrar bienes de inversión'!Z68="","",'Registrar bienes de inversión'!Z68)</f>
        <v/>
      </c>
      <c r="AA68" s="72" t="str">
        <f>IF('Registrar bienes de inversión'!AA68="","",ROUND('Registrar bienes de inversión'!AA68,2))</f>
        <v/>
      </c>
      <c r="AB68" s="72" t="str">
        <f>IF('Registrar bienes de inversión'!AB68="","",'Registrar bienes de inversión'!AB68)</f>
        <v/>
      </c>
      <c r="AC68" s="72" t="str">
        <f>IF('Registrar bienes de inversión'!AC68="","",ROUND('Registrar bienes de inversión'!AC68,2))</f>
        <v/>
      </c>
      <c r="AD68" s="72" t="str">
        <f>IF('Registrar bienes de inversión'!AD68="","",ROUND('Registrar bienes de inversión'!AD68,2))</f>
        <v/>
      </c>
      <c r="AE68" s="72" t="str">
        <f>IF('Registrar bienes de inversión'!AE68="","",ROUND('Registrar bienes de inversión'!AE68,2))</f>
        <v/>
      </c>
      <c r="AF68" s="72" t="str">
        <f>IF('Registrar bienes de inversión'!AF68="","",ROUND('Registrar bienes de inversión'!AF68,2))</f>
        <v/>
      </c>
      <c r="AG68" s="72" t="str">
        <f>IF('Registrar bienes de inversión'!AG68="","",ROUND('Registrar bienes de inversión'!AG68,2))</f>
        <v/>
      </c>
      <c r="AH68" s="64" t="str">
        <f>IF('Registrar bienes de inversión'!AH68="","",'Registrar bienes de inversión'!AH68)</f>
        <v/>
      </c>
      <c r="AI68" s="60" t="str">
        <f>IF('Registrar bienes de inversión'!AI68="","",VLOOKUP(CONCATENATE("CAUSA BAJA BIEN",'Registrar bienes de inversión'!AI68),'CODIGO-LITERAL'!$C:$D,2,FALSE))</f>
        <v/>
      </c>
      <c r="AJ68" s="60" t="str">
        <f>IF('Registrar bienes de inversión'!AJ68="","",'Registrar bienes de inversión'!AJ68)</f>
        <v/>
      </c>
      <c r="AK68" s="60" t="str">
        <f>IF('Registrar bienes de inversión'!AK68="","",'Registrar bienes de inversión'!AK68)</f>
        <v/>
      </c>
      <c r="AL68" s="60" t="str">
        <f>IF('Registrar bienes de inversión'!AL68="","",'Registrar bienes de inversión'!AL68)</f>
        <v/>
      </c>
      <c r="AM68" s="60" t="str">
        <f>IF('Registrar bienes de inversión'!AM68="","",'Registrar bienes de inversión'!AM68)</f>
        <v/>
      </c>
      <c r="AN68" s="60" t="str">
        <f>IF('Registrar bienes de inversión'!AN68="","",VLOOKUP(CONCATENATE("SITUACION",'Registrar bienes de inversión'!AN68),'CODIGO-LITERAL'!$C:$D,2,FALSE))</f>
        <v/>
      </c>
      <c r="AO68" s="60" t="str">
        <f>IF('Registrar bienes de inversión'!AO68="","",'Registrar bienes de inversión'!AO68)</f>
        <v/>
      </c>
      <c r="AP68" s="60" t="str">
        <f>IF('Registrar bienes de inversión'!AP68="","",'Registrar bienes de inversión'!AP68)</f>
        <v/>
      </c>
    </row>
    <row r="69" spans="1:42" x14ac:dyDescent="0.25">
      <c r="A69" s="71" t="str">
        <f>IF('Registrar bienes de inversión'!A69="","",'Registrar bienes de inversión'!A69)</f>
        <v/>
      </c>
      <c r="B69" s="60" t="str">
        <f>IF('Registrar bienes de inversión'!B69="","",'Registrar bienes de inversión'!B69)</f>
        <v/>
      </c>
      <c r="C69" s="60" t="str">
        <f>IF('Registrar bienes de inversión'!C69="","",VLOOKUP(CONCATENATE("ACTIVIDAD",'Registrar bienes de inversión'!C69),'CODIGO-LITERAL'!$C:$D,2,FALSE))</f>
        <v/>
      </c>
      <c r="D69" s="60" t="str">
        <f>IF(OR(C69="C",C69="D"),"",IF(ISERROR(VLOOKUP(CONCATENATE(C69,'Registrar bienes de inversión'!D69),'CODIGO-LITERAL'!$C:$D,2,FALSE)),"",VLOOKUP(CONCATENATE(C69,'Registrar bienes de inversión'!D69),'CODIGO-LITERAL'!$C:$D,2,FALSE)))</f>
        <v/>
      </c>
      <c r="E69" s="60" t="str">
        <f>IF('Registrar bienes de inversión'!E69="","",'Registrar bienes de inversión'!E69)</f>
        <v/>
      </c>
      <c r="F69" s="60" t="str">
        <f>IF('Registrar bienes de inversión'!F69="","",VLOOKUP(CONCATENATE("TIPO BIEN",'Registrar bienes de inversión'!F69),'CODIGO-LITERAL'!$C:$D,2,FALSE))</f>
        <v/>
      </c>
      <c r="G69" s="60" t="str">
        <f>IF('Registrar bienes de inversión'!G69="","",'Registrar bienes de inversión'!G69)</f>
        <v/>
      </c>
      <c r="H69" s="60" t="str">
        <f>IF('Registrar bienes de inversión'!H69="","",'Registrar bienes de inversión'!H69)</f>
        <v/>
      </c>
      <c r="I69" s="64" t="str">
        <f>IF('Registrar bienes de inversión'!I69="","",'Registrar bienes de inversión'!I69)</f>
        <v/>
      </c>
      <c r="J69" s="72" t="str">
        <f>IF('Registrar bienes de inversión'!J69="","",'Registrar bienes de inversión'!J69)</f>
        <v/>
      </c>
      <c r="K69" s="72" t="str">
        <f>IF('Registrar bienes de inversión'!K69="","",'Registrar bienes de inversión'!K69)</f>
        <v/>
      </c>
      <c r="L69" s="60" t="str">
        <f>IF('Registrar bienes de inversión'!L69="","",VLOOKUP(CONCATENATE("METODO AMORTIZACION",'Registrar bienes de inversión'!L69),'CODIGO-LITERAL'!$C:$D,2,FALSE))</f>
        <v/>
      </c>
      <c r="M69" s="72" t="str">
        <f>IF('Registrar bienes de inversión'!M69="","",'Registrar bienes de inversión'!M69)</f>
        <v/>
      </c>
      <c r="N69" s="72" t="str">
        <f>IF('Registrar bienes de inversión'!N69="","",'Registrar bienes de inversión'!N69)</f>
        <v/>
      </c>
      <c r="O69" s="72" t="str">
        <f>IF('Registrar bienes de inversión'!O69="","",'Registrar bienes de inversión'!O69)</f>
        <v/>
      </c>
      <c r="P69" s="72" t="str">
        <f>IF('Registrar bienes de inversión'!P69="","",'Registrar bienes de inversión'!P69)</f>
        <v/>
      </c>
      <c r="Q69" s="72" t="str">
        <f>IF('Registrar bienes de inversión'!Q69="","",'Registrar bienes de inversión'!Q69)</f>
        <v/>
      </c>
      <c r="R69" s="64" t="str">
        <f>IF('Registrar bienes de inversión'!R69="","",'Registrar bienes de inversión'!R69)</f>
        <v/>
      </c>
      <c r="S69" s="60" t="str">
        <f>IF('Registrar bienes de inversión'!S69="","",'Registrar bienes de inversión'!S69)</f>
        <v/>
      </c>
      <c r="T69" s="60" t="str">
        <f>IF('Registrar bienes de inversión'!T69="","",'Registrar bienes de inversión'!T69)</f>
        <v/>
      </c>
      <c r="U69" s="60" t="str">
        <f>IF('Registrar bienes de inversión'!U69="","",'Registrar bienes de inversión'!U69)</f>
        <v/>
      </c>
      <c r="V69" s="60" t="str">
        <f>IF('Registrar bienes de inversión'!V69="","",'Registrar bienes de inversión'!V69)</f>
        <v/>
      </c>
      <c r="W69" s="60" t="str">
        <f>IF(OR('Registrar bienes de inversión'!W69="",LEFT('Registrar bienes de inversión'!W69,2)="01"),"",VLOOKUP(CONCATENATE("TIPO NIF",'Registrar bienes de inversión'!W69),'CODIGO-LITERAL'!$C:$D,2,FALSE))</f>
        <v/>
      </c>
      <c r="X69" s="60" t="str">
        <f>IF('Registrar bienes de inversión'!X69="","",'Registrar bienes de inversión'!X69)</f>
        <v/>
      </c>
      <c r="Y69" s="60" t="str">
        <f>IF('Registrar bienes de inversión'!Y69="","",'Registrar bienes de inversión'!Y69)</f>
        <v/>
      </c>
      <c r="Z69" s="60" t="str">
        <f>IF('Registrar bienes de inversión'!Z69="","",'Registrar bienes de inversión'!Z69)</f>
        <v/>
      </c>
      <c r="AA69" s="72" t="str">
        <f>IF('Registrar bienes de inversión'!AA69="","",ROUND('Registrar bienes de inversión'!AA69,2))</f>
        <v/>
      </c>
      <c r="AB69" s="72" t="str">
        <f>IF('Registrar bienes de inversión'!AB69="","",'Registrar bienes de inversión'!AB69)</f>
        <v/>
      </c>
      <c r="AC69" s="72" t="str">
        <f>IF('Registrar bienes de inversión'!AC69="","",ROUND('Registrar bienes de inversión'!AC69,2))</f>
        <v/>
      </c>
      <c r="AD69" s="72" t="str">
        <f>IF('Registrar bienes de inversión'!AD69="","",ROUND('Registrar bienes de inversión'!AD69,2))</f>
        <v/>
      </c>
      <c r="AE69" s="72" t="str">
        <f>IF('Registrar bienes de inversión'!AE69="","",ROUND('Registrar bienes de inversión'!AE69,2))</f>
        <v/>
      </c>
      <c r="AF69" s="72" t="str">
        <f>IF('Registrar bienes de inversión'!AF69="","",ROUND('Registrar bienes de inversión'!AF69,2))</f>
        <v/>
      </c>
      <c r="AG69" s="72" t="str">
        <f>IF('Registrar bienes de inversión'!AG69="","",ROUND('Registrar bienes de inversión'!AG69,2))</f>
        <v/>
      </c>
      <c r="AH69" s="64" t="str">
        <f>IF('Registrar bienes de inversión'!AH69="","",'Registrar bienes de inversión'!AH69)</f>
        <v/>
      </c>
      <c r="AI69" s="60" t="str">
        <f>IF('Registrar bienes de inversión'!AI69="","",VLOOKUP(CONCATENATE("CAUSA BAJA BIEN",'Registrar bienes de inversión'!AI69),'CODIGO-LITERAL'!$C:$D,2,FALSE))</f>
        <v/>
      </c>
      <c r="AJ69" s="60" t="str">
        <f>IF('Registrar bienes de inversión'!AJ69="","",'Registrar bienes de inversión'!AJ69)</f>
        <v/>
      </c>
      <c r="AK69" s="60" t="str">
        <f>IF('Registrar bienes de inversión'!AK69="","",'Registrar bienes de inversión'!AK69)</f>
        <v/>
      </c>
      <c r="AL69" s="60" t="str">
        <f>IF('Registrar bienes de inversión'!AL69="","",'Registrar bienes de inversión'!AL69)</f>
        <v/>
      </c>
      <c r="AM69" s="60" t="str">
        <f>IF('Registrar bienes de inversión'!AM69="","",'Registrar bienes de inversión'!AM69)</f>
        <v/>
      </c>
      <c r="AN69" s="60" t="str">
        <f>IF('Registrar bienes de inversión'!AN69="","",VLOOKUP(CONCATENATE("SITUACION",'Registrar bienes de inversión'!AN69),'CODIGO-LITERAL'!$C:$D,2,FALSE))</f>
        <v/>
      </c>
      <c r="AO69" s="60" t="str">
        <f>IF('Registrar bienes de inversión'!AO69="","",'Registrar bienes de inversión'!AO69)</f>
        <v/>
      </c>
      <c r="AP69" s="60" t="str">
        <f>IF('Registrar bienes de inversión'!AP69="","",'Registrar bienes de inversión'!AP69)</f>
        <v/>
      </c>
    </row>
    <row r="70" spans="1:42" x14ac:dyDescent="0.25">
      <c r="A70" s="71" t="str">
        <f>IF('Registrar bienes de inversión'!A70="","",'Registrar bienes de inversión'!A70)</f>
        <v/>
      </c>
      <c r="B70" s="60" t="str">
        <f>IF('Registrar bienes de inversión'!B70="","",'Registrar bienes de inversión'!B70)</f>
        <v/>
      </c>
      <c r="C70" s="60" t="str">
        <f>IF('Registrar bienes de inversión'!C70="","",VLOOKUP(CONCATENATE("ACTIVIDAD",'Registrar bienes de inversión'!C70),'CODIGO-LITERAL'!$C:$D,2,FALSE))</f>
        <v/>
      </c>
      <c r="D70" s="60" t="str">
        <f>IF(OR(C70="C",C70="D"),"",IF(ISERROR(VLOOKUP(CONCATENATE(C70,'Registrar bienes de inversión'!D70),'CODIGO-LITERAL'!$C:$D,2,FALSE)),"",VLOOKUP(CONCATENATE(C70,'Registrar bienes de inversión'!D70),'CODIGO-LITERAL'!$C:$D,2,FALSE)))</f>
        <v/>
      </c>
      <c r="E70" s="60" t="str">
        <f>IF('Registrar bienes de inversión'!E70="","",'Registrar bienes de inversión'!E70)</f>
        <v/>
      </c>
      <c r="F70" s="60" t="str">
        <f>IF('Registrar bienes de inversión'!F70="","",VLOOKUP(CONCATENATE("TIPO BIEN",'Registrar bienes de inversión'!F70),'CODIGO-LITERAL'!$C:$D,2,FALSE))</f>
        <v/>
      </c>
      <c r="G70" s="60" t="str">
        <f>IF('Registrar bienes de inversión'!G70="","",'Registrar bienes de inversión'!G70)</f>
        <v/>
      </c>
      <c r="H70" s="60" t="str">
        <f>IF('Registrar bienes de inversión'!H70="","",'Registrar bienes de inversión'!H70)</f>
        <v/>
      </c>
      <c r="I70" s="64" t="str">
        <f>IF('Registrar bienes de inversión'!I70="","",'Registrar bienes de inversión'!I70)</f>
        <v/>
      </c>
      <c r="J70" s="72" t="str">
        <f>IF('Registrar bienes de inversión'!J70="","",'Registrar bienes de inversión'!J70)</f>
        <v/>
      </c>
      <c r="K70" s="72" t="str">
        <f>IF('Registrar bienes de inversión'!K70="","",'Registrar bienes de inversión'!K70)</f>
        <v/>
      </c>
      <c r="L70" s="60" t="str">
        <f>IF('Registrar bienes de inversión'!L70="","",VLOOKUP(CONCATENATE("METODO AMORTIZACION",'Registrar bienes de inversión'!L70),'CODIGO-LITERAL'!$C:$D,2,FALSE))</f>
        <v/>
      </c>
      <c r="M70" s="72" t="str">
        <f>IF('Registrar bienes de inversión'!M70="","",'Registrar bienes de inversión'!M70)</f>
        <v/>
      </c>
      <c r="N70" s="72" t="str">
        <f>IF('Registrar bienes de inversión'!N70="","",'Registrar bienes de inversión'!N70)</f>
        <v/>
      </c>
      <c r="O70" s="72" t="str">
        <f>IF('Registrar bienes de inversión'!O70="","",'Registrar bienes de inversión'!O70)</f>
        <v/>
      </c>
      <c r="P70" s="72" t="str">
        <f>IF('Registrar bienes de inversión'!P70="","",'Registrar bienes de inversión'!P70)</f>
        <v/>
      </c>
      <c r="Q70" s="72" t="str">
        <f>IF('Registrar bienes de inversión'!Q70="","",'Registrar bienes de inversión'!Q70)</f>
        <v/>
      </c>
      <c r="R70" s="64" t="str">
        <f>IF('Registrar bienes de inversión'!R70="","",'Registrar bienes de inversión'!R70)</f>
        <v/>
      </c>
      <c r="S70" s="60" t="str">
        <f>IF('Registrar bienes de inversión'!S70="","",'Registrar bienes de inversión'!S70)</f>
        <v/>
      </c>
      <c r="T70" s="60" t="str">
        <f>IF('Registrar bienes de inversión'!T70="","",'Registrar bienes de inversión'!T70)</f>
        <v/>
      </c>
      <c r="U70" s="60" t="str">
        <f>IF('Registrar bienes de inversión'!U70="","",'Registrar bienes de inversión'!U70)</f>
        <v/>
      </c>
      <c r="V70" s="60" t="str">
        <f>IF('Registrar bienes de inversión'!V70="","",'Registrar bienes de inversión'!V70)</f>
        <v/>
      </c>
      <c r="W70" s="60" t="str">
        <f>IF(OR('Registrar bienes de inversión'!W70="",LEFT('Registrar bienes de inversión'!W70,2)="01"),"",VLOOKUP(CONCATENATE("TIPO NIF",'Registrar bienes de inversión'!W70),'CODIGO-LITERAL'!$C:$D,2,FALSE))</f>
        <v/>
      </c>
      <c r="X70" s="60" t="str">
        <f>IF('Registrar bienes de inversión'!X70="","",'Registrar bienes de inversión'!X70)</f>
        <v/>
      </c>
      <c r="Y70" s="60" t="str">
        <f>IF('Registrar bienes de inversión'!Y70="","",'Registrar bienes de inversión'!Y70)</f>
        <v/>
      </c>
      <c r="Z70" s="60" t="str">
        <f>IF('Registrar bienes de inversión'!Z70="","",'Registrar bienes de inversión'!Z70)</f>
        <v/>
      </c>
      <c r="AA70" s="72" t="str">
        <f>IF('Registrar bienes de inversión'!AA70="","",ROUND('Registrar bienes de inversión'!AA70,2))</f>
        <v/>
      </c>
      <c r="AB70" s="72" t="str">
        <f>IF('Registrar bienes de inversión'!AB70="","",'Registrar bienes de inversión'!AB70)</f>
        <v/>
      </c>
      <c r="AC70" s="72" t="str">
        <f>IF('Registrar bienes de inversión'!AC70="","",ROUND('Registrar bienes de inversión'!AC70,2))</f>
        <v/>
      </c>
      <c r="AD70" s="72" t="str">
        <f>IF('Registrar bienes de inversión'!AD70="","",ROUND('Registrar bienes de inversión'!AD70,2))</f>
        <v/>
      </c>
      <c r="AE70" s="72" t="str">
        <f>IF('Registrar bienes de inversión'!AE70="","",ROUND('Registrar bienes de inversión'!AE70,2))</f>
        <v/>
      </c>
      <c r="AF70" s="72" t="str">
        <f>IF('Registrar bienes de inversión'!AF70="","",ROUND('Registrar bienes de inversión'!AF70,2))</f>
        <v/>
      </c>
      <c r="AG70" s="72" t="str">
        <f>IF('Registrar bienes de inversión'!AG70="","",ROUND('Registrar bienes de inversión'!AG70,2))</f>
        <v/>
      </c>
      <c r="AH70" s="64" t="str">
        <f>IF('Registrar bienes de inversión'!AH70="","",'Registrar bienes de inversión'!AH70)</f>
        <v/>
      </c>
      <c r="AI70" s="60" t="str">
        <f>IF('Registrar bienes de inversión'!AI70="","",VLOOKUP(CONCATENATE("CAUSA BAJA BIEN",'Registrar bienes de inversión'!AI70),'CODIGO-LITERAL'!$C:$D,2,FALSE))</f>
        <v/>
      </c>
      <c r="AJ70" s="60" t="str">
        <f>IF('Registrar bienes de inversión'!AJ70="","",'Registrar bienes de inversión'!AJ70)</f>
        <v/>
      </c>
      <c r="AK70" s="60" t="str">
        <f>IF('Registrar bienes de inversión'!AK70="","",'Registrar bienes de inversión'!AK70)</f>
        <v/>
      </c>
      <c r="AL70" s="60" t="str">
        <f>IF('Registrar bienes de inversión'!AL70="","",'Registrar bienes de inversión'!AL70)</f>
        <v/>
      </c>
      <c r="AM70" s="60" t="str">
        <f>IF('Registrar bienes de inversión'!AM70="","",'Registrar bienes de inversión'!AM70)</f>
        <v/>
      </c>
      <c r="AN70" s="60" t="str">
        <f>IF('Registrar bienes de inversión'!AN70="","",VLOOKUP(CONCATENATE("SITUACION",'Registrar bienes de inversión'!AN70),'CODIGO-LITERAL'!$C:$D,2,FALSE))</f>
        <v/>
      </c>
      <c r="AO70" s="60" t="str">
        <f>IF('Registrar bienes de inversión'!AO70="","",'Registrar bienes de inversión'!AO70)</f>
        <v/>
      </c>
      <c r="AP70" s="60" t="str">
        <f>IF('Registrar bienes de inversión'!AP70="","",'Registrar bienes de inversión'!AP70)</f>
        <v/>
      </c>
    </row>
    <row r="71" spans="1:42" x14ac:dyDescent="0.25">
      <c r="A71" s="71" t="str">
        <f>IF('Registrar bienes de inversión'!A71="","",'Registrar bienes de inversión'!A71)</f>
        <v/>
      </c>
      <c r="B71" s="60" t="str">
        <f>IF('Registrar bienes de inversión'!B71="","",'Registrar bienes de inversión'!B71)</f>
        <v/>
      </c>
      <c r="C71" s="60" t="str">
        <f>IF('Registrar bienes de inversión'!C71="","",VLOOKUP(CONCATENATE("ACTIVIDAD",'Registrar bienes de inversión'!C71),'CODIGO-LITERAL'!$C:$D,2,FALSE))</f>
        <v/>
      </c>
      <c r="D71" s="60" t="str">
        <f>IF(OR(C71="C",C71="D"),"",IF(ISERROR(VLOOKUP(CONCATENATE(C71,'Registrar bienes de inversión'!D71),'CODIGO-LITERAL'!$C:$D,2,FALSE)),"",VLOOKUP(CONCATENATE(C71,'Registrar bienes de inversión'!D71),'CODIGO-LITERAL'!$C:$D,2,FALSE)))</f>
        <v/>
      </c>
      <c r="E71" s="60" t="str">
        <f>IF('Registrar bienes de inversión'!E71="","",'Registrar bienes de inversión'!E71)</f>
        <v/>
      </c>
      <c r="F71" s="60" t="str">
        <f>IF('Registrar bienes de inversión'!F71="","",VLOOKUP(CONCATENATE("TIPO BIEN",'Registrar bienes de inversión'!F71),'CODIGO-LITERAL'!$C:$D,2,FALSE))</f>
        <v/>
      </c>
      <c r="G71" s="60" t="str">
        <f>IF('Registrar bienes de inversión'!G71="","",'Registrar bienes de inversión'!G71)</f>
        <v/>
      </c>
      <c r="H71" s="60" t="str">
        <f>IF('Registrar bienes de inversión'!H71="","",'Registrar bienes de inversión'!H71)</f>
        <v/>
      </c>
      <c r="I71" s="64" t="str">
        <f>IF('Registrar bienes de inversión'!I71="","",'Registrar bienes de inversión'!I71)</f>
        <v/>
      </c>
      <c r="J71" s="72" t="str">
        <f>IF('Registrar bienes de inversión'!J71="","",'Registrar bienes de inversión'!J71)</f>
        <v/>
      </c>
      <c r="K71" s="72" t="str">
        <f>IF('Registrar bienes de inversión'!K71="","",'Registrar bienes de inversión'!K71)</f>
        <v/>
      </c>
      <c r="L71" s="60" t="str">
        <f>IF('Registrar bienes de inversión'!L71="","",VLOOKUP(CONCATENATE("METODO AMORTIZACION",'Registrar bienes de inversión'!L71),'CODIGO-LITERAL'!$C:$D,2,FALSE))</f>
        <v/>
      </c>
      <c r="M71" s="72" t="str">
        <f>IF('Registrar bienes de inversión'!M71="","",'Registrar bienes de inversión'!M71)</f>
        <v/>
      </c>
      <c r="N71" s="72" t="str">
        <f>IF('Registrar bienes de inversión'!N71="","",'Registrar bienes de inversión'!N71)</f>
        <v/>
      </c>
      <c r="O71" s="72" t="str">
        <f>IF('Registrar bienes de inversión'!O71="","",'Registrar bienes de inversión'!O71)</f>
        <v/>
      </c>
      <c r="P71" s="72" t="str">
        <f>IF('Registrar bienes de inversión'!P71="","",'Registrar bienes de inversión'!P71)</f>
        <v/>
      </c>
      <c r="Q71" s="72" t="str">
        <f>IF('Registrar bienes de inversión'!Q71="","",'Registrar bienes de inversión'!Q71)</f>
        <v/>
      </c>
      <c r="R71" s="64" t="str">
        <f>IF('Registrar bienes de inversión'!R71="","",'Registrar bienes de inversión'!R71)</f>
        <v/>
      </c>
      <c r="S71" s="60" t="str">
        <f>IF('Registrar bienes de inversión'!S71="","",'Registrar bienes de inversión'!S71)</f>
        <v/>
      </c>
      <c r="T71" s="60" t="str">
        <f>IF('Registrar bienes de inversión'!T71="","",'Registrar bienes de inversión'!T71)</f>
        <v/>
      </c>
      <c r="U71" s="60" t="str">
        <f>IF('Registrar bienes de inversión'!U71="","",'Registrar bienes de inversión'!U71)</f>
        <v/>
      </c>
      <c r="V71" s="60" t="str">
        <f>IF('Registrar bienes de inversión'!V71="","",'Registrar bienes de inversión'!V71)</f>
        <v/>
      </c>
      <c r="W71" s="60" t="str">
        <f>IF(OR('Registrar bienes de inversión'!W71="",LEFT('Registrar bienes de inversión'!W71,2)="01"),"",VLOOKUP(CONCATENATE("TIPO NIF",'Registrar bienes de inversión'!W71),'CODIGO-LITERAL'!$C:$D,2,FALSE))</f>
        <v/>
      </c>
      <c r="X71" s="60" t="str">
        <f>IF('Registrar bienes de inversión'!X71="","",'Registrar bienes de inversión'!X71)</f>
        <v/>
      </c>
      <c r="Y71" s="60" t="str">
        <f>IF('Registrar bienes de inversión'!Y71="","",'Registrar bienes de inversión'!Y71)</f>
        <v/>
      </c>
      <c r="Z71" s="60" t="str">
        <f>IF('Registrar bienes de inversión'!Z71="","",'Registrar bienes de inversión'!Z71)</f>
        <v/>
      </c>
      <c r="AA71" s="72" t="str">
        <f>IF('Registrar bienes de inversión'!AA71="","",ROUND('Registrar bienes de inversión'!AA71,2))</f>
        <v/>
      </c>
      <c r="AB71" s="72" t="str">
        <f>IF('Registrar bienes de inversión'!AB71="","",'Registrar bienes de inversión'!AB71)</f>
        <v/>
      </c>
      <c r="AC71" s="72" t="str">
        <f>IF('Registrar bienes de inversión'!AC71="","",ROUND('Registrar bienes de inversión'!AC71,2))</f>
        <v/>
      </c>
      <c r="AD71" s="72" t="str">
        <f>IF('Registrar bienes de inversión'!AD71="","",ROUND('Registrar bienes de inversión'!AD71,2))</f>
        <v/>
      </c>
      <c r="AE71" s="72" t="str">
        <f>IF('Registrar bienes de inversión'!AE71="","",ROUND('Registrar bienes de inversión'!AE71,2))</f>
        <v/>
      </c>
      <c r="AF71" s="72" t="str">
        <f>IF('Registrar bienes de inversión'!AF71="","",ROUND('Registrar bienes de inversión'!AF71,2))</f>
        <v/>
      </c>
      <c r="AG71" s="72" t="str">
        <f>IF('Registrar bienes de inversión'!AG71="","",ROUND('Registrar bienes de inversión'!AG71,2))</f>
        <v/>
      </c>
      <c r="AH71" s="64" t="str">
        <f>IF('Registrar bienes de inversión'!AH71="","",'Registrar bienes de inversión'!AH71)</f>
        <v/>
      </c>
      <c r="AI71" s="60" t="str">
        <f>IF('Registrar bienes de inversión'!AI71="","",VLOOKUP(CONCATENATE("CAUSA BAJA BIEN",'Registrar bienes de inversión'!AI71),'CODIGO-LITERAL'!$C:$D,2,FALSE))</f>
        <v/>
      </c>
      <c r="AJ71" s="60" t="str">
        <f>IF('Registrar bienes de inversión'!AJ71="","",'Registrar bienes de inversión'!AJ71)</f>
        <v/>
      </c>
      <c r="AK71" s="60" t="str">
        <f>IF('Registrar bienes de inversión'!AK71="","",'Registrar bienes de inversión'!AK71)</f>
        <v/>
      </c>
      <c r="AL71" s="60" t="str">
        <f>IF('Registrar bienes de inversión'!AL71="","",'Registrar bienes de inversión'!AL71)</f>
        <v/>
      </c>
      <c r="AM71" s="60" t="str">
        <f>IF('Registrar bienes de inversión'!AM71="","",'Registrar bienes de inversión'!AM71)</f>
        <v/>
      </c>
      <c r="AN71" s="60" t="str">
        <f>IF('Registrar bienes de inversión'!AN71="","",VLOOKUP(CONCATENATE("SITUACION",'Registrar bienes de inversión'!AN71),'CODIGO-LITERAL'!$C:$D,2,FALSE))</f>
        <v/>
      </c>
      <c r="AO71" s="60" t="str">
        <f>IF('Registrar bienes de inversión'!AO71="","",'Registrar bienes de inversión'!AO71)</f>
        <v/>
      </c>
      <c r="AP71" s="60" t="str">
        <f>IF('Registrar bienes de inversión'!AP71="","",'Registrar bienes de inversión'!AP71)</f>
        <v/>
      </c>
    </row>
    <row r="72" spans="1:42" x14ac:dyDescent="0.25">
      <c r="A72" s="71" t="str">
        <f>IF('Registrar bienes de inversión'!A72="","",'Registrar bienes de inversión'!A72)</f>
        <v/>
      </c>
      <c r="B72" s="60" t="str">
        <f>IF('Registrar bienes de inversión'!B72="","",'Registrar bienes de inversión'!B72)</f>
        <v/>
      </c>
      <c r="C72" s="60" t="str">
        <f>IF('Registrar bienes de inversión'!C72="","",VLOOKUP(CONCATENATE("ACTIVIDAD",'Registrar bienes de inversión'!C72),'CODIGO-LITERAL'!$C:$D,2,FALSE))</f>
        <v/>
      </c>
      <c r="D72" s="60" t="str">
        <f>IF(OR(C72="C",C72="D"),"",IF(ISERROR(VLOOKUP(CONCATENATE(C72,'Registrar bienes de inversión'!D72),'CODIGO-LITERAL'!$C:$D,2,FALSE)),"",VLOOKUP(CONCATENATE(C72,'Registrar bienes de inversión'!D72),'CODIGO-LITERAL'!$C:$D,2,FALSE)))</f>
        <v/>
      </c>
      <c r="E72" s="60" t="str">
        <f>IF('Registrar bienes de inversión'!E72="","",'Registrar bienes de inversión'!E72)</f>
        <v/>
      </c>
      <c r="F72" s="60" t="str">
        <f>IF('Registrar bienes de inversión'!F72="","",VLOOKUP(CONCATENATE("TIPO BIEN",'Registrar bienes de inversión'!F72),'CODIGO-LITERAL'!$C:$D,2,FALSE))</f>
        <v/>
      </c>
      <c r="G72" s="60" t="str">
        <f>IF('Registrar bienes de inversión'!G72="","",'Registrar bienes de inversión'!G72)</f>
        <v/>
      </c>
      <c r="H72" s="60" t="str">
        <f>IF('Registrar bienes de inversión'!H72="","",'Registrar bienes de inversión'!H72)</f>
        <v/>
      </c>
      <c r="I72" s="64" t="str">
        <f>IF('Registrar bienes de inversión'!I72="","",'Registrar bienes de inversión'!I72)</f>
        <v/>
      </c>
      <c r="J72" s="72" t="str">
        <f>IF('Registrar bienes de inversión'!J72="","",'Registrar bienes de inversión'!J72)</f>
        <v/>
      </c>
      <c r="K72" s="72" t="str">
        <f>IF('Registrar bienes de inversión'!K72="","",'Registrar bienes de inversión'!K72)</f>
        <v/>
      </c>
      <c r="L72" s="60" t="str">
        <f>IF('Registrar bienes de inversión'!L72="","",VLOOKUP(CONCATENATE("METODO AMORTIZACION",'Registrar bienes de inversión'!L72),'CODIGO-LITERAL'!$C:$D,2,FALSE))</f>
        <v/>
      </c>
      <c r="M72" s="72" t="str">
        <f>IF('Registrar bienes de inversión'!M72="","",'Registrar bienes de inversión'!M72)</f>
        <v/>
      </c>
      <c r="N72" s="72" t="str">
        <f>IF('Registrar bienes de inversión'!N72="","",'Registrar bienes de inversión'!N72)</f>
        <v/>
      </c>
      <c r="O72" s="72" t="str">
        <f>IF('Registrar bienes de inversión'!O72="","",'Registrar bienes de inversión'!O72)</f>
        <v/>
      </c>
      <c r="P72" s="72" t="str">
        <f>IF('Registrar bienes de inversión'!P72="","",'Registrar bienes de inversión'!P72)</f>
        <v/>
      </c>
      <c r="Q72" s="72" t="str">
        <f>IF('Registrar bienes de inversión'!Q72="","",'Registrar bienes de inversión'!Q72)</f>
        <v/>
      </c>
      <c r="R72" s="64" t="str">
        <f>IF('Registrar bienes de inversión'!R72="","",'Registrar bienes de inversión'!R72)</f>
        <v/>
      </c>
      <c r="S72" s="60" t="str">
        <f>IF('Registrar bienes de inversión'!S72="","",'Registrar bienes de inversión'!S72)</f>
        <v/>
      </c>
      <c r="T72" s="60" t="str">
        <f>IF('Registrar bienes de inversión'!T72="","",'Registrar bienes de inversión'!T72)</f>
        <v/>
      </c>
      <c r="U72" s="60" t="str">
        <f>IF('Registrar bienes de inversión'!U72="","",'Registrar bienes de inversión'!U72)</f>
        <v/>
      </c>
      <c r="V72" s="60" t="str">
        <f>IF('Registrar bienes de inversión'!V72="","",'Registrar bienes de inversión'!V72)</f>
        <v/>
      </c>
      <c r="W72" s="60" t="str">
        <f>IF(OR('Registrar bienes de inversión'!W72="",LEFT('Registrar bienes de inversión'!W72,2)="01"),"",VLOOKUP(CONCATENATE("TIPO NIF",'Registrar bienes de inversión'!W72),'CODIGO-LITERAL'!$C:$D,2,FALSE))</f>
        <v/>
      </c>
      <c r="X72" s="60" t="str">
        <f>IF('Registrar bienes de inversión'!X72="","",'Registrar bienes de inversión'!X72)</f>
        <v/>
      </c>
      <c r="Y72" s="60" t="str">
        <f>IF('Registrar bienes de inversión'!Y72="","",'Registrar bienes de inversión'!Y72)</f>
        <v/>
      </c>
      <c r="Z72" s="60" t="str">
        <f>IF('Registrar bienes de inversión'!Z72="","",'Registrar bienes de inversión'!Z72)</f>
        <v/>
      </c>
      <c r="AA72" s="72" t="str">
        <f>IF('Registrar bienes de inversión'!AA72="","",ROUND('Registrar bienes de inversión'!AA72,2))</f>
        <v/>
      </c>
      <c r="AB72" s="72" t="str">
        <f>IF('Registrar bienes de inversión'!AB72="","",'Registrar bienes de inversión'!AB72)</f>
        <v/>
      </c>
      <c r="AC72" s="72" t="str">
        <f>IF('Registrar bienes de inversión'!AC72="","",ROUND('Registrar bienes de inversión'!AC72,2))</f>
        <v/>
      </c>
      <c r="AD72" s="72" t="str">
        <f>IF('Registrar bienes de inversión'!AD72="","",ROUND('Registrar bienes de inversión'!AD72,2))</f>
        <v/>
      </c>
      <c r="AE72" s="72" t="str">
        <f>IF('Registrar bienes de inversión'!AE72="","",ROUND('Registrar bienes de inversión'!AE72,2))</f>
        <v/>
      </c>
      <c r="AF72" s="72" t="str">
        <f>IF('Registrar bienes de inversión'!AF72="","",ROUND('Registrar bienes de inversión'!AF72,2))</f>
        <v/>
      </c>
      <c r="AG72" s="72" t="str">
        <f>IF('Registrar bienes de inversión'!AG72="","",ROUND('Registrar bienes de inversión'!AG72,2))</f>
        <v/>
      </c>
      <c r="AH72" s="64" t="str">
        <f>IF('Registrar bienes de inversión'!AH72="","",'Registrar bienes de inversión'!AH72)</f>
        <v/>
      </c>
      <c r="AI72" s="60" t="str">
        <f>IF('Registrar bienes de inversión'!AI72="","",VLOOKUP(CONCATENATE("CAUSA BAJA BIEN",'Registrar bienes de inversión'!AI72),'CODIGO-LITERAL'!$C:$D,2,FALSE))</f>
        <v/>
      </c>
      <c r="AJ72" s="60" t="str">
        <f>IF('Registrar bienes de inversión'!AJ72="","",'Registrar bienes de inversión'!AJ72)</f>
        <v/>
      </c>
      <c r="AK72" s="60" t="str">
        <f>IF('Registrar bienes de inversión'!AK72="","",'Registrar bienes de inversión'!AK72)</f>
        <v/>
      </c>
      <c r="AL72" s="60" t="str">
        <f>IF('Registrar bienes de inversión'!AL72="","",'Registrar bienes de inversión'!AL72)</f>
        <v/>
      </c>
      <c r="AM72" s="60" t="str">
        <f>IF('Registrar bienes de inversión'!AM72="","",'Registrar bienes de inversión'!AM72)</f>
        <v/>
      </c>
      <c r="AN72" s="60" t="str">
        <f>IF('Registrar bienes de inversión'!AN72="","",VLOOKUP(CONCATENATE("SITUACION",'Registrar bienes de inversión'!AN72),'CODIGO-LITERAL'!$C:$D,2,FALSE))</f>
        <v/>
      </c>
      <c r="AO72" s="60" t="str">
        <f>IF('Registrar bienes de inversión'!AO72="","",'Registrar bienes de inversión'!AO72)</f>
        <v/>
      </c>
      <c r="AP72" s="60" t="str">
        <f>IF('Registrar bienes de inversión'!AP72="","",'Registrar bienes de inversión'!AP72)</f>
        <v/>
      </c>
    </row>
    <row r="73" spans="1:42" x14ac:dyDescent="0.25">
      <c r="A73" s="71" t="str">
        <f>IF('Registrar bienes de inversión'!A73="","",'Registrar bienes de inversión'!A73)</f>
        <v/>
      </c>
      <c r="B73" s="60" t="str">
        <f>IF('Registrar bienes de inversión'!B73="","",'Registrar bienes de inversión'!B73)</f>
        <v/>
      </c>
      <c r="C73" s="60" t="str">
        <f>IF('Registrar bienes de inversión'!C73="","",VLOOKUP(CONCATENATE("ACTIVIDAD",'Registrar bienes de inversión'!C73),'CODIGO-LITERAL'!$C:$D,2,FALSE))</f>
        <v/>
      </c>
      <c r="D73" s="60" t="str">
        <f>IF(OR(C73="C",C73="D"),"",IF(ISERROR(VLOOKUP(CONCATENATE(C73,'Registrar bienes de inversión'!D73),'CODIGO-LITERAL'!$C:$D,2,FALSE)),"",VLOOKUP(CONCATENATE(C73,'Registrar bienes de inversión'!D73),'CODIGO-LITERAL'!$C:$D,2,FALSE)))</f>
        <v/>
      </c>
      <c r="E73" s="60" t="str">
        <f>IF('Registrar bienes de inversión'!E73="","",'Registrar bienes de inversión'!E73)</f>
        <v/>
      </c>
      <c r="F73" s="60" t="str">
        <f>IF('Registrar bienes de inversión'!F73="","",VLOOKUP(CONCATENATE("TIPO BIEN",'Registrar bienes de inversión'!F73),'CODIGO-LITERAL'!$C:$D,2,FALSE))</f>
        <v/>
      </c>
      <c r="G73" s="60" t="str">
        <f>IF('Registrar bienes de inversión'!G73="","",'Registrar bienes de inversión'!G73)</f>
        <v/>
      </c>
      <c r="H73" s="60" t="str">
        <f>IF('Registrar bienes de inversión'!H73="","",'Registrar bienes de inversión'!H73)</f>
        <v/>
      </c>
      <c r="I73" s="64" t="str">
        <f>IF('Registrar bienes de inversión'!I73="","",'Registrar bienes de inversión'!I73)</f>
        <v/>
      </c>
      <c r="J73" s="72" t="str">
        <f>IF('Registrar bienes de inversión'!J73="","",'Registrar bienes de inversión'!J73)</f>
        <v/>
      </c>
      <c r="K73" s="72" t="str">
        <f>IF('Registrar bienes de inversión'!K73="","",'Registrar bienes de inversión'!K73)</f>
        <v/>
      </c>
      <c r="L73" s="60" t="str">
        <f>IF('Registrar bienes de inversión'!L73="","",VLOOKUP(CONCATENATE("METODO AMORTIZACION",'Registrar bienes de inversión'!L73),'CODIGO-LITERAL'!$C:$D,2,FALSE))</f>
        <v/>
      </c>
      <c r="M73" s="72" t="str">
        <f>IF('Registrar bienes de inversión'!M73="","",'Registrar bienes de inversión'!M73)</f>
        <v/>
      </c>
      <c r="N73" s="72" t="str">
        <f>IF('Registrar bienes de inversión'!N73="","",'Registrar bienes de inversión'!N73)</f>
        <v/>
      </c>
      <c r="O73" s="72" t="str">
        <f>IF('Registrar bienes de inversión'!O73="","",'Registrar bienes de inversión'!O73)</f>
        <v/>
      </c>
      <c r="P73" s="72" t="str">
        <f>IF('Registrar bienes de inversión'!P73="","",'Registrar bienes de inversión'!P73)</f>
        <v/>
      </c>
      <c r="Q73" s="72" t="str">
        <f>IF('Registrar bienes de inversión'!Q73="","",'Registrar bienes de inversión'!Q73)</f>
        <v/>
      </c>
      <c r="R73" s="64" t="str">
        <f>IF('Registrar bienes de inversión'!R73="","",'Registrar bienes de inversión'!R73)</f>
        <v/>
      </c>
      <c r="S73" s="60" t="str">
        <f>IF('Registrar bienes de inversión'!S73="","",'Registrar bienes de inversión'!S73)</f>
        <v/>
      </c>
      <c r="T73" s="60" t="str">
        <f>IF('Registrar bienes de inversión'!T73="","",'Registrar bienes de inversión'!T73)</f>
        <v/>
      </c>
      <c r="U73" s="60" t="str">
        <f>IF('Registrar bienes de inversión'!U73="","",'Registrar bienes de inversión'!U73)</f>
        <v/>
      </c>
      <c r="V73" s="60" t="str">
        <f>IF('Registrar bienes de inversión'!V73="","",'Registrar bienes de inversión'!V73)</f>
        <v/>
      </c>
      <c r="W73" s="60" t="str">
        <f>IF(OR('Registrar bienes de inversión'!W73="",LEFT('Registrar bienes de inversión'!W73,2)="01"),"",VLOOKUP(CONCATENATE("TIPO NIF",'Registrar bienes de inversión'!W73),'CODIGO-LITERAL'!$C:$D,2,FALSE))</f>
        <v/>
      </c>
      <c r="X73" s="60" t="str">
        <f>IF('Registrar bienes de inversión'!X73="","",'Registrar bienes de inversión'!X73)</f>
        <v/>
      </c>
      <c r="Y73" s="60" t="str">
        <f>IF('Registrar bienes de inversión'!Y73="","",'Registrar bienes de inversión'!Y73)</f>
        <v/>
      </c>
      <c r="Z73" s="60" t="str">
        <f>IF('Registrar bienes de inversión'!Z73="","",'Registrar bienes de inversión'!Z73)</f>
        <v/>
      </c>
      <c r="AA73" s="72" t="str">
        <f>IF('Registrar bienes de inversión'!AA73="","",ROUND('Registrar bienes de inversión'!AA73,2))</f>
        <v/>
      </c>
      <c r="AB73" s="72" t="str">
        <f>IF('Registrar bienes de inversión'!AB73="","",'Registrar bienes de inversión'!AB73)</f>
        <v/>
      </c>
      <c r="AC73" s="72" t="str">
        <f>IF('Registrar bienes de inversión'!AC73="","",ROUND('Registrar bienes de inversión'!AC73,2))</f>
        <v/>
      </c>
      <c r="AD73" s="72" t="str">
        <f>IF('Registrar bienes de inversión'!AD73="","",ROUND('Registrar bienes de inversión'!AD73,2))</f>
        <v/>
      </c>
      <c r="AE73" s="72" t="str">
        <f>IF('Registrar bienes de inversión'!AE73="","",ROUND('Registrar bienes de inversión'!AE73,2))</f>
        <v/>
      </c>
      <c r="AF73" s="72" t="str">
        <f>IF('Registrar bienes de inversión'!AF73="","",ROUND('Registrar bienes de inversión'!AF73,2))</f>
        <v/>
      </c>
      <c r="AG73" s="72" t="str">
        <f>IF('Registrar bienes de inversión'!AG73="","",ROUND('Registrar bienes de inversión'!AG73,2))</f>
        <v/>
      </c>
      <c r="AH73" s="64" t="str">
        <f>IF('Registrar bienes de inversión'!AH73="","",'Registrar bienes de inversión'!AH73)</f>
        <v/>
      </c>
      <c r="AI73" s="60" t="str">
        <f>IF('Registrar bienes de inversión'!AI73="","",VLOOKUP(CONCATENATE("CAUSA BAJA BIEN",'Registrar bienes de inversión'!AI73),'CODIGO-LITERAL'!$C:$D,2,FALSE))</f>
        <v/>
      </c>
      <c r="AJ73" s="60" t="str">
        <f>IF('Registrar bienes de inversión'!AJ73="","",'Registrar bienes de inversión'!AJ73)</f>
        <v/>
      </c>
      <c r="AK73" s="60" t="str">
        <f>IF('Registrar bienes de inversión'!AK73="","",'Registrar bienes de inversión'!AK73)</f>
        <v/>
      </c>
      <c r="AL73" s="60" t="str">
        <f>IF('Registrar bienes de inversión'!AL73="","",'Registrar bienes de inversión'!AL73)</f>
        <v/>
      </c>
      <c r="AM73" s="60" t="str">
        <f>IF('Registrar bienes de inversión'!AM73="","",'Registrar bienes de inversión'!AM73)</f>
        <v/>
      </c>
      <c r="AN73" s="60" t="str">
        <f>IF('Registrar bienes de inversión'!AN73="","",VLOOKUP(CONCATENATE("SITUACION",'Registrar bienes de inversión'!AN73),'CODIGO-LITERAL'!$C:$D,2,FALSE))</f>
        <v/>
      </c>
      <c r="AO73" s="60" t="str">
        <f>IF('Registrar bienes de inversión'!AO73="","",'Registrar bienes de inversión'!AO73)</f>
        <v/>
      </c>
      <c r="AP73" s="60" t="str">
        <f>IF('Registrar bienes de inversión'!AP73="","",'Registrar bienes de inversión'!AP73)</f>
        <v/>
      </c>
    </row>
    <row r="74" spans="1:42" x14ac:dyDescent="0.25">
      <c r="A74" s="71" t="str">
        <f>IF('Registrar bienes de inversión'!A74="","",'Registrar bienes de inversión'!A74)</f>
        <v/>
      </c>
      <c r="B74" s="60" t="str">
        <f>IF('Registrar bienes de inversión'!B74="","",'Registrar bienes de inversión'!B74)</f>
        <v/>
      </c>
      <c r="C74" s="60" t="str">
        <f>IF('Registrar bienes de inversión'!C74="","",VLOOKUP(CONCATENATE("ACTIVIDAD",'Registrar bienes de inversión'!C74),'CODIGO-LITERAL'!$C:$D,2,FALSE))</f>
        <v/>
      </c>
      <c r="D74" s="60" t="str">
        <f>IF(OR(C74="C",C74="D"),"",IF(ISERROR(VLOOKUP(CONCATENATE(C74,'Registrar bienes de inversión'!D74),'CODIGO-LITERAL'!$C:$D,2,FALSE)),"",VLOOKUP(CONCATENATE(C74,'Registrar bienes de inversión'!D74),'CODIGO-LITERAL'!$C:$D,2,FALSE)))</f>
        <v/>
      </c>
      <c r="E74" s="60" t="str">
        <f>IF('Registrar bienes de inversión'!E74="","",'Registrar bienes de inversión'!E74)</f>
        <v/>
      </c>
      <c r="F74" s="60" t="str">
        <f>IF('Registrar bienes de inversión'!F74="","",VLOOKUP(CONCATENATE("TIPO BIEN",'Registrar bienes de inversión'!F74),'CODIGO-LITERAL'!$C:$D,2,FALSE))</f>
        <v/>
      </c>
      <c r="G74" s="60" t="str">
        <f>IF('Registrar bienes de inversión'!G74="","",'Registrar bienes de inversión'!G74)</f>
        <v/>
      </c>
      <c r="H74" s="60" t="str">
        <f>IF('Registrar bienes de inversión'!H74="","",'Registrar bienes de inversión'!H74)</f>
        <v/>
      </c>
      <c r="I74" s="64" t="str">
        <f>IF('Registrar bienes de inversión'!I74="","",'Registrar bienes de inversión'!I74)</f>
        <v/>
      </c>
      <c r="J74" s="72" t="str">
        <f>IF('Registrar bienes de inversión'!J74="","",'Registrar bienes de inversión'!J74)</f>
        <v/>
      </c>
      <c r="K74" s="72" t="str">
        <f>IF('Registrar bienes de inversión'!K74="","",'Registrar bienes de inversión'!K74)</f>
        <v/>
      </c>
      <c r="L74" s="60" t="str">
        <f>IF('Registrar bienes de inversión'!L74="","",VLOOKUP(CONCATENATE("METODO AMORTIZACION",'Registrar bienes de inversión'!L74),'CODIGO-LITERAL'!$C:$D,2,FALSE))</f>
        <v/>
      </c>
      <c r="M74" s="72" t="str">
        <f>IF('Registrar bienes de inversión'!M74="","",'Registrar bienes de inversión'!M74)</f>
        <v/>
      </c>
      <c r="N74" s="72" t="str">
        <f>IF('Registrar bienes de inversión'!N74="","",'Registrar bienes de inversión'!N74)</f>
        <v/>
      </c>
      <c r="O74" s="72" t="str">
        <f>IF('Registrar bienes de inversión'!O74="","",'Registrar bienes de inversión'!O74)</f>
        <v/>
      </c>
      <c r="P74" s="72" t="str">
        <f>IF('Registrar bienes de inversión'!P74="","",'Registrar bienes de inversión'!P74)</f>
        <v/>
      </c>
      <c r="Q74" s="72" t="str">
        <f>IF('Registrar bienes de inversión'!Q74="","",'Registrar bienes de inversión'!Q74)</f>
        <v/>
      </c>
      <c r="R74" s="64" t="str">
        <f>IF('Registrar bienes de inversión'!R74="","",'Registrar bienes de inversión'!R74)</f>
        <v/>
      </c>
      <c r="S74" s="60" t="str">
        <f>IF('Registrar bienes de inversión'!S74="","",'Registrar bienes de inversión'!S74)</f>
        <v/>
      </c>
      <c r="T74" s="60" t="str">
        <f>IF('Registrar bienes de inversión'!T74="","",'Registrar bienes de inversión'!T74)</f>
        <v/>
      </c>
      <c r="U74" s="60" t="str">
        <f>IF('Registrar bienes de inversión'!U74="","",'Registrar bienes de inversión'!U74)</f>
        <v/>
      </c>
      <c r="V74" s="60" t="str">
        <f>IF('Registrar bienes de inversión'!V74="","",'Registrar bienes de inversión'!V74)</f>
        <v/>
      </c>
      <c r="W74" s="60" t="str">
        <f>IF(OR('Registrar bienes de inversión'!W74="",LEFT('Registrar bienes de inversión'!W74,2)="01"),"",VLOOKUP(CONCATENATE("TIPO NIF",'Registrar bienes de inversión'!W74),'CODIGO-LITERAL'!$C:$D,2,FALSE))</f>
        <v/>
      </c>
      <c r="X74" s="60" t="str">
        <f>IF('Registrar bienes de inversión'!X74="","",'Registrar bienes de inversión'!X74)</f>
        <v/>
      </c>
      <c r="Y74" s="60" t="str">
        <f>IF('Registrar bienes de inversión'!Y74="","",'Registrar bienes de inversión'!Y74)</f>
        <v/>
      </c>
      <c r="Z74" s="60" t="str">
        <f>IF('Registrar bienes de inversión'!Z74="","",'Registrar bienes de inversión'!Z74)</f>
        <v/>
      </c>
      <c r="AA74" s="72" t="str">
        <f>IF('Registrar bienes de inversión'!AA74="","",ROUND('Registrar bienes de inversión'!AA74,2))</f>
        <v/>
      </c>
      <c r="AB74" s="72" t="str">
        <f>IF('Registrar bienes de inversión'!AB74="","",'Registrar bienes de inversión'!AB74)</f>
        <v/>
      </c>
      <c r="AC74" s="72" t="str">
        <f>IF('Registrar bienes de inversión'!AC74="","",ROUND('Registrar bienes de inversión'!AC74,2))</f>
        <v/>
      </c>
      <c r="AD74" s="72" t="str">
        <f>IF('Registrar bienes de inversión'!AD74="","",ROUND('Registrar bienes de inversión'!AD74,2))</f>
        <v/>
      </c>
      <c r="AE74" s="72" t="str">
        <f>IF('Registrar bienes de inversión'!AE74="","",ROUND('Registrar bienes de inversión'!AE74,2))</f>
        <v/>
      </c>
      <c r="AF74" s="72" t="str">
        <f>IF('Registrar bienes de inversión'!AF74="","",ROUND('Registrar bienes de inversión'!AF74,2))</f>
        <v/>
      </c>
      <c r="AG74" s="72" t="str">
        <f>IF('Registrar bienes de inversión'!AG74="","",ROUND('Registrar bienes de inversión'!AG74,2))</f>
        <v/>
      </c>
      <c r="AH74" s="64" t="str">
        <f>IF('Registrar bienes de inversión'!AH74="","",'Registrar bienes de inversión'!AH74)</f>
        <v/>
      </c>
      <c r="AI74" s="60" t="str">
        <f>IF('Registrar bienes de inversión'!AI74="","",VLOOKUP(CONCATENATE("CAUSA BAJA BIEN",'Registrar bienes de inversión'!AI74),'CODIGO-LITERAL'!$C:$D,2,FALSE))</f>
        <v/>
      </c>
      <c r="AJ74" s="60" t="str">
        <f>IF('Registrar bienes de inversión'!AJ74="","",'Registrar bienes de inversión'!AJ74)</f>
        <v/>
      </c>
      <c r="AK74" s="60" t="str">
        <f>IF('Registrar bienes de inversión'!AK74="","",'Registrar bienes de inversión'!AK74)</f>
        <v/>
      </c>
      <c r="AL74" s="60" t="str">
        <f>IF('Registrar bienes de inversión'!AL74="","",'Registrar bienes de inversión'!AL74)</f>
        <v/>
      </c>
      <c r="AM74" s="60" t="str">
        <f>IF('Registrar bienes de inversión'!AM74="","",'Registrar bienes de inversión'!AM74)</f>
        <v/>
      </c>
      <c r="AN74" s="60" t="str">
        <f>IF('Registrar bienes de inversión'!AN74="","",VLOOKUP(CONCATENATE("SITUACION",'Registrar bienes de inversión'!AN74),'CODIGO-LITERAL'!$C:$D,2,FALSE))</f>
        <v/>
      </c>
      <c r="AO74" s="60" t="str">
        <f>IF('Registrar bienes de inversión'!AO74="","",'Registrar bienes de inversión'!AO74)</f>
        <v/>
      </c>
      <c r="AP74" s="60" t="str">
        <f>IF('Registrar bienes de inversión'!AP74="","",'Registrar bienes de inversión'!AP74)</f>
        <v/>
      </c>
    </row>
    <row r="75" spans="1:42" x14ac:dyDescent="0.25">
      <c r="A75" s="71" t="str">
        <f>IF('Registrar bienes de inversión'!A75="","",'Registrar bienes de inversión'!A75)</f>
        <v/>
      </c>
      <c r="B75" s="60" t="str">
        <f>IF('Registrar bienes de inversión'!B75="","",'Registrar bienes de inversión'!B75)</f>
        <v/>
      </c>
      <c r="C75" s="60" t="str">
        <f>IF('Registrar bienes de inversión'!C75="","",VLOOKUP(CONCATENATE("ACTIVIDAD",'Registrar bienes de inversión'!C75),'CODIGO-LITERAL'!$C:$D,2,FALSE))</f>
        <v/>
      </c>
      <c r="D75" s="60" t="str">
        <f>IF(OR(C75="C",C75="D"),"",IF(ISERROR(VLOOKUP(CONCATENATE(C75,'Registrar bienes de inversión'!D75),'CODIGO-LITERAL'!$C:$D,2,FALSE)),"",VLOOKUP(CONCATENATE(C75,'Registrar bienes de inversión'!D75),'CODIGO-LITERAL'!$C:$D,2,FALSE)))</f>
        <v/>
      </c>
      <c r="E75" s="60" t="str">
        <f>IF('Registrar bienes de inversión'!E75="","",'Registrar bienes de inversión'!E75)</f>
        <v/>
      </c>
      <c r="F75" s="60" t="str">
        <f>IF('Registrar bienes de inversión'!F75="","",VLOOKUP(CONCATENATE("TIPO BIEN",'Registrar bienes de inversión'!F75),'CODIGO-LITERAL'!$C:$D,2,FALSE))</f>
        <v/>
      </c>
      <c r="G75" s="60" t="str">
        <f>IF('Registrar bienes de inversión'!G75="","",'Registrar bienes de inversión'!G75)</f>
        <v/>
      </c>
      <c r="H75" s="60" t="str">
        <f>IF('Registrar bienes de inversión'!H75="","",'Registrar bienes de inversión'!H75)</f>
        <v/>
      </c>
      <c r="I75" s="64" t="str">
        <f>IF('Registrar bienes de inversión'!I75="","",'Registrar bienes de inversión'!I75)</f>
        <v/>
      </c>
      <c r="J75" s="72" t="str">
        <f>IF('Registrar bienes de inversión'!J75="","",'Registrar bienes de inversión'!J75)</f>
        <v/>
      </c>
      <c r="K75" s="72" t="str">
        <f>IF('Registrar bienes de inversión'!K75="","",'Registrar bienes de inversión'!K75)</f>
        <v/>
      </c>
      <c r="L75" s="60" t="str">
        <f>IF('Registrar bienes de inversión'!L75="","",VLOOKUP(CONCATENATE("METODO AMORTIZACION",'Registrar bienes de inversión'!L75),'CODIGO-LITERAL'!$C:$D,2,FALSE))</f>
        <v/>
      </c>
      <c r="M75" s="72" t="str">
        <f>IF('Registrar bienes de inversión'!M75="","",'Registrar bienes de inversión'!M75)</f>
        <v/>
      </c>
      <c r="N75" s="72" t="str">
        <f>IF('Registrar bienes de inversión'!N75="","",'Registrar bienes de inversión'!N75)</f>
        <v/>
      </c>
      <c r="O75" s="72" t="str">
        <f>IF('Registrar bienes de inversión'!O75="","",'Registrar bienes de inversión'!O75)</f>
        <v/>
      </c>
      <c r="P75" s="72" t="str">
        <f>IF('Registrar bienes de inversión'!P75="","",'Registrar bienes de inversión'!P75)</f>
        <v/>
      </c>
      <c r="Q75" s="72" t="str">
        <f>IF('Registrar bienes de inversión'!Q75="","",'Registrar bienes de inversión'!Q75)</f>
        <v/>
      </c>
      <c r="R75" s="64" t="str">
        <f>IF('Registrar bienes de inversión'!R75="","",'Registrar bienes de inversión'!R75)</f>
        <v/>
      </c>
      <c r="S75" s="60" t="str">
        <f>IF('Registrar bienes de inversión'!S75="","",'Registrar bienes de inversión'!S75)</f>
        <v/>
      </c>
      <c r="T75" s="60" t="str">
        <f>IF('Registrar bienes de inversión'!T75="","",'Registrar bienes de inversión'!T75)</f>
        <v/>
      </c>
      <c r="U75" s="60" t="str">
        <f>IF('Registrar bienes de inversión'!U75="","",'Registrar bienes de inversión'!U75)</f>
        <v/>
      </c>
      <c r="V75" s="60" t="str">
        <f>IF('Registrar bienes de inversión'!V75="","",'Registrar bienes de inversión'!V75)</f>
        <v/>
      </c>
      <c r="W75" s="60" t="str">
        <f>IF(OR('Registrar bienes de inversión'!W75="",LEFT('Registrar bienes de inversión'!W75,2)="01"),"",VLOOKUP(CONCATENATE("TIPO NIF",'Registrar bienes de inversión'!W75),'CODIGO-LITERAL'!$C:$D,2,FALSE))</f>
        <v/>
      </c>
      <c r="X75" s="60" t="str">
        <f>IF('Registrar bienes de inversión'!X75="","",'Registrar bienes de inversión'!X75)</f>
        <v/>
      </c>
      <c r="Y75" s="60" t="str">
        <f>IF('Registrar bienes de inversión'!Y75="","",'Registrar bienes de inversión'!Y75)</f>
        <v/>
      </c>
      <c r="Z75" s="60" t="str">
        <f>IF('Registrar bienes de inversión'!Z75="","",'Registrar bienes de inversión'!Z75)</f>
        <v/>
      </c>
      <c r="AA75" s="72" t="str">
        <f>IF('Registrar bienes de inversión'!AA75="","",ROUND('Registrar bienes de inversión'!AA75,2))</f>
        <v/>
      </c>
      <c r="AB75" s="72" t="str">
        <f>IF('Registrar bienes de inversión'!AB75="","",'Registrar bienes de inversión'!AB75)</f>
        <v/>
      </c>
      <c r="AC75" s="72" t="str">
        <f>IF('Registrar bienes de inversión'!AC75="","",ROUND('Registrar bienes de inversión'!AC75,2))</f>
        <v/>
      </c>
      <c r="AD75" s="72" t="str">
        <f>IF('Registrar bienes de inversión'!AD75="","",ROUND('Registrar bienes de inversión'!AD75,2))</f>
        <v/>
      </c>
      <c r="AE75" s="72" t="str">
        <f>IF('Registrar bienes de inversión'!AE75="","",ROUND('Registrar bienes de inversión'!AE75,2))</f>
        <v/>
      </c>
      <c r="AF75" s="72" t="str">
        <f>IF('Registrar bienes de inversión'!AF75="","",ROUND('Registrar bienes de inversión'!AF75,2))</f>
        <v/>
      </c>
      <c r="AG75" s="72" t="str">
        <f>IF('Registrar bienes de inversión'!AG75="","",ROUND('Registrar bienes de inversión'!AG75,2))</f>
        <v/>
      </c>
      <c r="AH75" s="64" t="str">
        <f>IF('Registrar bienes de inversión'!AH75="","",'Registrar bienes de inversión'!AH75)</f>
        <v/>
      </c>
      <c r="AI75" s="60" t="str">
        <f>IF('Registrar bienes de inversión'!AI75="","",VLOOKUP(CONCATENATE("CAUSA BAJA BIEN",'Registrar bienes de inversión'!AI75),'CODIGO-LITERAL'!$C:$D,2,FALSE))</f>
        <v/>
      </c>
      <c r="AJ75" s="60" t="str">
        <f>IF('Registrar bienes de inversión'!AJ75="","",'Registrar bienes de inversión'!AJ75)</f>
        <v/>
      </c>
      <c r="AK75" s="60" t="str">
        <f>IF('Registrar bienes de inversión'!AK75="","",'Registrar bienes de inversión'!AK75)</f>
        <v/>
      </c>
      <c r="AL75" s="60" t="str">
        <f>IF('Registrar bienes de inversión'!AL75="","",'Registrar bienes de inversión'!AL75)</f>
        <v/>
      </c>
      <c r="AM75" s="60" t="str">
        <f>IF('Registrar bienes de inversión'!AM75="","",'Registrar bienes de inversión'!AM75)</f>
        <v/>
      </c>
      <c r="AN75" s="60" t="str">
        <f>IF('Registrar bienes de inversión'!AN75="","",VLOOKUP(CONCATENATE("SITUACION",'Registrar bienes de inversión'!AN75),'CODIGO-LITERAL'!$C:$D,2,FALSE))</f>
        <v/>
      </c>
      <c r="AO75" s="60" t="str">
        <f>IF('Registrar bienes de inversión'!AO75="","",'Registrar bienes de inversión'!AO75)</f>
        <v/>
      </c>
      <c r="AP75" s="60" t="str">
        <f>IF('Registrar bienes de inversión'!AP75="","",'Registrar bienes de inversión'!AP75)</f>
        <v/>
      </c>
    </row>
    <row r="76" spans="1:42" x14ac:dyDescent="0.25">
      <c r="A76" s="71" t="str">
        <f>IF('Registrar bienes de inversión'!A76="","",'Registrar bienes de inversión'!A76)</f>
        <v/>
      </c>
      <c r="B76" s="60" t="str">
        <f>IF('Registrar bienes de inversión'!B76="","",'Registrar bienes de inversión'!B76)</f>
        <v/>
      </c>
      <c r="C76" s="60" t="str">
        <f>IF('Registrar bienes de inversión'!C76="","",VLOOKUP(CONCATENATE("ACTIVIDAD",'Registrar bienes de inversión'!C76),'CODIGO-LITERAL'!$C:$D,2,FALSE))</f>
        <v/>
      </c>
      <c r="D76" s="60" t="str">
        <f>IF(OR(C76="C",C76="D"),"",IF(ISERROR(VLOOKUP(CONCATENATE(C76,'Registrar bienes de inversión'!D76),'CODIGO-LITERAL'!$C:$D,2,FALSE)),"",VLOOKUP(CONCATENATE(C76,'Registrar bienes de inversión'!D76),'CODIGO-LITERAL'!$C:$D,2,FALSE)))</f>
        <v/>
      </c>
      <c r="E76" s="60" t="str">
        <f>IF('Registrar bienes de inversión'!E76="","",'Registrar bienes de inversión'!E76)</f>
        <v/>
      </c>
      <c r="F76" s="60" t="str">
        <f>IF('Registrar bienes de inversión'!F76="","",VLOOKUP(CONCATENATE("TIPO BIEN",'Registrar bienes de inversión'!F76),'CODIGO-LITERAL'!$C:$D,2,FALSE))</f>
        <v/>
      </c>
      <c r="G76" s="60" t="str">
        <f>IF('Registrar bienes de inversión'!G76="","",'Registrar bienes de inversión'!G76)</f>
        <v/>
      </c>
      <c r="H76" s="60" t="str">
        <f>IF('Registrar bienes de inversión'!H76="","",'Registrar bienes de inversión'!H76)</f>
        <v/>
      </c>
      <c r="I76" s="64" t="str">
        <f>IF('Registrar bienes de inversión'!I76="","",'Registrar bienes de inversión'!I76)</f>
        <v/>
      </c>
      <c r="J76" s="72" t="str">
        <f>IF('Registrar bienes de inversión'!J76="","",'Registrar bienes de inversión'!J76)</f>
        <v/>
      </c>
      <c r="K76" s="72" t="str">
        <f>IF('Registrar bienes de inversión'!K76="","",'Registrar bienes de inversión'!K76)</f>
        <v/>
      </c>
      <c r="L76" s="60" t="str">
        <f>IF('Registrar bienes de inversión'!L76="","",VLOOKUP(CONCATENATE("METODO AMORTIZACION",'Registrar bienes de inversión'!L76),'CODIGO-LITERAL'!$C:$D,2,FALSE))</f>
        <v/>
      </c>
      <c r="M76" s="72" t="str">
        <f>IF('Registrar bienes de inversión'!M76="","",'Registrar bienes de inversión'!M76)</f>
        <v/>
      </c>
      <c r="N76" s="72" t="str">
        <f>IF('Registrar bienes de inversión'!N76="","",'Registrar bienes de inversión'!N76)</f>
        <v/>
      </c>
      <c r="O76" s="72" t="str">
        <f>IF('Registrar bienes de inversión'!O76="","",'Registrar bienes de inversión'!O76)</f>
        <v/>
      </c>
      <c r="P76" s="72" t="str">
        <f>IF('Registrar bienes de inversión'!P76="","",'Registrar bienes de inversión'!P76)</f>
        <v/>
      </c>
      <c r="Q76" s="72" t="str">
        <f>IF('Registrar bienes de inversión'!Q76="","",'Registrar bienes de inversión'!Q76)</f>
        <v/>
      </c>
      <c r="R76" s="64" t="str">
        <f>IF('Registrar bienes de inversión'!R76="","",'Registrar bienes de inversión'!R76)</f>
        <v/>
      </c>
      <c r="S76" s="60" t="str">
        <f>IF('Registrar bienes de inversión'!S76="","",'Registrar bienes de inversión'!S76)</f>
        <v/>
      </c>
      <c r="T76" s="60" t="str">
        <f>IF('Registrar bienes de inversión'!T76="","",'Registrar bienes de inversión'!T76)</f>
        <v/>
      </c>
      <c r="U76" s="60" t="str">
        <f>IF('Registrar bienes de inversión'!U76="","",'Registrar bienes de inversión'!U76)</f>
        <v/>
      </c>
      <c r="V76" s="60" t="str">
        <f>IF('Registrar bienes de inversión'!V76="","",'Registrar bienes de inversión'!V76)</f>
        <v/>
      </c>
      <c r="W76" s="60" t="str">
        <f>IF(OR('Registrar bienes de inversión'!W76="",LEFT('Registrar bienes de inversión'!W76,2)="01"),"",VLOOKUP(CONCATENATE("TIPO NIF",'Registrar bienes de inversión'!W76),'CODIGO-LITERAL'!$C:$D,2,FALSE))</f>
        <v/>
      </c>
      <c r="X76" s="60" t="str">
        <f>IF('Registrar bienes de inversión'!X76="","",'Registrar bienes de inversión'!X76)</f>
        <v/>
      </c>
      <c r="Y76" s="60" t="str">
        <f>IF('Registrar bienes de inversión'!Y76="","",'Registrar bienes de inversión'!Y76)</f>
        <v/>
      </c>
      <c r="Z76" s="60" t="str">
        <f>IF('Registrar bienes de inversión'!Z76="","",'Registrar bienes de inversión'!Z76)</f>
        <v/>
      </c>
      <c r="AA76" s="72" t="str">
        <f>IF('Registrar bienes de inversión'!AA76="","",ROUND('Registrar bienes de inversión'!AA76,2))</f>
        <v/>
      </c>
      <c r="AB76" s="72" t="str">
        <f>IF('Registrar bienes de inversión'!AB76="","",'Registrar bienes de inversión'!AB76)</f>
        <v/>
      </c>
      <c r="AC76" s="72" t="str">
        <f>IF('Registrar bienes de inversión'!AC76="","",ROUND('Registrar bienes de inversión'!AC76,2))</f>
        <v/>
      </c>
      <c r="AD76" s="72" t="str">
        <f>IF('Registrar bienes de inversión'!AD76="","",ROUND('Registrar bienes de inversión'!AD76,2))</f>
        <v/>
      </c>
      <c r="AE76" s="72" t="str">
        <f>IF('Registrar bienes de inversión'!AE76="","",ROUND('Registrar bienes de inversión'!AE76,2))</f>
        <v/>
      </c>
      <c r="AF76" s="72" t="str">
        <f>IF('Registrar bienes de inversión'!AF76="","",ROUND('Registrar bienes de inversión'!AF76,2))</f>
        <v/>
      </c>
      <c r="AG76" s="72" t="str">
        <f>IF('Registrar bienes de inversión'!AG76="","",ROUND('Registrar bienes de inversión'!AG76,2))</f>
        <v/>
      </c>
      <c r="AH76" s="64" t="str">
        <f>IF('Registrar bienes de inversión'!AH76="","",'Registrar bienes de inversión'!AH76)</f>
        <v/>
      </c>
      <c r="AI76" s="60" t="str">
        <f>IF('Registrar bienes de inversión'!AI76="","",VLOOKUP(CONCATENATE("CAUSA BAJA BIEN",'Registrar bienes de inversión'!AI76),'CODIGO-LITERAL'!$C:$D,2,FALSE))</f>
        <v/>
      </c>
      <c r="AJ76" s="60" t="str">
        <f>IF('Registrar bienes de inversión'!AJ76="","",'Registrar bienes de inversión'!AJ76)</f>
        <v/>
      </c>
      <c r="AK76" s="60" t="str">
        <f>IF('Registrar bienes de inversión'!AK76="","",'Registrar bienes de inversión'!AK76)</f>
        <v/>
      </c>
      <c r="AL76" s="60" t="str">
        <f>IF('Registrar bienes de inversión'!AL76="","",'Registrar bienes de inversión'!AL76)</f>
        <v/>
      </c>
      <c r="AM76" s="60" t="str">
        <f>IF('Registrar bienes de inversión'!AM76="","",'Registrar bienes de inversión'!AM76)</f>
        <v/>
      </c>
      <c r="AN76" s="60" t="str">
        <f>IF('Registrar bienes de inversión'!AN76="","",VLOOKUP(CONCATENATE("SITUACION",'Registrar bienes de inversión'!AN76),'CODIGO-LITERAL'!$C:$D,2,FALSE))</f>
        <v/>
      </c>
      <c r="AO76" s="60" t="str">
        <f>IF('Registrar bienes de inversión'!AO76="","",'Registrar bienes de inversión'!AO76)</f>
        <v/>
      </c>
      <c r="AP76" s="60" t="str">
        <f>IF('Registrar bienes de inversión'!AP76="","",'Registrar bienes de inversión'!AP76)</f>
        <v/>
      </c>
    </row>
    <row r="77" spans="1:42" x14ac:dyDescent="0.25">
      <c r="A77" s="71" t="str">
        <f>IF('Registrar bienes de inversión'!A77="","",'Registrar bienes de inversión'!A77)</f>
        <v/>
      </c>
      <c r="B77" s="60" t="str">
        <f>IF('Registrar bienes de inversión'!B77="","",'Registrar bienes de inversión'!B77)</f>
        <v/>
      </c>
      <c r="C77" s="60" t="str">
        <f>IF('Registrar bienes de inversión'!C77="","",VLOOKUP(CONCATENATE("ACTIVIDAD",'Registrar bienes de inversión'!C77),'CODIGO-LITERAL'!$C:$D,2,FALSE))</f>
        <v/>
      </c>
      <c r="D77" s="60" t="str">
        <f>IF(OR(C77="C",C77="D"),"",IF(ISERROR(VLOOKUP(CONCATENATE(C77,'Registrar bienes de inversión'!D77),'CODIGO-LITERAL'!$C:$D,2,FALSE)),"",VLOOKUP(CONCATENATE(C77,'Registrar bienes de inversión'!D77),'CODIGO-LITERAL'!$C:$D,2,FALSE)))</f>
        <v/>
      </c>
      <c r="E77" s="60" t="str">
        <f>IF('Registrar bienes de inversión'!E77="","",'Registrar bienes de inversión'!E77)</f>
        <v/>
      </c>
      <c r="F77" s="60" t="str">
        <f>IF('Registrar bienes de inversión'!F77="","",VLOOKUP(CONCATENATE("TIPO BIEN",'Registrar bienes de inversión'!F77),'CODIGO-LITERAL'!$C:$D,2,FALSE))</f>
        <v/>
      </c>
      <c r="G77" s="60" t="str">
        <f>IF('Registrar bienes de inversión'!G77="","",'Registrar bienes de inversión'!G77)</f>
        <v/>
      </c>
      <c r="H77" s="60" t="str">
        <f>IF('Registrar bienes de inversión'!H77="","",'Registrar bienes de inversión'!H77)</f>
        <v/>
      </c>
      <c r="I77" s="64" t="str">
        <f>IF('Registrar bienes de inversión'!I77="","",'Registrar bienes de inversión'!I77)</f>
        <v/>
      </c>
      <c r="J77" s="72" t="str">
        <f>IF('Registrar bienes de inversión'!J77="","",'Registrar bienes de inversión'!J77)</f>
        <v/>
      </c>
      <c r="K77" s="72" t="str">
        <f>IF('Registrar bienes de inversión'!K77="","",'Registrar bienes de inversión'!K77)</f>
        <v/>
      </c>
      <c r="L77" s="60" t="str">
        <f>IF('Registrar bienes de inversión'!L77="","",VLOOKUP(CONCATENATE("METODO AMORTIZACION",'Registrar bienes de inversión'!L77),'CODIGO-LITERAL'!$C:$D,2,FALSE))</f>
        <v/>
      </c>
      <c r="M77" s="72" t="str">
        <f>IF('Registrar bienes de inversión'!M77="","",'Registrar bienes de inversión'!M77)</f>
        <v/>
      </c>
      <c r="N77" s="72" t="str">
        <f>IF('Registrar bienes de inversión'!N77="","",'Registrar bienes de inversión'!N77)</f>
        <v/>
      </c>
      <c r="O77" s="72" t="str">
        <f>IF('Registrar bienes de inversión'!O77="","",'Registrar bienes de inversión'!O77)</f>
        <v/>
      </c>
      <c r="P77" s="72" t="str">
        <f>IF('Registrar bienes de inversión'!P77="","",'Registrar bienes de inversión'!P77)</f>
        <v/>
      </c>
      <c r="Q77" s="72" t="str">
        <f>IF('Registrar bienes de inversión'!Q77="","",'Registrar bienes de inversión'!Q77)</f>
        <v/>
      </c>
      <c r="R77" s="64" t="str">
        <f>IF('Registrar bienes de inversión'!R77="","",'Registrar bienes de inversión'!R77)</f>
        <v/>
      </c>
      <c r="S77" s="60" t="str">
        <f>IF('Registrar bienes de inversión'!S77="","",'Registrar bienes de inversión'!S77)</f>
        <v/>
      </c>
      <c r="T77" s="60" t="str">
        <f>IF('Registrar bienes de inversión'!T77="","",'Registrar bienes de inversión'!T77)</f>
        <v/>
      </c>
      <c r="U77" s="60" t="str">
        <f>IF('Registrar bienes de inversión'!U77="","",'Registrar bienes de inversión'!U77)</f>
        <v/>
      </c>
      <c r="V77" s="60" t="str">
        <f>IF('Registrar bienes de inversión'!V77="","",'Registrar bienes de inversión'!V77)</f>
        <v/>
      </c>
      <c r="W77" s="60" t="str">
        <f>IF(OR('Registrar bienes de inversión'!W77="",LEFT('Registrar bienes de inversión'!W77,2)="01"),"",VLOOKUP(CONCATENATE("TIPO NIF",'Registrar bienes de inversión'!W77),'CODIGO-LITERAL'!$C:$D,2,FALSE))</f>
        <v/>
      </c>
      <c r="X77" s="60" t="str">
        <f>IF('Registrar bienes de inversión'!X77="","",'Registrar bienes de inversión'!X77)</f>
        <v/>
      </c>
      <c r="Y77" s="60" t="str">
        <f>IF('Registrar bienes de inversión'!Y77="","",'Registrar bienes de inversión'!Y77)</f>
        <v/>
      </c>
      <c r="Z77" s="60" t="str">
        <f>IF('Registrar bienes de inversión'!Z77="","",'Registrar bienes de inversión'!Z77)</f>
        <v/>
      </c>
      <c r="AA77" s="72" t="str">
        <f>IF('Registrar bienes de inversión'!AA77="","",ROUND('Registrar bienes de inversión'!AA77,2))</f>
        <v/>
      </c>
      <c r="AB77" s="72" t="str">
        <f>IF('Registrar bienes de inversión'!AB77="","",'Registrar bienes de inversión'!AB77)</f>
        <v/>
      </c>
      <c r="AC77" s="72" t="str">
        <f>IF('Registrar bienes de inversión'!AC77="","",ROUND('Registrar bienes de inversión'!AC77,2))</f>
        <v/>
      </c>
      <c r="AD77" s="72" t="str">
        <f>IF('Registrar bienes de inversión'!AD77="","",ROUND('Registrar bienes de inversión'!AD77,2))</f>
        <v/>
      </c>
      <c r="AE77" s="72" t="str">
        <f>IF('Registrar bienes de inversión'!AE77="","",ROUND('Registrar bienes de inversión'!AE77,2))</f>
        <v/>
      </c>
      <c r="AF77" s="72" t="str">
        <f>IF('Registrar bienes de inversión'!AF77="","",ROUND('Registrar bienes de inversión'!AF77,2))</f>
        <v/>
      </c>
      <c r="AG77" s="72" t="str">
        <f>IF('Registrar bienes de inversión'!AG77="","",ROUND('Registrar bienes de inversión'!AG77,2))</f>
        <v/>
      </c>
      <c r="AH77" s="64" t="str">
        <f>IF('Registrar bienes de inversión'!AH77="","",'Registrar bienes de inversión'!AH77)</f>
        <v/>
      </c>
      <c r="AI77" s="60" t="str">
        <f>IF('Registrar bienes de inversión'!AI77="","",VLOOKUP(CONCATENATE("CAUSA BAJA BIEN",'Registrar bienes de inversión'!AI77),'CODIGO-LITERAL'!$C:$D,2,FALSE))</f>
        <v/>
      </c>
      <c r="AJ77" s="60" t="str">
        <f>IF('Registrar bienes de inversión'!AJ77="","",'Registrar bienes de inversión'!AJ77)</f>
        <v/>
      </c>
      <c r="AK77" s="60" t="str">
        <f>IF('Registrar bienes de inversión'!AK77="","",'Registrar bienes de inversión'!AK77)</f>
        <v/>
      </c>
      <c r="AL77" s="60" t="str">
        <f>IF('Registrar bienes de inversión'!AL77="","",'Registrar bienes de inversión'!AL77)</f>
        <v/>
      </c>
      <c r="AM77" s="60" t="str">
        <f>IF('Registrar bienes de inversión'!AM77="","",'Registrar bienes de inversión'!AM77)</f>
        <v/>
      </c>
      <c r="AN77" s="60" t="str">
        <f>IF('Registrar bienes de inversión'!AN77="","",VLOOKUP(CONCATENATE("SITUACION",'Registrar bienes de inversión'!AN77),'CODIGO-LITERAL'!$C:$D,2,FALSE))</f>
        <v/>
      </c>
      <c r="AO77" s="60" t="str">
        <f>IF('Registrar bienes de inversión'!AO77="","",'Registrar bienes de inversión'!AO77)</f>
        <v/>
      </c>
      <c r="AP77" s="60" t="str">
        <f>IF('Registrar bienes de inversión'!AP77="","",'Registrar bienes de inversión'!AP77)</f>
        <v/>
      </c>
    </row>
    <row r="78" spans="1:42" x14ac:dyDescent="0.25">
      <c r="A78" s="71" t="str">
        <f>IF('Registrar bienes de inversión'!A78="","",'Registrar bienes de inversión'!A78)</f>
        <v/>
      </c>
      <c r="B78" s="60" t="str">
        <f>IF('Registrar bienes de inversión'!B78="","",'Registrar bienes de inversión'!B78)</f>
        <v/>
      </c>
      <c r="C78" s="60" t="str">
        <f>IF('Registrar bienes de inversión'!C78="","",VLOOKUP(CONCATENATE("ACTIVIDAD",'Registrar bienes de inversión'!C78),'CODIGO-LITERAL'!$C:$D,2,FALSE))</f>
        <v/>
      </c>
      <c r="D78" s="60" t="str">
        <f>IF(OR(C78="C",C78="D"),"",IF(ISERROR(VLOOKUP(CONCATENATE(C78,'Registrar bienes de inversión'!D78),'CODIGO-LITERAL'!$C:$D,2,FALSE)),"",VLOOKUP(CONCATENATE(C78,'Registrar bienes de inversión'!D78),'CODIGO-LITERAL'!$C:$D,2,FALSE)))</f>
        <v/>
      </c>
      <c r="E78" s="60" t="str">
        <f>IF('Registrar bienes de inversión'!E78="","",'Registrar bienes de inversión'!E78)</f>
        <v/>
      </c>
      <c r="F78" s="60" t="str">
        <f>IF('Registrar bienes de inversión'!F78="","",VLOOKUP(CONCATENATE("TIPO BIEN",'Registrar bienes de inversión'!F78),'CODIGO-LITERAL'!$C:$D,2,FALSE))</f>
        <v/>
      </c>
      <c r="G78" s="60" t="str">
        <f>IF('Registrar bienes de inversión'!G78="","",'Registrar bienes de inversión'!G78)</f>
        <v/>
      </c>
      <c r="H78" s="60" t="str">
        <f>IF('Registrar bienes de inversión'!H78="","",'Registrar bienes de inversión'!H78)</f>
        <v/>
      </c>
      <c r="I78" s="64" t="str">
        <f>IF('Registrar bienes de inversión'!I78="","",'Registrar bienes de inversión'!I78)</f>
        <v/>
      </c>
      <c r="J78" s="72" t="str">
        <f>IF('Registrar bienes de inversión'!J78="","",'Registrar bienes de inversión'!J78)</f>
        <v/>
      </c>
      <c r="K78" s="72" t="str">
        <f>IF('Registrar bienes de inversión'!K78="","",'Registrar bienes de inversión'!K78)</f>
        <v/>
      </c>
      <c r="L78" s="60" t="str">
        <f>IF('Registrar bienes de inversión'!L78="","",VLOOKUP(CONCATENATE("METODO AMORTIZACION",'Registrar bienes de inversión'!L78),'CODIGO-LITERAL'!$C:$D,2,FALSE))</f>
        <v/>
      </c>
      <c r="M78" s="72" t="str">
        <f>IF('Registrar bienes de inversión'!M78="","",'Registrar bienes de inversión'!M78)</f>
        <v/>
      </c>
      <c r="N78" s="72" t="str">
        <f>IF('Registrar bienes de inversión'!N78="","",'Registrar bienes de inversión'!N78)</f>
        <v/>
      </c>
      <c r="O78" s="72" t="str">
        <f>IF('Registrar bienes de inversión'!O78="","",'Registrar bienes de inversión'!O78)</f>
        <v/>
      </c>
      <c r="P78" s="72" t="str">
        <f>IF('Registrar bienes de inversión'!P78="","",'Registrar bienes de inversión'!P78)</f>
        <v/>
      </c>
      <c r="Q78" s="72" t="str">
        <f>IF('Registrar bienes de inversión'!Q78="","",'Registrar bienes de inversión'!Q78)</f>
        <v/>
      </c>
      <c r="R78" s="64" t="str">
        <f>IF('Registrar bienes de inversión'!R78="","",'Registrar bienes de inversión'!R78)</f>
        <v/>
      </c>
      <c r="S78" s="60" t="str">
        <f>IF('Registrar bienes de inversión'!S78="","",'Registrar bienes de inversión'!S78)</f>
        <v/>
      </c>
      <c r="T78" s="60" t="str">
        <f>IF('Registrar bienes de inversión'!T78="","",'Registrar bienes de inversión'!T78)</f>
        <v/>
      </c>
      <c r="U78" s="60" t="str">
        <f>IF('Registrar bienes de inversión'!U78="","",'Registrar bienes de inversión'!U78)</f>
        <v/>
      </c>
      <c r="V78" s="60" t="str">
        <f>IF('Registrar bienes de inversión'!V78="","",'Registrar bienes de inversión'!V78)</f>
        <v/>
      </c>
      <c r="W78" s="60" t="str">
        <f>IF(OR('Registrar bienes de inversión'!W78="",LEFT('Registrar bienes de inversión'!W78,2)="01"),"",VLOOKUP(CONCATENATE("TIPO NIF",'Registrar bienes de inversión'!W78),'CODIGO-LITERAL'!$C:$D,2,FALSE))</f>
        <v/>
      </c>
      <c r="X78" s="60" t="str">
        <f>IF('Registrar bienes de inversión'!X78="","",'Registrar bienes de inversión'!X78)</f>
        <v/>
      </c>
      <c r="Y78" s="60" t="str">
        <f>IF('Registrar bienes de inversión'!Y78="","",'Registrar bienes de inversión'!Y78)</f>
        <v/>
      </c>
      <c r="Z78" s="60" t="str">
        <f>IF('Registrar bienes de inversión'!Z78="","",'Registrar bienes de inversión'!Z78)</f>
        <v/>
      </c>
      <c r="AA78" s="72" t="str">
        <f>IF('Registrar bienes de inversión'!AA78="","",ROUND('Registrar bienes de inversión'!AA78,2))</f>
        <v/>
      </c>
      <c r="AB78" s="72" t="str">
        <f>IF('Registrar bienes de inversión'!AB78="","",'Registrar bienes de inversión'!AB78)</f>
        <v/>
      </c>
      <c r="AC78" s="72" t="str">
        <f>IF('Registrar bienes de inversión'!AC78="","",ROUND('Registrar bienes de inversión'!AC78,2))</f>
        <v/>
      </c>
      <c r="AD78" s="72" t="str">
        <f>IF('Registrar bienes de inversión'!AD78="","",ROUND('Registrar bienes de inversión'!AD78,2))</f>
        <v/>
      </c>
      <c r="AE78" s="72" t="str">
        <f>IF('Registrar bienes de inversión'!AE78="","",ROUND('Registrar bienes de inversión'!AE78,2))</f>
        <v/>
      </c>
      <c r="AF78" s="72" t="str">
        <f>IF('Registrar bienes de inversión'!AF78="","",ROUND('Registrar bienes de inversión'!AF78,2))</f>
        <v/>
      </c>
      <c r="AG78" s="72" t="str">
        <f>IF('Registrar bienes de inversión'!AG78="","",ROUND('Registrar bienes de inversión'!AG78,2))</f>
        <v/>
      </c>
      <c r="AH78" s="64" t="str">
        <f>IF('Registrar bienes de inversión'!AH78="","",'Registrar bienes de inversión'!AH78)</f>
        <v/>
      </c>
      <c r="AI78" s="60" t="str">
        <f>IF('Registrar bienes de inversión'!AI78="","",VLOOKUP(CONCATENATE("CAUSA BAJA BIEN",'Registrar bienes de inversión'!AI78),'CODIGO-LITERAL'!$C:$D,2,FALSE))</f>
        <v/>
      </c>
      <c r="AJ78" s="60" t="str">
        <f>IF('Registrar bienes de inversión'!AJ78="","",'Registrar bienes de inversión'!AJ78)</f>
        <v/>
      </c>
      <c r="AK78" s="60" t="str">
        <f>IF('Registrar bienes de inversión'!AK78="","",'Registrar bienes de inversión'!AK78)</f>
        <v/>
      </c>
      <c r="AL78" s="60" t="str">
        <f>IF('Registrar bienes de inversión'!AL78="","",'Registrar bienes de inversión'!AL78)</f>
        <v/>
      </c>
      <c r="AM78" s="60" t="str">
        <f>IF('Registrar bienes de inversión'!AM78="","",'Registrar bienes de inversión'!AM78)</f>
        <v/>
      </c>
      <c r="AN78" s="60" t="str">
        <f>IF('Registrar bienes de inversión'!AN78="","",VLOOKUP(CONCATENATE("SITUACION",'Registrar bienes de inversión'!AN78),'CODIGO-LITERAL'!$C:$D,2,FALSE))</f>
        <v/>
      </c>
      <c r="AO78" s="60" t="str">
        <f>IF('Registrar bienes de inversión'!AO78="","",'Registrar bienes de inversión'!AO78)</f>
        <v/>
      </c>
      <c r="AP78" s="60" t="str">
        <f>IF('Registrar bienes de inversión'!AP78="","",'Registrar bienes de inversión'!AP78)</f>
        <v/>
      </c>
    </row>
    <row r="79" spans="1:42" x14ac:dyDescent="0.25">
      <c r="A79" s="71" t="str">
        <f>IF('Registrar bienes de inversión'!A79="","",'Registrar bienes de inversión'!A79)</f>
        <v/>
      </c>
      <c r="B79" s="60" t="str">
        <f>IF('Registrar bienes de inversión'!B79="","",'Registrar bienes de inversión'!B79)</f>
        <v/>
      </c>
      <c r="C79" s="60" t="str">
        <f>IF('Registrar bienes de inversión'!C79="","",VLOOKUP(CONCATENATE("ACTIVIDAD",'Registrar bienes de inversión'!C79),'CODIGO-LITERAL'!$C:$D,2,FALSE))</f>
        <v/>
      </c>
      <c r="D79" s="60" t="str">
        <f>IF(OR(C79="C",C79="D"),"",IF(ISERROR(VLOOKUP(CONCATENATE(C79,'Registrar bienes de inversión'!D79),'CODIGO-LITERAL'!$C:$D,2,FALSE)),"",VLOOKUP(CONCATENATE(C79,'Registrar bienes de inversión'!D79),'CODIGO-LITERAL'!$C:$D,2,FALSE)))</f>
        <v/>
      </c>
      <c r="E79" s="60" t="str">
        <f>IF('Registrar bienes de inversión'!E79="","",'Registrar bienes de inversión'!E79)</f>
        <v/>
      </c>
      <c r="F79" s="60" t="str">
        <f>IF('Registrar bienes de inversión'!F79="","",VLOOKUP(CONCATENATE("TIPO BIEN",'Registrar bienes de inversión'!F79),'CODIGO-LITERAL'!$C:$D,2,FALSE))</f>
        <v/>
      </c>
      <c r="G79" s="60" t="str">
        <f>IF('Registrar bienes de inversión'!G79="","",'Registrar bienes de inversión'!G79)</f>
        <v/>
      </c>
      <c r="H79" s="60" t="str">
        <f>IF('Registrar bienes de inversión'!H79="","",'Registrar bienes de inversión'!H79)</f>
        <v/>
      </c>
      <c r="I79" s="64" t="str">
        <f>IF('Registrar bienes de inversión'!I79="","",'Registrar bienes de inversión'!I79)</f>
        <v/>
      </c>
      <c r="J79" s="72" t="str">
        <f>IF('Registrar bienes de inversión'!J79="","",'Registrar bienes de inversión'!J79)</f>
        <v/>
      </c>
      <c r="K79" s="72" t="str">
        <f>IF('Registrar bienes de inversión'!K79="","",'Registrar bienes de inversión'!K79)</f>
        <v/>
      </c>
      <c r="L79" s="60" t="str">
        <f>IF('Registrar bienes de inversión'!L79="","",VLOOKUP(CONCATENATE("METODO AMORTIZACION",'Registrar bienes de inversión'!L79),'CODIGO-LITERAL'!$C:$D,2,FALSE))</f>
        <v/>
      </c>
      <c r="M79" s="72" t="str">
        <f>IF('Registrar bienes de inversión'!M79="","",'Registrar bienes de inversión'!M79)</f>
        <v/>
      </c>
      <c r="N79" s="72" t="str">
        <f>IF('Registrar bienes de inversión'!N79="","",'Registrar bienes de inversión'!N79)</f>
        <v/>
      </c>
      <c r="O79" s="72" t="str">
        <f>IF('Registrar bienes de inversión'!O79="","",'Registrar bienes de inversión'!O79)</f>
        <v/>
      </c>
      <c r="P79" s="72" t="str">
        <f>IF('Registrar bienes de inversión'!P79="","",'Registrar bienes de inversión'!P79)</f>
        <v/>
      </c>
      <c r="Q79" s="72" t="str">
        <f>IF('Registrar bienes de inversión'!Q79="","",'Registrar bienes de inversión'!Q79)</f>
        <v/>
      </c>
      <c r="R79" s="64" t="str">
        <f>IF('Registrar bienes de inversión'!R79="","",'Registrar bienes de inversión'!R79)</f>
        <v/>
      </c>
      <c r="S79" s="60" t="str">
        <f>IF('Registrar bienes de inversión'!S79="","",'Registrar bienes de inversión'!S79)</f>
        <v/>
      </c>
      <c r="T79" s="60" t="str">
        <f>IF('Registrar bienes de inversión'!T79="","",'Registrar bienes de inversión'!T79)</f>
        <v/>
      </c>
      <c r="U79" s="60" t="str">
        <f>IF('Registrar bienes de inversión'!U79="","",'Registrar bienes de inversión'!U79)</f>
        <v/>
      </c>
      <c r="V79" s="60" t="str">
        <f>IF('Registrar bienes de inversión'!V79="","",'Registrar bienes de inversión'!V79)</f>
        <v/>
      </c>
      <c r="W79" s="60" t="str">
        <f>IF(OR('Registrar bienes de inversión'!W79="",LEFT('Registrar bienes de inversión'!W79,2)="01"),"",VLOOKUP(CONCATENATE("TIPO NIF",'Registrar bienes de inversión'!W79),'CODIGO-LITERAL'!$C:$D,2,FALSE))</f>
        <v/>
      </c>
      <c r="X79" s="60" t="str">
        <f>IF('Registrar bienes de inversión'!X79="","",'Registrar bienes de inversión'!X79)</f>
        <v/>
      </c>
      <c r="Y79" s="60" t="str">
        <f>IF('Registrar bienes de inversión'!Y79="","",'Registrar bienes de inversión'!Y79)</f>
        <v/>
      </c>
      <c r="Z79" s="60" t="str">
        <f>IF('Registrar bienes de inversión'!Z79="","",'Registrar bienes de inversión'!Z79)</f>
        <v/>
      </c>
      <c r="AA79" s="72" t="str">
        <f>IF('Registrar bienes de inversión'!AA79="","",ROUND('Registrar bienes de inversión'!AA79,2))</f>
        <v/>
      </c>
      <c r="AB79" s="72" t="str">
        <f>IF('Registrar bienes de inversión'!AB79="","",'Registrar bienes de inversión'!AB79)</f>
        <v/>
      </c>
      <c r="AC79" s="72" t="str">
        <f>IF('Registrar bienes de inversión'!AC79="","",ROUND('Registrar bienes de inversión'!AC79,2))</f>
        <v/>
      </c>
      <c r="AD79" s="72" t="str">
        <f>IF('Registrar bienes de inversión'!AD79="","",ROUND('Registrar bienes de inversión'!AD79,2))</f>
        <v/>
      </c>
      <c r="AE79" s="72" t="str">
        <f>IF('Registrar bienes de inversión'!AE79="","",ROUND('Registrar bienes de inversión'!AE79,2))</f>
        <v/>
      </c>
      <c r="AF79" s="72" t="str">
        <f>IF('Registrar bienes de inversión'!AF79="","",ROUND('Registrar bienes de inversión'!AF79,2))</f>
        <v/>
      </c>
      <c r="AG79" s="72" t="str">
        <f>IF('Registrar bienes de inversión'!AG79="","",ROUND('Registrar bienes de inversión'!AG79,2))</f>
        <v/>
      </c>
      <c r="AH79" s="64" t="str">
        <f>IF('Registrar bienes de inversión'!AH79="","",'Registrar bienes de inversión'!AH79)</f>
        <v/>
      </c>
      <c r="AI79" s="60" t="str">
        <f>IF('Registrar bienes de inversión'!AI79="","",VLOOKUP(CONCATENATE("CAUSA BAJA BIEN",'Registrar bienes de inversión'!AI79),'CODIGO-LITERAL'!$C:$D,2,FALSE))</f>
        <v/>
      </c>
      <c r="AJ79" s="60" t="str">
        <f>IF('Registrar bienes de inversión'!AJ79="","",'Registrar bienes de inversión'!AJ79)</f>
        <v/>
      </c>
      <c r="AK79" s="60" t="str">
        <f>IF('Registrar bienes de inversión'!AK79="","",'Registrar bienes de inversión'!AK79)</f>
        <v/>
      </c>
      <c r="AL79" s="60" t="str">
        <f>IF('Registrar bienes de inversión'!AL79="","",'Registrar bienes de inversión'!AL79)</f>
        <v/>
      </c>
      <c r="AM79" s="60" t="str">
        <f>IF('Registrar bienes de inversión'!AM79="","",'Registrar bienes de inversión'!AM79)</f>
        <v/>
      </c>
      <c r="AN79" s="60" t="str">
        <f>IF('Registrar bienes de inversión'!AN79="","",VLOOKUP(CONCATENATE("SITUACION",'Registrar bienes de inversión'!AN79),'CODIGO-LITERAL'!$C:$D,2,FALSE))</f>
        <v/>
      </c>
      <c r="AO79" s="60" t="str">
        <f>IF('Registrar bienes de inversión'!AO79="","",'Registrar bienes de inversión'!AO79)</f>
        <v/>
      </c>
      <c r="AP79" s="60" t="str">
        <f>IF('Registrar bienes de inversión'!AP79="","",'Registrar bienes de inversión'!AP79)</f>
        <v/>
      </c>
    </row>
    <row r="80" spans="1:42" x14ac:dyDescent="0.25">
      <c r="A80" s="71" t="str">
        <f>IF('Registrar bienes de inversión'!A80="","",'Registrar bienes de inversión'!A80)</f>
        <v/>
      </c>
      <c r="B80" s="60" t="str">
        <f>IF('Registrar bienes de inversión'!B80="","",'Registrar bienes de inversión'!B80)</f>
        <v/>
      </c>
      <c r="C80" s="60" t="str">
        <f>IF('Registrar bienes de inversión'!C80="","",VLOOKUP(CONCATENATE("ACTIVIDAD",'Registrar bienes de inversión'!C80),'CODIGO-LITERAL'!$C:$D,2,FALSE))</f>
        <v/>
      </c>
      <c r="D80" s="60" t="str">
        <f>IF(OR(C80="C",C80="D"),"",IF(ISERROR(VLOOKUP(CONCATENATE(C80,'Registrar bienes de inversión'!D80),'CODIGO-LITERAL'!$C:$D,2,FALSE)),"",VLOOKUP(CONCATENATE(C80,'Registrar bienes de inversión'!D80),'CODIGO-LITERAL'!$C:$D,2,FALSE)))</f>
        <v/>
      </c>
      <c r="E80" s="60" t="str">
        <f>IF('Registrar bienes de inversión'!E80="","",'Registrar bienes de inversión'!E80)</f>
        <v/>
      </c>
      <c r="F80" s="60" t="str">
        <f>IF('Registrar bienes de inversión'!F80="","",VLOOKUP(CONCATENATE("TIPO BIEN",'Registrar bienes de inversión'!F80),'CODIGO-LITERAL'!$C:$D,2,FALSE))</f>
        <v/>
      </c>
      <c r="G80" s="60" t="str">
        <f>IF('Registrar bienes de inversión'!G80="","",'Registrar bienes de inversión'!G80)</f>
        <v/>
      </c>
      <c r="H80" s="60" t="str">
        <f>IF('Registrar bienes de inversión'!H80="","",'Registrar bienes de inversión'!H80)</f>
        <v/>
      </c>
      <c r="I80" s="64" t="str">
        <f>IF('Registrar bienes de inversión'!I80="","",'Registrar bienes de inversión'!I80)</f>
        <v/>
      </c>
      <c r="J80" s="72" t="str">
        <f>IF('Registrar bienes de inversión'!J80="","",'Registrar bienes de inversión'!J80)</f>
        <v/>
      </c>
      <c r="K80" s="72" t="str">
        <f>IF('Registrar bienes de inversión'!K80="","",'Registrar bienes de inversión'!K80)</f>
        <v/>
      </c>
      <c r="L80" s="60" t="str">
        <f>IF('Registrar bienes de inversión'!L80="","",VLOOKUP(CONCATENATE("METODO AMORTIZACION",'Registrar bienes de inversión'!L80),'CODIGO-LITERAL'!$C:$D,2,FALSE))</f>
        <v/>
      </c>
      <c r="M80" s="72" t="str">
        <f>IF('Registrar bienes de inversión'!M80="","",'Registrar bienes de inversión'!M80)</f>
        <v/>
      </c>
      <c r="N80" s="72" t="str">
        <f>IF('Registrar bienes de inversión'!N80="","",'Registrar bienes de inversión'!N80)</f>
        <v/>
      </c>
      <c r="O80" s="72" t="str">
        <f>IF('Registrar bienes de inversión'!O80="","",'Registrar bienes de inversión'!O80)</f>
        <v/>
      </c>
      <c r="P80" s="72" t="str">
        <f>IF('Registrar bienes de inversión'!P80="","",'Registrar bienes de inversión'!P80)</f>
        <v/>
      </c>
      <c r="Q80" s="72" t="str">
        <f>IF('Registrar bienes de inversión'!Q80="","",'Registrar bienes de inversión'!Q80)</f>
        <v/>
      </c>
      <c r="R80" s="64" t="str">
        <f>IF('Registrar bienes de inversión'!R80="","",'Registrar bienes de inversión'!R80)</f>
        <v/>
      </c>
      <c r="S80" s="60" t="str">
        <f>IF('Registrar bienes de inversión'!S80="","",'Registrar bienes de inversión'!S80)</f>
        <v/>
      </c>
      <c r="T80" s="60" t="str">
        <f>IF('Registrar bienes de inversión'!T80="","",'Registrar bienes de inversión'!T80)</f>
        <v/>
      </c>
      <c r="U80" s="60" t="str">
        <f>IF('Registrar bienes de inversión'!U80="","",'Registrar bienes de inversión'!U80)</f>
        <v/>
      </c>
      <c r="V80" s="60" t="str">
        <f>IF('Registrar bienes de inversión'!V80="","",'Registrar bienes de inversión'!V80)</f>
        <v/>
      </c>
      <c r="W80" s="60" t="str">
        <f>IF(OR('Registrar bienes de inversión'!W80="",LEFT('Registrar bienes de inversión'!W80,2)="01"),"",VLOOKUP(CONCATENATE("TIPO NIF",'Registrar bienes de inversión'!W80),'CODIGO-LITERAL'!$C:$D,2,FALSE))</f>
        <v/>
      </c>
      <c r="X80" s="60" t="str">
        <f>IF('Registrar bienes de inversión'!X80="","",'Registrar bienes de inversión'!X80)</f>
        <v/>
      </c>
      <c r="Y80" s="60" t="str">
        <f>IF('Registrar bienes de inversión'!Y80="","",'Registrar bienes de inversión'!Y80)</f>
        <v/>
      </c>
      <c r="Z80" s="60" t="str">
        <f>IF('Registrar bienes de inversión'!Z80="","",'Registrar bienes de inversión'!Z80)</f>
        <v/>
      </c>
      <c r="AA80" s="72" t="str">
        <f>IF('Registrar bienes de inversión'!AA80="","",ROUND('Registrar bienes de inversión'!AA80,2))</f>
        <v/>
      </c>
      <c r="AB80" s="72" t="str">
        <f>IF('Registrar bienes de inversión'!AB80="","",'Registrar bienes de inversión'!AB80)</f>
        <v/>
      </c>
      <c r="AC80" s="72" t="str">
        <f>IF('Registrar bienes de inversión'!AC80="","",ROUND('Registrar bienes de inversión'!AC80,2))</f>
        <v/>
      </c>
      <c r="AD80" s="72" t="str">
        <f>IF('Registrar bienes de inversión'!AD80="","",ROUND('Registrar bienes de inversión'!AD80,2))</f>
        <v/>
      </c>
      <c r="AE80" s="72" t="str">
        <f>IF('Registrar bienes de inversión'!AE80="","",ROUND('Registrar bienes de inversión'!AE80,2))</f>
        <v/>
      </c>
      <c r="AF80" s="72" t="str">
        <f>IF('Registrar bienes de inversión'!AF80="","",ROUND('Registrar bienes de inversión'!AF80,2))</f>
        <v/>
      </c>
      <c r="AG80" s="72" t="str">
        <f>IF('Registrar bienes de inversión'!AG80="","",ROUND('Registrar bienes de inversión'!AG80,2))</f>
        <v/>
      </c>
      <c r="AH80" s="64" t="str">
        <f>IF('Registrar bienes de inversión'!AH80="","",'Registrar bienes de inversión'!AH80)</f>
        <v/>
      </c>
      <c r="AI80" s="60" t="str">
        <f>IF('Registrar bienes de inversión'!AI80="","",VLOOKUP(CONCATENATE("CAUSA BAJA BIEN",'Registrar bienes de inversión'!AI80),'CODIGO-LITERAL'!$C:$D,2,FALSE))</f>
        <v/>
      </c>
      <c r="AJ80" s="60" t="str">
        <f>IF('Registrar bienes de inversión'!AJ80="","",'Registrar bienes de inversión'!AJ80)</f>
        <v/>
      </c>
      <c r="AK80" s="60" t="str">
        <f>IF('Registrar bienes de inversión'!AK80="","",'Registrar bienes de inversión'!AK80)</f>
        <v/>
      </c>
      <c r="AL80" s="60" t="str">
        <f>IF('Registrar bienes de inversión'!AL80="","",'Registrar bienes de inversión'!AL80)</f>
        <v/>
      </c>
      <c r="AM80" s="60" t="str">
        <f>IF('Registrar bienes de inversión'!AM80="","",'Registrar bienes de inversión'!AM80)</f>
        <v/>
      </c>
      <c r="AN80" s="60" t="str">
        <f>IF('Registrar bienes de inversión'!AN80="","",VLOOKUP(CONCATENATE("SITUACION",'Registrar bienes de inversión'!AN80),'CODIGO-LITERAL'!$C:$D,2,FALSE))</f>
        <v/>
      </c>
      <c r="AO80" s="60" t="str">
        <f>IF('Registrar bienes de inversión'!AO80="","",'Registrar bienes de inversión'!AO80)</f>
        <v/>
      </c>
      <c r="AP80" s="60" t="str">
        <f>IF('Registrar bienes de inversión'!AP80="","",'Registrar bienes de inversión'!AP80)</f>
        <v/>
      </c>
    </row>
    <row r="81" spans="1:42" x14ac:dyDescent="0.25">
      <c r="A81" s="71" t="str">
        <f>IF('Registrar bienes de inversión'!A81="","",'Registrar bienes de inversión'!A81)</f>
        <v/>
      </c>
      <c r="B81" s="60" t="str">
        <f>IF('Registrar bienes de inversión'!B81="","",'Registrar bienes de inversión'!B81)</f>
        <v/>
      </c>
      <c r="C81" s="60" t="str">
        <f>IF('Registrar bienes de inversión'!C81="","",VLOOKUP(CONCATENATE("ACTIVIDAD",'Registrar bienes de inversión'!C81),'CODIGO-LITERAL'!$C:$D,2,FALSE))</f>
        <v/>
      </c>
      <c r="D81" s="60" t="str">
        <f>IF(OR(C81="C",C81="D"),"",IF(ISERROR(VLOOKUP(CONCATENATE(C81,'Registrar bienes de inversión'!D81),'CODIGO-LITERAL'!$C:$D,2,FALSE)),"",VLOOKUP(CONCATENATE(C81,'Registrar bienes de inversión'!D81),'CODIGO-LITERAL'!$C:$D,2,FALSE)))</f>
        <v/>
      </c>
      <c r="E81" s="60" t="str">
        <f>IF('Registrar bienes de inversión'!E81="","",'Registrar bienes de inversión'!E81)</f>
        <v/>
      </c>
      <c r="F81" s="60" t="str">
        <f>IF('Registrar bienes de inversión'!F81="","",VLOOKUP(CONCATENATE("TIPO BIEN",'Registrar bienes de inversión'!F81),'CODIGO-LITERAL'!$C:$D,2,FALSE))</f>
        <v/>
      </c>
      <c r="G81" s="60" t="str">
        <f>IF('Registrar bienes de inversión'!G81="","",'Registrar bienes de inversión'!G81)</f>
        <v/>
      </c>
      <c r="H81" s="60" t="str">
        <f>IF('Registrar bienes de inversión'!H81="","",'Registrar bienes de inversión'!H81)</f>
        <v/>
      </c>
      <c r="I81" s="64" t="str">
        <f>IF('Registrar bienes de inversión'!I81="","",'Registrar bienes de inversión'!I81)</f>
        <v/>
      </c>
      <c r="J81" s="72" t="str">
        <f>IF('Registrar bienes de inversión'!J81="","",'Registrar bienes de inversión'!J81)</f>
        <v/>
      </c>
      <c r="K81" s="72" t="str">
        <f>IF('Registrar bienes de inversión'!K81="","",'Registrar bienes de inversión'!K81)</f>
        <v/>
      </c>
      <c r="L81" s="60" t="str">
        <f>IF('Registrar bienes de inversión'!L81="","",VLOOKUP(CONCATENATE("METODO AMORTIZACION",'Registrar bienes de inversión'!L81),'CODIGO-LITERAL'!$C:$D,2,FALSE))</f>
        <v/>
      </c>
      <c r="M81" s="72" t="str">
        <f>IF('Registrar bienes de inversión'!M81="","",'Registrar bienes de inversión'!M81)</f>
        <v/>
      </c>
      <c r="N81" s="72" t="str">
        <f>IF('Registrar bienes de inversión'!N81="","",'Registrar bienes de inversión'!N81)</f>
        <v/>
      </c>
      <c r="O81" s="72" t="str">
        <f>IF('Registrar bienes de inversión'!O81="","",'Registrar bienes de inversión'!O81)</f>
        <v/>
      </c>
      <c r="P81" s="72" t="str">
        <f>IF('Registrar bienes de inversión'!P81="","",'Registrar bienes de inversión'!P81)</f>
        <v/>
      </c>
      <c r="Q81" s="72" t="str">
        <f>IF('Registrar bienes de inversión'!Q81="","",'Registrar bienes de inversión'!Q81)</f>
        <v/>
      </c>
      <c r="R81" s="64" t="str">
        <f>IF('Registrar bienes de inversión'!R81="","",'Registrar bienes de inversión'!R81)</f>
        <v/>
      </c>
      <c r="S81" s="60" t="str">
        <f>IF('Registrar bienes de inversión'!S81="","",'Registrar bienes de inversión'!S81)</f>
        <v/>
      </c>
      <c r="T81" s="60" t="str">
        <f>IF('Registrar bienes de inversión'!T81="","",'Registrar bienes de inversión'!T81)</f>
        <v/>
      </c>
      <c r="U81" s="60" t="str">
        <f>IF('Registrar bienes de inversión'!U81="","",'Registrar bienes de inversión'!U81)</f>
        <v/>
      </c>
      <c r="V81" s="60" t="str">
        <f>IF('Registrar bienes de inversión'!V81="","",'Registrar bienes de inversión'!V81)</f>
        <v/>
      </c>
      <c r="W81" s="60" t="str">
        <f>IF(OR('Registrar bienes de inversión'!W81="",LEFT('Registrar bienes de inversión'!W81,2)="01"),"",VLOOKUP(CONCATENATE("TIPO NIF",'Registrar bienes de inversión'!W81),'CODIGO-LITERAL'!$C:$D,2,FALSE))</f>
        <v/>
      </c>
      <c r="X81" s="60" t="str">
        <f>IF('Registrar bienes de inversión'!X81="","",'Registrar bienes de inversión'!X81)</f>
        <v/>
      </c>
      <c r="Y81" s="60" t="str">
        <f>IF('Registrar bienes de inversión'!Y81="","",'Registrar bienes de inversión'!Y81)</f>
        <v/>
      </c>
      <c r="Z81" s="60" t="str">
        <f>IF('Registrar bienes de inversión'!Z81="","",'Registrar bienes de inversión'!Z81)</f>
        <v/>
      </c>
      <c r="AA81" s="72" t="str">
        <f>IF('Registrar bienes de inversión'!AA81="","",ROUND('Registrar bienes de inversión'!AA81,2))</f>
        <v/>
      </c>
      <c r="AB81" s="72" t="str">
        <f>IF('Registrar bienes de inversión'!AB81="","",'Registrar bienes de inversión'!AB81)</f>
        <v/>
      </c>
      <c r="AC81" s="72" t="str">
        <f>IF('Registrar bienes de inversión'!AC81="","",ROUND('Registrar bienes de inversión'!AC81,2))</f>
        <v/>
      </c>
      <c r="AD81" s="72" t="str">
        <f>IF('Registrar bienes de inversión'!AD81="","",ROUND('Registrar bienes de inversión'!AD81,2))</f>
        <v/>
      </c>
      <c r="AE81" s="72" t="str">
        <f>IF('Registrar bienes de inversión'!AE81="","",ROUND('Registrar bienes de inversión'!AE81,2))</f>
        <v/>
      </c>
      <c r="AF81" s="72" t="str">
        <f>IF('Registrar bienes de inversión'!AF81="","",ROUND('Registrar bienes de inversión'!AF81,2))</f>
        <v/>
      </c>
      <c r="AG81" s="72" t="str">
        <f>IF('Registrar bienes de inversión'!AG81="","",ROUND('Registrar bienes de inversión'!AG81,2))</f>
        <v/>
      </c>
      <c r="AH81" s="64" t="str">
        <f>IF('Registrar bienes de inversión'!AH81="","",'Registrar bienes de inversión'!AH81)</f>
        <v/>
      </c>
      <c r="AI81" s="60" t="str">
        <f>IF('Registrar bienes de inversión'!AI81="","",VLOOKUP(CONCATENATE("CAUSA BAJA BIEN",'Registrar bienes de inversión'!AI81),'CODIGO-LITERAL'!$C:$D,2,FALSE))</f>
        <v/>
      </c>
      <c r="AJ81" s="60" t="str">
        <f>IF('Registrar bienes de inversión'!AJ81="","",'Registrar bienes de inversión'!AJ81)</f>
        <v/>
      </c>
      <c r="AK81" s="60" t="str">
        <f>IF('Registrar bienes de inversión'!AK81="","",'Registrar bienes de inversión'!AK81)</f>
        <v/>
      </c>
      <c r="AL81" s="60" t="str">
        <f>IF('Registrar bienes de inversión'!AL81="","",'Registrar bienes de inversión'!AL81)</f>
        <v/>
      </c>
      <c r="AM81" s="60" t="str">
        <f>IF('Registrar bienes de inversión'!AM81="","",'Registrar bienes de inversión'!AM81)</f>
        <v/>
      </c>
      <c r="AN81" s="60" t="str">
        <f>IF('Registrar bienes de inversión'!AN81="","",VLOOKUP(CONCATENATE("SITUACION",'Registrar bienes de inversión'!AN81),'CODIGO-LITERAL'!$C:$D,2,FALSE))</f>
        <v/>
      </c>
      <c r="AO81" s="60" t="str">
        <f>IF('Registrar bienes de inversión'!AO81="","",'Registrar bienes de inversión'!AO81)</f>
        <v/>
      </c>
      <c r="AP81" s="60" t="str">
        <f>IF('Registrar bienes de inversión'!AP81="","",'Registrar bienes de inversión'!AP81)</f>
        <v/>
      </c>
    </row>
    <row r="82" spans="1:42" x14ac:dyDescent="0.25">
      <c r="A82" s="71" t="str">
        <f>IF('Registrar bienes de inversión'!A82="","",'Registrar bienes de inversión'!A82)</f>
        <v/>
      </c>
      <c r="B82" s="60" t="str">
        <f>IF('Registrar bienes de inversión'!B82="","",'Registrar bienes de inversión'!B82)</f>
        <v/>
      </c>
      <c r="C82" s="60" t="str">
        <f>IF('Registrar bienes de inversión'!C82="","",VLOOKUP(CONCATENATE("ACTIVIDAD",'Registrar bienes de inversión'!C82),'CODIGO-LITERAL'!$C:$D,2,FALSE))</f>
        <v/>
      </c>
      <c r="D82" s="60" t="str">
        <f>IF(OR(C82="C",C82="D"),"",IF(ISERROR(VLOOKUP(CONCATENATE(C82,'Registrar bienes de inversión'!D82),'CODIGO-LITERAL'!$C:$D,2,FALSE)),"",VLOOKUP(CONCATENATE(C82,'Registrar bienes de inversión'!D82),'CODIGO-LITERAL'!$C:$D,2,FALSE)))</f>
        <v/>
      </c>
      <c r="E82" s="60" t="str">
        <f>IF('Registrar bienes de inversión'!E82="","",'Registrar bienes de inversión'!E82)</f>
        <v/>
      </c>
      <c r="F82" s="60" t="str">
        <f>IF('Registrar bienes de inversión'!F82="","",VLOOKUP(CONCATENATE("TIPO BIEN",'Registrar bienes de inversión'!F82),'CODIGO-LITERAL'!$C:$D,2,FALSE))</f>
        <v/>
      </c>
      <c r="G82" s="60" t="str">
        <f>IF('Registrar bienes de inversión'!G82="","",'Registrar bienes de inversión'!G82)</f>
        <v/>
      </c>
      <c r="H82" s="60" t="str">
        <f>IF('Registrar bienes de inversión'!H82="","",'Registrar bienes de inversión'!H82)</f>
        <v/>
      </c>
      <c r="I82" s="64" t="str">
        <f>IF('Registrar bienes de inversión'!I82="","",'Registrar bienes de inversión'!I82)</f>
        <v/>
      </c>
      <c r="J82" s="72" t="str">
        <f>IF('Registrar bienes de inversión'!J82="","",'Registrar bienes de inversión'!J82)</f>
        <v/>
      </c>
      <c r="K82" s="72" t="str">
        <f>IF('Registrar bienes de inversión'!K82="","",'Registrar bienes de inversión'!K82)</f>
        <v/>
      </c>
      <c r="L82" s="60" t="str">
        <f>IF('Registrar bienes de inversión'!L82="","",VLOOKUP(CONCATENATE("METODO AMORTIZACION",'Registrar bienes de inversión'!L82),'CODIGO-LITERAL'!$C:$D,2,FALSE))</f>
        <v/>
      </c>
      <c r="M82" s="72" t="str">
        <f>IF('Registrar bienes de inversión'!M82="","",'Registrar bienes de inversión'!M82)</f>
        <v/>
      </c>
      <c r="N82" s="72" t="str">
        <f>IF('Registrar bienes de inversión'!N82="","",'Registrar bienes de inversión'!N82)</f>
        <v/>
      </c>
      <c r="O82" s="72" t="str">
        <f>IF('Registrar bienes de inversión'!O82="","",'Registrar bienes de inversión'!O82)</f>
        <v/>
      </c>
      <c r="P82" s="72" t="str">
        <f>IF('Registrar bienes de inversión'!P82="","",'Registrar bienes de inversión'!P82)</f>
        <v/>
      </c>
      <c r="Q82" s="72" t="str">
        <f>IF('Registrar bienes de inversión'!Q82="","",'Registrar bienes de inversión'!Q82)</f>
        <v/>
      </c>
      <c r="R82" s="64" t="str">
        <f>IF('Registrar bienes de inversión'!R82="","",'Registrar bienes de inversión'!R82)</f>
        <v/>
      </c>
      <c r="S82" s="60" t="str">
        <f>IF('Registrar bienes de inversión'!S82="","",'Registrar bienes de inversión'!S82)</f>
        <v/>
      </c>
      <c r="T82" s="60" t="str">
        <f>IF('Registrar bienes de inversión'!T82="","",'Registrar bienes de inversión'!T82)</f>
        <v/>
      </c>
      <c r="U82" s="60" t="str">
        <f>IF('Registrar bienes de inversión'!U82="","",'Registrar bienes de inversión'!U82)</f>
        <v/>
      </c>
      <c r="V82" s="60" t="str">
        <f>IF('Registrar bienes de inversión'!V82="","",'Registrar bienes de inversión'!V82)</f>
        <v/>
      </c>
      <c r="W82" s="60" t="str">
        <f>IF(OR('Registrar bienes de inversión'!W82="",LEFT('Registrar bienes de inversión'!W82,2)="01"),"",VLOOKUP(CONCATENATE("TIPO NIF",'Registrar bienes de inversión'!W82),'CODIGO-LITERAL'!$C:$D,2,FALSE))</f>
        <v/>
      </c>
      <c r="X82" s="60" t="str">
        <f>IF('Registrar bienes de inversión'!X82="","",'Registrar bienes de inversión'!X82)</f>
        <v/>
      </c>
      <c r="Y82" s="60" t="str">
        <f>IF('Registrar bienes de inversión'!Y82="","",'Registrar bienes de inversión'!Y82)</f>
        <v/>
      </c>
      <c r="Z82" s="60" t="str">
        <f>IF('Registrar bienes de inversión'!Z82="","",'Registrar bienes de inversión'!Z82)</f>
        <v/>
      </c>
      <c r="AA82" s="72" t="str">
        <f>IF('Registrar bienes de inversión'!AA82="","",ROUND('Registrar bienes de inversión'!AA82,2))</f>
        <v/>
      </c>
      <c r="AB82" s="72" t="str">
        <f>IF('Registrar bienes de inversión'!AB82="","",'Registrar bienes de inversión'!AB82)</f>
        <v/>
      </c>
      <c r="AC82" s="72" t="str">
        <f>IF('Registrar bienes de inversión'!AC82="","",ROUND('Registrar bienes de inversión'!AC82,2))</f>
        <v/>
      </c>
      <c r="AD82" s="72" t="str">
        <f>IF('Registrar bienes de inversión'!AD82="","",ROUND('Registrar bienes de inversión'!AD82,2))</f>
        <v/>
      </c>
      <c r="AE82" s="72" t="str">
        <f>IF('Registrar bienes de inversión'!AE82="","",ROUND('Registrar bienes de inversión'!AE82,2))</f>
        <v/>
      </c>
      <c r="AF82" s="72" t="str">
        <f>IF('Registrar bienes de inversión'!AF82="","",ROUND('Registrar bienes de inversión'!AF82,2))</f>
        <v/>
      </c>
      <c r="AG82" s="72" t="str">
        <f>IF('Registrar bienes de inversión'!AG82="","",ROUND('Registrar bienes de inversión'!AG82,2))</f>
        <v/>
      </c>
      <c r="AH82" s="64" t="str">
        <f>IF('Registrar bienes de inversión'!AH82="","",'Registrar bienes de inversión'!AH82)</f>
        <v/>
      </c>
      <c r="AI82" s="60" t="str">
        <f>IF('Registrar bienes de inversión'!AI82="","",VLOOKUP(CONCATENATE("CAUSA BAJA BIEN",'Registrar bienes de inversión'!AI82),'CODIGO-LITERAL'!$C:$D,2,FALSE))</f>
        <v/>
      </c>
      <c r="AJ82" s="60" t="str">
        <f>IF('Registrar bienes de inversión'!AJ82="","",'Registrar bienes de inversión'!AJ82)</f>
        <v/>
      </c>
      <c r="AK82" s="60" t="str">
        <f>IF('Registrar bienes de inversión'!AK82="","",'Registrar bienes de inversión'!AK82)</f>
        <v/>
      </c>
      <c r="AL82" s="60" t="str">
        <f>IF('Registrar bienes de inversión'!AL82="","",'Registrar bienes de inversión'!AL82)</f>
        <v/>
      </c>
      <c r="AM82" s="60" t="str">
        <f>IF('Registrar bienes de inversión'!AM82="","",'Registrar bienes de inversión'!AM82)</f>
        <v/>
      </c>
      <c r="AN82" s="60" t="str">
        <f>IF('Registrar bienes de inversión'!AN82="","",VLOOKUP(CONCATENATE("SITUACION",'Registrar bienes de inversión'!AN82),'CODIGO-LITERAL'!$C:$D,2,FALSE))</f>
        <v/>
      </c>
      <c r="AO82" s="60" t="str">
        <f>IF('Registrar bienes de inversión'!AO82="","",'Registrar bienes de inversión'!AO82)</f>
        <v/>
      </c>
      <c r="AP82" s="60" t="str">
        <f>IF('Registrar bienes de inversión'!AP82="","",'Registrar bienes de inversión'!AP82)</f>
        <v/>
      </c>
    </row>
    <row r="83" spans="1:42" x14ac:dyDescent="0.25">
      <c r="A83" s="71" t="str">
        <f>IF('Registrar bienes de inversión'!A83="","",'Registrar bienes de inversión'!A83)</f>
        <v/>
      </c>
      <c r="B83" s="60" t="str">
        <f>IF('Registrar bienes de inversión'!B83="","",'Registrar bienes de inversión'!B83)</f>
        <v/>
      </c>
      <c r="C83" s="60" t="str">
        <f>IF('Registrar bienes de inversión'!C83="","",VLOOKUP(CONCATENATE("ACTIVIDAD",'Registrar bienes de inversión'!C83),'CODIGO-LITERAL'!$C:$D,2,FALSE))</f>
        <v/>
      </c>
      <c r="D83" s="60" t="str">
        <f>IF(OR(C83="C",C83="D"),"",IF(ISERROR(VLOOKUP(CONCATENATE(C83,'Registrar bienes de inversión'!D83),'CODIGO-LITERAL'!$C:$D,2,FALSE)),"",VLOOKUP(CONCATENATE(C83,'Registrar bienes de inversión'!D83),'CODIGO-LITERAL'!$C:$D,2,FALSE)))</f>
        <v/>
      </c>
      <c r="E83" s="60" t="str">
        <f>IF('Registrar bienes de inversión'!E83="","",'Registrar bienes de inversión'!E83)</f>
        <v/>
      </c>
      <c r="F83" s="60" t="str">
        <f>IF('Registrar bienes de inversión'!F83="","",VLOOKUP(CONCATENATE("TIPO BIEN",'Registrar bienes de inversión'!F83),'CODIGO-LITERAL'!$C:$D,2,FALSE))</f>
        <v/>
      </c>
      <c r="G83" s="60" t="str">
        <f>IF('Registrar bienes de inversión'!G83="","",'Registrar bienes de inversión'!G83)</f>
        <v/>
      </c>
      <c r="H83" s="60" t="str">
        <f>IF('Registrar bienes de inversión'!H83="","",'Registrar bienes de inversión'!H83)</f>
        <v/>
      </c>
      <c r="I83" s="64" t="str">
        <f>IF('Registrar bienes de inversión'!I83="","",'Registrar bienes de inversión'!I83)</f>
        <v/>
      </c>
      <c r="J83" s="72" t="str">
        <f>IF('Registrar bienes de inversión'!J83="","",'Registrar bienes de inversión'!J83)</f>
        <v/>
      </c>
      <c r="K83" s="72" t="str">
        <f>IF('Registrar bienes de inversión'!K83="","",'Registrar bienes de inversión'!K83)</f>
        <v/>
      </c>
      <c r="L83" s="60" t="str">
        <f>IF('Registrar bienes de inversión'!L83="","",VLOOKUP(CONCATENATE("METODO AMORTIZACION",'Registrar bienes de inversión'!L83),'CODIGO-LITERAL'!$C:$D,2,FALSE))</f>
        <v/>
      </c>
      <c r="M83" s="72" t="str">
        <f>IF('Registrar bienes de inversión'!M83="","",'Registrar bienes de inversión'!M83)</f>
        <v/>
      </c>
      <c r="N83" s="72" t="str">
        <f>IF('Registrar bienes de inversión'!N83="","",'Registrar bienes de inversión'!N83)</f>
        <v/>
      </c>
      <c r="O83" s="72" t="str">
        <f>IF('Registrar bienes de inversión'!O83="","",'Registrar bienes de inversión'!O83)</f>
        <v/>
      </c>
      <c r="P83" s="72" t="str">
        <f>IF('Registrar bienes de inversión'!P83="","",'Registrar bienes de inversión'!P83)</f>
        <v/>
      </c>
      <c r="Q83" s="72" t="str">
        <f>IF('Registrar bienes de inversión'!Q83="","",'Registrar bienes de inversión'!Q83)</f>
        <v/>
      </c>
      <c r="R83" s="64" t="str">
        <f>IF('Registrar bienes de inversión'!R83="","",'Registrar bienes de inversión'!R83)</f>
        <v/>
      </c>
      <c r="S83" s="60" t="str">
        <f>IF('Registrar bienes de inversión'!S83="","",'Registrar bienes de inversión'!S83)</f>
        <v/>
      </c>
      <c r="T83" s="60" t="str">
        <f>IF('Registrar bienes de inversión'!T83="","",'Registrar bienes de inversión'!T83)</f>
        <v/>
      </c>
      <c r="U83" s="60" t="str">
        <f>IF('Registrar bienes de inversión'!U83="","",'Registrar bienes de inversión'!U83)</f>
        <v/>
      </c>
      <c r="V83" s="60" t="str">
        <f>IF('Registrar bienes de inversión'!V83="","",'Registrar bienes de inversión'!V83)</f>
        <v/>
      </c>
      <c r="W83" s="60" t="str">
        <f>IF(OR('Registrar bienes de inversión'!W83="",LEFT('Registrar bienes de inversión'!W83,2)="01"),"",VLOOKUP(CONCATENATE("TIPO NIF",'Registrar bienes de inversión'!W83),'CODIGO-LITERAL'!$C:$D,2,FALSE))</f>
        <v/>
      </c>
      <c r="X83" s="60" t="str">
        <f>IF('Registrar bienes de inversión'!X83="","",'Registrar bienes de inversión'!X83)</f>
        <v/>
      </c>
      <c r="Y83" s="60" t="str">
        <f>IF('Registrar bienes de inversión'!Y83="","",'Registrar bienes de inversión'!Y83)</f>
        <v/>
      </c>
      <c r="Z83" s="60" t="str">
        <f>IF('Registrar bienes de inversión'!Z83="","",'Registrar bienes de inversión'!Z83)</f>
        <v/>
      </c>
      <c r="AA83" s="72" t="str">
        <f>IF('Registrar bienes de inversión'!AA83="","",ROUND('Registrar bienes de inversión'!AA83,2))</f>
        <v/>
      </c>
      <c r="AB83" s="72" t="str">
        <f>IF('Registrar bienes de inversión'!AB83="","",'Registrar bienes de inversión'!AB83)</f>
        <v/>
      </c>
      <c r="AC83" s="72" t="str">
        <f>IF('Registrar bienes de inversión'!AC83="","",ROUND('Registrar bienes de inversión'!AC83,2))</f>
        <v/>
      </c>
      <c r="AD83" s="72" t="str">
        <f>IF('Registrar bienes de inversión'!AD83="","",ROUND('Registrar bienes de inversión'!AD83,2))</f>
        <v/>
      </c>
      <c r="AE83" s="72" t="str">
        <f>IF('Registrar bienes de inversión'!AE83="","",ROUND('Registrar bienes de inversión'!AE83,2))</f>
        <v/>
      </c>
      <c r="AF83" s="72" t="str">
        <f>IF('Registrar bienes de inversión'!AF83="","",ROUND('Registrar bienes de inversión'!AF83,2))</f>
        <v/>
      </c>
      <c r="AG83" s="72" t="str">
        <f>IF('Registrar bienes de inversión'!AG83="","",ROUND('Registrar bienes de inversión'!AG83,2))</f>
        <v/>
      </c>
      <c r="AH83" s="64" t="str">
        <f>IF('Registrar bienes de inversión'!AH83="","",'Registrar bienes de inversión'!AH83)</f>
        <v/>
      </c>
      <c r="AI83" s="60" t="str">
        <f>IF('Registrar bienes de inversión'!AI83="","",VLOOKUP(CONCATENATE("CAUSA BAJA BIEN",'Registrar bienes de inversión'!AI83),'CODIGO-LITERAL'!$C:$D,2,FALSE))</f>
        <v/>
      </c>
      <c r="AJ83" s="60" t="str">
        <f>IF('Registrar bienes de inversión'!AJ83="","",'Registrar bienes de inversión'!AJ83)</f>
        <v/>
      </c>
      <c r="AK83" s="60" t="str">
        <f>IF('Registrar bienes de inversión'!AK83="","",'Registrar bienes de inversión'!AK83)</f>
        <v/>
      </c>
      <c r="AL83" s="60" t="str">
        <f>IF('Registrar bienes de inversión'!AL83="","",'Registrar bienes de inversión'!AL83)</f>
        <v/>
      </c>
      <c r="AM83" s="60" t="str">
        <f>IF('Registrar bienes de inversión'!AM83="","",'Registrar bienes de inversión'!AM83)</f>
        <v/>
      </c>
      <c r="AN83" s="60" t="str">
        <f>IF('Registrar bienes de inversión'!AN83="","",VLOOKUP(CONCATENATE("SITUACION",'Registrar bienes de inversión'!AN83),'CODIGO-LITERAL'!$C:$D,2,FALSE))</f>
        <v/>
      </c>
      <c r="AO83" s="60" t="str">
        <f>IF('Registrar bienes de inversión'!AO83="","",'Registrar bienes de inversión'!AO83)</f>
        <v/>
      </c>
      <c r="AP83" s="60" t="str">
        <f>IF('Registrar bienes de inversión'!AP83="","",'Registrar bienes de inversión'!AP83)</f>
        <v/>
      </c>
    </row>
    <row r="84" spans="1:42" x14ac:dyDescent="0.25">
      <c r="A84" s="71" t="str">
        <f>IF('Registrar bienes de inversión'!A84="","",'Registrar bienes de inversión'!A84)</f>
        <v/>
      </c>
      <c r="B84" s="60" t="str">
        <f>IF('Registrar bienes de inversión'!B84="","",'Registrar bienes de inversión'!B84)</f>
        <v/>
      </c>
      <c r="C84" s="60" t="str">
        <f>IF('Registrar bienes de inversión'!C84="","",VLOOKUP(CONCATENATE("ACTIVIDAD",'Registrar bienes de inversión'!C84),'CODIGO-LITERAL'!$C:$D,2,FALSE))</f>
        <v/>
      </c>
      <c r="D84" s="60" t="str">
        <f>IF(OR(C84="C",C84="D"),"",IF(ISERROR(VLOOKUP(CONCATENATE(C84,'Registrar bienes de inversión'!D84),'CODIGO-LITERAL'!$C:$D,2,FALSE)),"",VLOOKUP(CONCATENATE(C84,'Registrar bienes de inversión'!D84),'CODIGO-LITERAL'!$C:$D,2,FALSE)))</f>
        <v/>
      </c>
      <c r="E84" s="60" t="str">
        <f>IF('Registrar bienes de inversión'!E84="","",'Registrar bienes de inversión'!E84)</f>
        <v/>
      </c>
      <c r="F84" s="60" t="str">
        <f>IF('Registrar bienes de inversión'!F84="","",VLOOKUP(CONCATENATE("TIPO BIEN",'Registrar bienes de inversión'!F84),'CODIGO-LITERAL'!$C:$D,2,FALSE))</f>
        <v/>
      </c>
      <c r="G84" s="60" t="str">
        <f>IF('Registrar bienes de inversión'!G84="","",'Registrar bienes de inversión'!G84)</f>
        <v/>
      </c>
      <c r="H84" s="60" t="str">
        <f>IF('Registrar bienes de inversión'!H84="","",'Registrar bienes de inversión'!H84)</f>
        <v/>
      </c>
      <c r="I84" s="64" t="str">
        <f>IF('Registrar bienes de inversión'!I84="","",'Registrar bienes de inversión'!I84)</f>
        <v/>
      </c>
      <c r="J84" s="72" t="str">
        <f>IF('Registrar bienes de inversión'!J84="","",'Registrar bienes de inversión'!J84)</f>
        <v/>
      </c>
      <c r="K84" s="72" t="str">
        <f>IF('Registrar bienes de inversión'!K84="","",'Registrar bienes de inversión'!K84)</f>
        <v/>
      </c>
      <c r="L84" s="60" t="str">
        <f>IF('Registrar bienes de inversión'!L84="","",VLOOKUP(CONCATENATE("METODO AMORTIZACION",'Registrar bienes de inversión'!L84),'CODIGO-LITERAL'!$C:$D,2,FALSE))</f>
        <v/>
      </c>
      <c r="M84" s="72" t="str">
        <f>IF('Registrar bienes de inversión'!M84="","",'Registrar bienes de inversión'!M84)</f>
        <v/>
      </c>
      <c r="N84" s="72" t="str">
        <f>IF('Registrar bienes de inversión'!N84="","",'Registrar bienes de inversión'!N84)</f>
        <v/>
      </c>
      <c r="O84" s="72" t="str">
        <f>IF('Registrar bienes de inversión'!O84="","",'Registrar bienes de inversión'!O84)</f>
        <v/>
      </c>
      <c r="P84" s="72" t="str">
        <f>IF('Registrar bienes de inversión'!P84="","",'Registrar bienes de inversión'!P84)</f>
        <v/>
      </c>
      <c r="Q84" s="72" t="str">
        <f>IF('Registrar bienes de inversión'!Q84="","",'Registrar bienes de inversión'!Q84)</f>
        <v/>
      </c>
      <c r="R84" s="64" t="str">
        <f>IF('Registrar bienes de inversión'!R84="","",'Registrar bienes de inversión'!R84)</f>
        <v/>
      </c>
      <c r="S84" s="60" t="str">
        <f>IF('Registrar bienes de inversión'!S84="","",'Registrar bienes de inversión'!S84)</f>
        <v/>
      </c>
      <c r="T84" s="60" t="str">
        <f>IF('Registrar bienes de inversión'!T84="","",'Registrar bienes de inversión'!T84)</f>
        <v/>
      </c>
      <c r="U84" s="60" t="str">
        <f>IF('Registrar bienes de inversión'!U84="","",'Registrar bienes de inversión'!U84)</f>
        <v/>
      </c>
      <c r="V84" s="60" t="str">
        <f>IF('Registrar bienes de inversión'!V84="","",'Registrar bienes de inversión'!V84)</f>
        <v/>
      </c>
      <c r="W84" s="60" t="str">
        <f>IF(OR('Registrar bienes de inversión'!W84="",LEFT('Registrar bienes de inversión'!W84,2)="01"),"",VLOOKUP(CONCATENATE("TIPO NIF",'Registrar bienes de inversión'!W84),'CODIGO-LITERAL'!$C:$D,2,FALSE))</f>
        <v/>
      </c>
      <c r="X84" s="60" t="str">
        <f>IF('Registrar bienes de inversión'!X84="","",'Registrar bienes de inversión'!X84)</f>
        <v/>
      </c>
      <c r="Y84" s="60" t="str">
        <f>IF('Registrar bienes de inversión'!Y84="","",'Registrar bienes de inversión'!Y84)</f>
        <v/>
      </c>
      <c r="Z84" s="60" t="str">
        <f>IF('Registrar bienes de inversión'!Z84="","",'Registrar bienes de inversión'!Z84)</f>
        <v/>
      </c>
      <c r="AA84" s="72" t="str">
        <f>IF('Registrar bienes de inversión'!AA84="","",ROUND('Registrar bienes de inversión'!AA84,2))</f>
        <v/>
      </c>
      <c r="AB84" s="72" t="str">
        <f>IF('Registrar bienes de inversión'!AB84="","",'Registrar bienes de inversión'!AB84)</f>
        <v/>
      </c>
      <c r="AC84" s="72" t="str">
        <f>IF('Registrar bienes de inversión'!AC84="","",ROUND('Registrar bienes de inversión'!AC84,2))</f>
        <v/>
      </c>
      <c r="AD84" s="72" t="str">
        <f>IF('Registrar bienes de inversión'!AD84="","",ROUND('Registrar bienes de inversión'!AD84,2))</f>
        <v/>
      </c>
      <c r="AE84" s="72" t="str">
        <f>IF('Registrar bienes de inversión'!AE84="","",ROUND('Registrar bienes de inversión'!AE84,2))</f>
        <v/>
      </c>
      <c r="AF84" s="72" t="str">
        <f>IF('Registrar bienes de inversión'!AF84="","",ROUND('Registrar bienes de inversión'!AF84,2))</f>
        <v/>
      </c>
      <c r="AG84" s="72" t="str">
        <f>IF('Registrar bienes de inversión'!AG84="","",ROUND('Registrar bienes de inversión'!AG84,2))</f>
        <v/>
      </c>
      <c r="AH84" s="64" t="str">
        <f>IF('Registrar bienes de inversión'!AH84="","",'Registrar bienes de inversión'!AH84)</f>
        <v/>
      </c>
      <c r="AI84" s="60" t="str">
        <f>IF('Registrar bienes de inversión'!AI84="","",VLOOKUP(CONCATENATE("CAUSA BAJA BIEN",'Registrar bienes de inversión'!AI84),'CODIGO-LITERAL'!$C:$D,2,FALSE))</f>
        <v/>
      </c>
      <c r="AJ84" s="60" t="str">
        <f>IF('Registrar bienes de inversión'!AJ84="","",'Registrar bienes de inversión'!AJ84)</f>
        <v/>
      </c>
      <c r="AK84" s="60" t="str">
        <f>IF('Registrar bienes de inversión'!AK84="","",'Registrar bienes de inversión'!AK84)</f>
        <v/>
      </c>
      <c r="AL84" s="60" t="str">
        <f>IF('Registrar bienes de inversión'!AL84="","",'Registrar bienes de inversión'!AL84)</f>
        <v/>
      </c>
      <c r="AM84" s="60" t="str">
        <f>IF('Registrar bienes de inversión'!AM84="","",'Registrar bienes de inversión'!AM84)</f>
        <v/>
      </c>
      <c r="AN84" s="60" t="str">
        <f>IF('Registrar bienes de inversión'!AN84="","",VLOOKUP(CONCATENATE("SITUACION",'Registrar bienes de inversión'!AN84),'CODIGO-LITERAL'!$C:$D,2,FALSE))</f>
        <v/>
      </c>
      <c r="AO84" s="60" t="str">
        <f>IF('Registrar bienes de inversión'!AO84="","",'Registrar bienes de inversión'!AO84)</f>
        <v/>
      </c>
      <c r="AP84" s="60" t="str">
        <f>IF('Registrar bienes de inversión'!AP84="","",'Registrar bienes de inversión'!AP84)</f>
        <v/>
      </c>
    </row>
    <row r="85" spans="1:42" x14ac:dyDescent="0.25">
      <c r="A85" s="71" t="str">
        <f>IF('Registrar bienes de inversión'!A85="","",'Registrar bienes de inversión'!A85)</f>
        <v/>
      </c>
      <c r="B85" s="60" t="str">
        <f>IF('Registrar bienes de inversión'!B85="","",'Registrar bienes de inversión'!B85)</f>
        <v/>
      </c>
      <c r="C85" s="60" t="str">
        <f>IF('Registrar bienes de inversión'!C85="","",VLOOKUP(CONCATENATE("ACTIVIDAD",'Registrar bienes de inversión'!C85),'CODIGO-LITERAL'!$C:$D,2,FALSE))</f>
        <v/>
      </c>
      <c r="D85" s="60" t="str">
        <f>IF(OR(C85="C",C85="D"),"",IF(ISERROR(VLOOKUP(CONCATENATE(C85,'Registrar bienes de inversión'!D85),'CODIGO-LITERAL'!$C:$D,2,FALSE)),"",VLOOKUP(CONCATENATE(C85,'Registrar bienes de inversión'!D85),'CODIGO-LITERAL'!$C:$D,2,FALSE)))</f>
        <v/>
      </c>
      <c r="E85" s="60" t="str">
        <f>IF('Registrar bienes de inversión'!E85="","",'Registrar bienes de inversión'!E85)</f>
        <v/>
      </c>
      <c r="F85" s="60" t="str">
        <f>IF('Registrar bienes de inversión'!F85="","",VLOOKUP(CONCATENATE("TIPO BIEN",'Registrar bienes de inversión'!F85),'CODIGO-LITERAL'!$C:$D,2,FALSE))</f>
        <v/>
      </c>
      <c r="G85" s="60" t="str">
        <f>IF('Registrar bienes de inversión'!G85="","",'Registrar bienes de inversión'!G85)</f>
        <v/>
      </c>
      <c r="H85" s="60" t="str">
        <f>IF('Registrar bienes de inversión'!H85="","",'Registrar bienes de inversión'!H85)</f>
        <v/>
      </c>
      <c r="I85" s="64" t="str">
        <f>IF('Registrar bienes de inversión'!I85="","",'Registrar bienes de inversión'!I85)</f>
        <v/>
      </c>
      <c r="J85" s="72" t="str">
        <f>IF('Registrar bienes de inversión'!J85="","",'Registrar bienes de inversión'!J85)</f>
        <v/>
      </c>
      <c r="K85" s="72" t="str">
        <f>IF('Registrar bienes de inversión'!K85="","",'Registrar bienes de inversión'!K85)</f>
        <v/>
      </c>
      <c r="L85" s="60" t="str">
        <f>IF('Registrar bienes de inversión'!L85="","",VLOOKUP(CONCATENATE("METODO AMORTIZACION",'Registrar bienes de inversión'!L85),'CODIGO-LITERAL'!$C:$D,2,FALSE))</f>
        <v/>
      </c>
      <c r="M85" s="72" t="str">
        <f>IF('Registrar bienes de inversión'!M85="","",'Registrar bienes de inversión'!M85)</f>
        <v/>
      </c>
      <c r="N85" s="72" t="str">
        <f>IF('Registrar bienes de inversión'!N85="","",'Registrar bienes de inversión'!N85)</f>
        <v/>
      </c>
      <c r="O85" s="72" t="str">
        <f>IF('Registrar bienes de inversión'!O85="","",'Registrar bienes de inversión'!O85)</f>
        <v/>
      </c>
      <c r="P85" s="72" t="str">
        <f>IF('Registrar bienes de inversión'!P85="","",'Registrar bienes de inversión'!P85)</f>
        <v/>
      </c>
      <c r="Q85" s="72" t="str">
        <f>IF('Registrar bienes de inversión'!Q85="","",'Registrar bienes de inversión'!Q85)</f>
        <v/>
      </c>
      <c r="R85" s="64" t="str">
        <f>IF('Registrar bienes de inversión'!R85="","",'Registrar bienes de inversión'!R85)</f>
        <v/>
      </c>
      <c r="S85" s="60" t="str">
        <f>IF('Registrar bienes de inversión'!S85="","",'Registrar bienes de inversión'!S85)</f>
        <v/>
      </c>
      <c r="T85" s="60" t="str">
        <f>IF('Registrar bienes de inversión'!T85="","",'Registrar bienes de inversión'!T85)</f>
        <v/>
      </c>
      <c r="U85" s="60" t="str">
        <f>IF('Registrar bienes de inversión'!U85="","",'Registrar bienes de inversión'!U85)</f>
        <v/>
      </c>
      <c r="V85" s="60" t="str">
        <f>IF('Registrar bienes de inversión'!V85="","",'Registrar bienes de inversión'!V85)</f>
        <v/>
      </c>
      <c r="W85" s="60" t="str">
        <f>IF(OR('Registrar bienes de inversión'!W85="",LEFT('Registrar bienes de inversión'!W85,2)="01"),"",VLOOKUP(CONCATENATE("TIPO NIF",'Registrar bienes de inversión'!W85),'CODIGO-LITERAL'!$C:$D,2,FALSE))</f>
        <v/>
      </c>
      <c r="X85" s="60" t="str">
        <f>IF('Registrar bienes de inversión'!X85="","",'Registrar bienes de inversión'!X85)</f>
        <v/>
      </c>
      <c r="Y85" s="60" t="str">
        <f>IF('Registrar bienes de inversión'!Y85="","",'Registrar bienes de inversión'!Y85)</f>
        <v/>
      </c>
      <c r="Z85" s="60" t="str">
        <f>IF('Registrar bienes de inversión'!Z85="","",'Registrar bienes de inversión'!Z85)</f>
        <v/>
      </c>
      <c r="AA85" s="72" t="str">
        <f>IF('Registrar bienes de inversión'!AA85="","",ROUND('Registrar bienes de inversión'!AA85,2))</f>
        <v/>
      </c>
      <c r="AB85" s="72" t="str">
        <f>IF('Registrar bienes de inversión'!AB85="","",'Registrar bienes de inversión'!AB85)</f>
        <v/>
      </c>
      <c r="AC85" s="72" t="str">
        <f>IF('Registrar bienes de inversión'!AC85="","",ROUND('Registrar bienes de inversión'!AC85,2))</f>
        <v/>
      </c>
      <c r="AD85" s="72" t="str">
        <f>IF('Registrar bienes de inversión'!AD85="","",ROUND('Registrar bienes de inversión'!AD85,2))</f>
        <v/>
      </c>
      <c r="AE85" s="72" t="str">
        <f>IF('Registrar bienes de inversión'!AE85="","",ROUND('Registrar bienes de inversión'!AE85,2))</f>
        <v/>
      </c>
      <c r="AF85" s="72" t="str">
        <f>IF('Registrar bienes de inversión'!AF85="","",ROUND('Registrar bienes de inversión'!AF85,2))</f>
        <v/>
      </c>
      <c r="AG85" s="72" t="str">
        <f>IF('Registrar bienes de inversión'!AG85="","",ROUND('Registrar bienes de inversión'!AG85,2))</f>
        <v/>
      </c>
      <c r="AH85" s="64" t="str">
        <f>IF('Registrar bienes de inversión'!AH85="","",'Registrar bienes de inversión'!AH85)</f>
        <v/>
      </c>
      <c r="AI85" s="60" t="str">
        <f>IF('Registrar bienes de inversión'!AI85="","",VLOOKUP(CONCATENATE("CAUSA BAJA BIEN",'Registrar bienes de inversión'!AI85),'CODIGO-LITERAL'!$C:$D,2,FALSE))</f>
        <v/>
      </c>
      <c r="AJ85" s="60" t="str">
        <f>IF('Registrar bienes de inversión'!AJ85="","",'Registrar bienes de inversión'!AJ85)</f>
        <v/>
      </c>
      <c r="AK85" s="60" t="str">
        <f>IF('Registrar bienes de inversión'!AK85="","",'Registrar bienes de inversión'!AK85)</f>
        <v/>
      </c>
      <c r="AL85" s="60" t="str">
        <f>IF('Registrar bienes de inversión'!AL85="","",'Registrar bienes de inversión'!AL85)</f>
        <v/>
      </c>
      <c r="AM85" s="60" t="str">
        <f>IF('Registrar bienes de inversión'!AM85="","",'Registrar bienes de inversión'!AM85)</f>
        <v/>
      </c>
      <c r="AN85" s="60" t="str">
        <f>IF('Registrar bienes de inversión'!AN85="","",VLOOKUP(CONCATENATE("SITUACION",'Registrar bienes de inversión'!AN85),'CODIGO-LITERAL'!$C:$D,2,FALSE))</f>
        <v/>
      </c>
      <c r="AO85" s="60" t="str">
        <f>IF('Registrar bienes de inversión'!AO85="","",'Registrar bienes de inversión'!AO85)</f>
        <v/>
      </c>
      <c r="AP85" s="60" t="str">
        <f>IF('Registrar bienes de inversión'!AP85="","",'Registrar bienes de inversión'!AP85)</f>
        <v/>
      </c>
    </row>
    <row r="86" spans="1:42" x14ac:dyDescent="0.25">
      <c r="A86" s="71" t="str">
        <f>IF('Registrar bienes de inversión'!A86="","",'Registrar bienes de inversión'!A86)</f>
        <v/>
      </c>
      <c r="B86" s="60" t="str">
        <f>IF('Registrar bienes de inversión'!B86="","",'Registrar bienes de inversión'!B86)</f>
        <v/>
      </c>
      <c r="C86" s="60" t="str">
        <f>IF('Registrar bienes de inversión'!C86="","",VLOOKUP(CONCATENATE("ACTIVIDAD",'Registrar bienes de inversión'!C86),'CODIGO-LITERAL'!$C:$D,2,FALSE))</f>
        <v/>
      </c>
      <c r="D86" s="60" t="str">
        <f>IF(OR(C86="C",C86="D"),"",IF(ISERROR(VLOOKUP(CONCATENATE(C86,'Registrar bienes de inversión'!D86),'CODIGO-LITERAL'!$C:$D,2,FALSE)),"",VLOOKUP(CONCATENATE(C86,'Registrar bienes de inversión'!D86),'CODIGO-LITERAL'!$C:$D,2,FALSE)))</f>
        <v/>
      </c>
      <c r="E86" s="60" t="str">
        <f>IF('Registrar bienes de inversión'!E86="","",'Registrar bienes de inversión'!E86)</f>
        <v/>
      </c>
      <c r="F86" s="60" t="str">
        <f>IF('Registrar bienes de inversión'!F86="","",VLOOKUP(CONCATENATE("TIPO BIEN",'Registrar bienes de inversión'!F86),'CODIGO-LITERAL'!$C:$D,2,FALSE))</f>
        <v/>
      </c>
      <c r="G86" s="60" t="str">
        <f>IF('Registrar bienes de inversión'!G86="","",'Registrar bienes de inversión'!G86)</f>
        <v/>
      </c>
      <c r="H86" s="60" t="str">
        <f>IF('Registrar bienes de inversión'!H86="","",'Registrar bienes de inversión'!H86)</f>
        <v/>
      </c>
      <c r="I86" s="64" t="str">
        <f>IF('Registrar bienes de inversión'!I86="","",'Registrar bienes de inversión'!I86)</f>
        <v/>
      </c>
      <c r="J86" s="72" t="str">
        <f>IF('Registrar bienes de inversión'!J86="","",'Registrar bienes de inversión'!J86)</f>
        <v/>
      </c>
      <c r="K86" s="72" t="str">
        <f>IF('Registrar bienes de inversión'!K86="","",'Registrar bienes de inversión'!K86)</f>
        <v/>
      </c>
      <c r="L86" s="60" t="str">
        <f>IF('Registrar bienes de inversión'!L86="","",VLOOKUP(CONCATENATE("METODO AMORTIZACION",'Registrar bienes de inversión'!L86),'CODIGO-LITERAL'!$C:$D,2,FALSE))</f>
        <v/>
      </c>
      <c r="M86" s="72" t="str">
        <f>IF('Registrar bienes de inversión'!M86="","",'Registrar bienes de inversión'!M86)</f>
        <v/>
      </c>
      <c r="N86" s="72" t="str">
        <f>IF('Registrar bienes de inversión'!N86="","",'Registrar bienes de inversión'!N86)</f>
        <v/>
      </c>
      <c r="O86" s="72" t="str">
        <f>IF('Registrar bienes de inversión'!O86="","",'Registrar bienes de inversión'!O86)</f>
        <v/>
      </c>
      <c r="P86" s="72" t="str">
        <f>IF('Registrar bienes de inversión'!P86="","",'Registrar bienes de inversión'!P86)</f>
        <v/>
      </c>
      <c r="Q86" s="72" t="str">
        <f>IF('Registrar bienes de inversión'!Q86="","",'Registrar bienes de inversión'!Q86)</f>
        <v/>
      </c>
      <c r="R86" s="64" t="str">
        <f>IF('Registrar bienes de inversión'!R86="","",'Registrar bienes de inversión'!R86)</f>
        <v/>
      </c>
      <c r="S86" s="60" t="str">
        <f>IF('Registrar bienes de inversión'!S86="","",'Registrar bienes de inversión'!S86)</f>
        <v/>
      </c>
      <c r="T86" s="60" t="str">
        <f>IF('Registrar bienes de inversión'!T86="","",'Registrar bienes de inversión'!T86)</f>
        <v/>
      </c>
      <c r="U86" s="60" t="str">
        <f>IF('Registrar bienes de inversión'!U86="","",'Registrar bienes de inversión'!U86)</f>
        <v/>
      </c>
      <c r="V86" s="60" t="str">
        <f>IF('Registrar bienes de inversión'!V86="","",'Registrar bienes de inversión'!V86)</f>
        <v/>
      </c>
      <c r="W86" s="60" t="str">
        <f>IF(OR('Registrar bienes de inversión'!W86="",LEFT('Registrar bienes de inversión'!W86,2)="01"),"",VLOOKUP(CONCATENATE("TIPO NIF",'Registrar bienes de inversión'!W86),'CODIGO-LITERAL'!$C:$D,2,FALSE))</f>
        <v/>
      </c>
      <c r="X86" s="60" t="str">
        <f>IF('Registrar bienes de inversión'!X86="","",'Registrar bienes de inversión'!X86)</f>
        <v/>
      </c>
      <c r="Y86" s="60" t="str">
        <f>IF('Registrar bienes de inversión'!Y86="","",'Registrar bienes de inversión'!Y86)</f>
        <v/>
      </c>
      <c r="Z86" s="60" t="str">
        <f>IF('Registrar bienes de inversión'!Z86="","",'Registrar bienes de inversión'!Z86)</f>
        <v/>
      </c>
      <c r="AA86" s="72" t="str">
        <f>IF('Registrar bienes de inversión'!AA86="","",ROUND('Registrar bienes de inversión'!AA86,2))</f>
        <v/>
      </c>
      <c r="AB86" s="72" t="str">
        <f>IF('Registrar bienes de inversión'!AB86="","",'Registrar bienes de inversión'!AB86)</f>
        <v/>
      </c>
      <c r="AC86" s="72" t="str">
        <f>IF('Registrar bienes de inversión'!AC86="","",ROUND('Registrar bienes de inversión'!AC86,2))</f>
        <v/>
      </c>
      <c r="AD86" s="72" t="str">
        <f>IF('Registrar bienes de inversión'!AD86="","",ROUND('Registrar bienes de inversión'!AD86,2))</f>
        <v/>
      </c>
      <c r="AE86" s="72" t="str">
        <f>IF('Registrar bienes de inversión'!AE86="","",ROUND('Registrar bienes de inversión'!AE86,2))</f>
        <v/>
      </c>
      <c r="AF86" s="72" t="str">
        <f>IF('Registrar bienes de inversión'!AF86="","",ROUND('Registrar bienes de inversión'!AF86,2))</f>
        <v/>
      </c>
      <c r="AG86" s="72" t="str">
        <f>IF('Registrar bienes de inversión'!AG86="","",ROUND('Registrar bienes de inversión'!AG86,2))</f>
        <v/>
      </c>
      <c r="AH86" s="64" t="str">
        <f>IF('Registrar bienes de inversión'!AH86="","",'Registrar bienes de inversión'!AH86)</f>
        <v/>
      </c>
      <c r="AI86" s="60" t="str">
        <f>IF('Registrar bienes de inversión'!AI86="","",VLOOKUP(CONCATENATE("CAUSA BAJA BIEN",'Registrar bienes de inversión'!AI86),'CODIGO-LITERAL'!$C:$D,2,FALSE))</f>
        <v/>
      </c>
      <c r="AJ86" s="60" t="str">
        <f>IF('Registrar bienes de inversión'!AJ86="","",'Registrar bienes de inversión'!AJ86)</f>
        <v/>
      </c>
      <c r="AK86" s="60" t="str">
        <f>IF('Registrar bienes de inversión'!AK86="","",'Registrar bienes de inversión'!AK86)</f>
        <v/>
      </c>
      <c r="AL86" s="60" t="str">
        <f>IF('Registrar bienes de inversión'!AL86="","",'Registrar bienes de inversión'!AL86)</f>
        <v/>
      </c>
      <c r="AM86" s="60" t="str">
        <f>IF('Registrar bienes de inversión'!AM86="","",'Registrar bienes de inversión'!AM86)</f>
        <v/>
      </c>
      <c r="AN86" s="60" t="str">
        <f>IF('Registrar bienes de inversión'!AN86="","",VLOOKUP(CONCATENATE("SITUACION",'Registrar bienes de inversión'!AN86),'CODIGO-LITERAL'!$C:$D,2,FALSE))</f>
        <v/>
      </c>
      <c r="AO86" s="60" t="str">
        <f>IF('Registrar bienes de inversión'!AO86="","",'Registrar bienes de inversión'!AO86)</f>
        <v/>
      </c>
      <c r="AP86" s="60" t="str">
        <f>IF('Registrar bienes de inversión'!AP86="","",'Registrar bienes de inversión'!AP86)</f>
        <v/>
      </c>
    </row>
    <row r="87" spans="1:42" x14ac:dyDescent="0.25">
      <c r="A87" s="71" t="str">
        <f>IF('Registrar bienes de inversión'!A87="","",'Registrar bienes de inversión'!A87)</f>
        <v/>
      </c>
      <c r="B87" s="60" t="str">
        <f>IF('Registrar bienes de inversión'!B87="","",'Registrar bienes de inversión'!B87)</f>
        <v/>
      </c>
      <c r="C87" s="60" t="str">
        <f>IF('Registrar bienes de inversión'!C87="","",VLOOKUP(CONCATENATE("ACTIVIDAD",'Registrar bienes de inversión'!C87),'CODIGO-LITERAL'!$C:$D,2,FALSE))</f>
        <v/>
      </c>
      <c r="D87" s="60" t="str">
        <f>IF(OR(C87="C",C87="D"),"",IF(ISERROR(VLOOKUP(CONCATENATE(C87,'Registrar bienes de inversión'!D87),'CODIGO-LITERAL'!$C:$D,2,FALSE)),"",VLOOKUP(CONCATENATE(C87,'Registrar bienes de inversión'!D87),'CODIGO-LITERAL'!$C:$D,2,FALSE)))</f>
        <v/>
      </c>
      <c r="E87" s="60" t="str">
        <f>IF('Registrar bienes de inversión'!E87="","",'Registrar bienes de inversión'!E87)</f>
        <v/>
      </c>
      <c r="F87" s="60" t="str">
        <f>IF('Registrar bienes de inversión'!F87="","",VLOOKUP(CONCATENATE("TIPO BIEN",'Registrar bienes de inversión'!F87),'CODIGO-LITERAL'!$C:$D,2,FALSE))</f>
        <v/>
      </c>
      <c r="G87" s="60" t="str">
        <f>IF('Registrar bienes de inversión'!G87="","",'Registrar bienes de inversión'!G87)</f>
        <v/>
      </c>
      <c r="H87" s="60" t="str">
        <f>IF('Registrar bienes de inversión'!H87="","",'Registrar bienes de inversión'!H87)</f>
        <v/>
      </c>
      <c r="I87" s="64" t="str">
        <f>IF('Registrar bienes de inversión'!I87="","",'Registrar bienes de inversión'!I87)</f>
        <v/>
      </c>
      <c r="J87" s="72" t="str">
        <f>IF('Registrar bienes de inversión'!J87="","",'Registrar bienes de inversión'!J87)</f>
        <v/>
      </c>
      <c r="K87" s="72" t="str">
        <f>IF('Registrar bienes de inversión'!K87="","",'Registrar bienes de inversión'!K87)</f>
        <v/>
      </c>
      <c r="L87" s="60" t="str">
        <f>IF('Registrar bienes de inversión'!L87="","",VLOOKUP(CONCATENATE("METODO AMORTIZACION",'Registrar bienes de inversión'!L87),'CODIGO-LITERAL'!$C:$D,2,FALSE))</f>
        <v/>
      </c>
      <c r="M87" s="72" t="str">
        <f>IF('Registrar bienes de inversión'!M87="","",'Registrar bienes de inversión'!M87)</f>
        <v/>
      </c>
      <c r="N87" s="72" t="str">
        <f>IF('Registrar bienes de inversión'!N87="","",'Registrar bienes de inversión'!N87)</f>
        <v/>
      </c>
      <c r="O87" s="72" t="str">
        <f>IF('Registrar bienes de inversión'!O87="","",'Registrar bienes de inversión'!O87)</f>
        <v/>
      </c>
      <c r="P87" s="72" t="str">
        <f>IF('Registrar bienes de inversión'!P87="","",'Registrar bienes de inversión'!P87)</f>
        <v/>
      </c>
      <c r="Q87" s="72" t="str">
        <f>IF('Registrar bienes de inversión'!Q87="","",'Registrar bienes de inversión'!Q87)</f>
        <v/>
      </c>
      <c r="R87" s="64" t="str">
        <f>IF('Registrar bienes de inversión'!R87="","",'Registrar bienes de inversión'!R87)</f>
        <v/>
      </c>
      <c r="S87" s="60" t="str">
        <f>IF('Registrar bienes de inversión'!S87="","",'Registrar bienes de inversión'!S87)</f>
        <v/>
      </c>
      <c r="T87" s="60" t="str">
        <f>IF('Registrar bienes de inversión'!T87="","",'Registrar bienes de inversión'!T87)</f>
        <v/>
      </c>
      <c r="U87" s="60" t="str">
        <f>IF('Registrar bienes de inversión'!U87="","",'Registrar bienes de inversión'!U87)</f>
        <v/>
      </c>
      <c r="V87" s="60" t="str">
        <f>IF('Registrar bienes de inversión'!V87="","",'Registrar bienes de inversión'!V87)</f>
        <v/>
      </c>
      <c r="W87" s="60" t="str">
        <f>IF(OR('Registrar bienes de inversión'!W87="",LEFT('Registrar bienes de inversión'!W87,2)="01"),"",VLOOKUP(CONCATENATE("TIPO NIF",'Registrar bienes de inversión'!W87),'CODIGO-LITERAL'!$C:$D,2,FALSE))</f>
        <v/>
      </c>
      <c r="X87" s="60" t="str">
        <f>IF('Registrar bienes de inversión'!X87="","",'Registrar bienes de inversión'!X87)</f>
        <v/>
      </c>
      <c r="Y87" s="60" t="str">
        <f>IF('Registrar bienes de inversión'!Y87="","",'Registrar bienes de inversión'!Y87)</f>
        <v/>
      </c>
      <c r="Z87" s="60" t="str">
        <f>IF('Registrar bienes de inversión'!Z87="","",'Registrar bienes de inversión'!Z87)</f>
        <v/>
      </c>
      <c r="AA87" s="72" t="str">
        <f>IF('Registrar bienes de inversión'!AA87="","",ROUND('Registrar bienes de inversión'!AA87,2))</f>
        <v/>
      </c>
      <c r="AB87" s="72" t="str">
        <f>IF('Registrar bienes de inversión'!AB87="","",'Registrar bienes de inversión'!AB87)</f>
        <v/>
      </c>
      <c r="AC87" s="72" t="str">
        <f>IF('Registrar bienes de inversión'!AC87="","",ROUND('Registrar bienes de inversión'!AC87,2))</f>
        <v/>
      </c>
      <c r="AD87" s="72" t="str">
        <f>IF('Registrar bienes de inversión'!AD87="","",ROUND('Registrar bienes de inversión'!AD87,2))</f>
        <v/>
      </c>
      <c r="AE87" s="72" t="str">
        <f>IF('Registrar bienes de inversión'!AE87="","",ROUND('Registrar bienes de inversión'!AE87,2))</f>
        <v/>
      </c>
      <c r="AF87" s="72" t="str">
        <f>IF('Registrar bienes de inversión'!AF87="","",ROUND('Registrar bienes de inversión'!AF87,2))</f>
        <v/>
      </c>
      <c r="AG87" s="72" t="str">
        <f>IF('Registrar bienes de inversión'!AG87="","",ROUND('Registrar bienes de inversión'!AG87,2))</f>
        <v/>
      </c>
      <c r="AH87" s="64" t="str">
        <f>IF('Registrar bienes de inversión'!AH87="","",'Registrar bienes de inversión'!AH87)</f>
        <v/>
      </c>
      <c r="AI87" s="60" t="str">
        <f>IF('Registrar bienes de inversión'!AI87="","",VLOOKUP(CONCATENATE("CAUSA BAJA BIEN",'Registrar bienes de inversión'!AI87),'CODIGO-LITERAL'!$C:$D,2,FALSE))</f>
        <v/>
      </c>
      <c r="AJ87" s="60" t="str">
        <f>IF('Registrar bienes de inversión'!AJ87="","",'Registrar bienes de inversión'!AJ87)</f>
        <v/>
      </c>
      <c r="AK87" s="60" t="str">
        <f>IF('Registrar bienes de inversión'!AK87="","",'Registrar bienes de inversión'!AK87)</f>
        <v/>
      </c>
      <c r="AL87" s="60" t="str">
        <f>IF('Registrar bienes de inversión'!AL87="","",'Registrar bienes de inversión'!AL87)</f>
        <v/>
      </c>
      <c r="AM87" s="60" t="str">
        <f>IF('Registrar bienes de inversión'!AM87="","",'Registrar bienes de inversión'!AM87)</f>
        <v/>
      </c>
      <c r="AN87" s="60" t="str">
        <f>IF('Registrar bienes de inversión'!AN87="","",VLOOKUP(CONCATENATE("SITUACION",'Registrar bienes de inversión'!AN87),'CODIGO-LITERAL'!$C:$D,2,FALSE))</f>
        <v/>
      </c>
      <c r="AO87" s="60" t="str">
        <f>IF('Registrar bienes de inversión'!AO87="","",'Registrar bienes de inversión'!AO87)</f>
        <v/>
      </c>
      <c r="AP87" s="60" t="str">
        <f>IF('Registrar bienes de inversión'!AP87="","",'Registrar bienes de inversión'!AP87)</f>
        <v/>
      </c>
    </row>
    <row r="88" spans="1:42" x14ac:dyDescent="0.25">
      <c r="A88" s="71" t="str">
        <f>IF('Registrar bienes de inversión'!A88="","",'Registrar bienes de inversión'!A88)</f>
        <v/>
      </c>
      <c r="B88" s="60" t="str">
        <f>IF('Registrar bienes de inversión'!B88="","",'Registrar bienes de inversión'!B88)</f>
        <v/>
      </c>
      <c r="C88" s="60" t="str">
        <f>IF('Registrar bienes de inversión'!C88="","",VLOOKUP(CONCATENATE("ACTIVIDAD",'Registrar bienes de inversión'!C88),'CODIGO-LITERAL'!$C:$D,2,FALSE))</f>
        <v/>
      </c>
      <c r="D88" s="60" t="str">
        <f>IF(OR(C88="C",C88="D"),"",IF(ISERROR(VLOOKUP(CONCATENATE(C88,'Registrar bienes de inversión'!D88),'CODIGO-LITERAL'!$C:$D,2,FALSE)),"",VLOOKUP(CONCATENATE(C88,'Registrar bienes de inversión'!D88),'CODIGO-LITERAL'!$C:$D,2,FALSE)))</f>
        <v/>
      </c>
      <c r="E88" s="60" t="str">
        <f>IF('Registrar bienes de inversión'!E88="","",'Registrar bienes de inversión'!E88)</f>
        <v/>
      </c>
      <c r="F88" s="60" t="str">
        <f>IF('Registrar bienes de inversión'!F88="","",VLOOKUP(CONCATENATE("TIPO BIEN",'Registrar bienes de inversión'!F88),'CODIGO-LITERAL'!$C:$D,2,FALSE))</f>
        <v/>
      </c>
      <c r="G88" s="60" t="str">
        <f>IF('Registrar bienes de inversión'!G88="","",'Registrar bienes de inversión'!G88)</f>
        <v/>
      </c>
      <c r="H88" s="60" t="str">
        <f>IF('Registrar bienes de inversión'!H88="","",'Registrar bienes de inversión'!H88)</f>
        <v/>
      </c>
      <c r="I88" s="64" t="str">
        <f>IF('Registrar bienes de inversión'!I88="","",'Registrar bienes de inversión'!I88)</f>
        <v/>
      </c>
      <c r="J88" s="72" t="str">
        <f>IF('Registrar bienes de inversión'!J88="","",'Registrar bienes de inversión'!J88)</f>
        <v/>
      </c>
      <c r="K88" s="72" t="str">
        <f>IF('Registrar bienes de inversión'!K88="","",'Registrar bienes de inversión'!K88)</f>
        <v/>
      </c>
      <c r="L88" s="60" t="str">
        <f>IF('Registrar bienes de inversión'!L88="","",VLOOKUP(CONCATENATE("METODO AMORTIZACION",'Registrar bienes de inversión'!L88),'CODIGO-LITERAL'!$C:$D,2,FALSE))</f>
        <v/>
      </c>
      <c r="M88" s="72" t="str">
        <f>IF('Registrar bienes de inversión'!M88="","",'Registrar bienes de inversión'!M88)</f>
        <v/>
      </c>
      <c r="N88" s="72" t="str">
        <f>IF('Registrar bienes de inversión'!N88="","",'Registrar bienes de inversión'!N88)</f>
        <v/>
      </c>
      <c r="O88" s="72" t="str">
        <f>IF('Registrar bienes de inversión'!O88="","",'Registrar bienes de inversión'!O88)</f>
        <v/>
      </c>
      <c r="P88" s="72" t="str">
        <f>IF('Registrar bienes de inversión'!P88="","",'Registrar bienes de inversión'!P88)</f>
        <v/>
      </c>
      <c r="Q88" s="72" t="str">
        <f>IF('Registrar bienes de inversión'!Q88="","",'Registrar bienes de inversión'!Q88)</f>
        <v/>
      </c>
      <c r="R88" s="64" t="str">
        <f>IF('Registrar bienes de inversión'!R88="","",'Registrar bienes de inversión'!R88)</f>
        <v/>
      </c>
      <c r="S88" s="60" t="str">
        <f>IF('Registrar bienes de inversión'!S88="","",'Registrar bienes de inversión'!S88)</f>
        <v/>
      </c>
      <c r="T88" s="60" t="str">
        <f>IF('Registrar bienes de inversión'!T88="","",'Registrar bienes de inversión'!T88)</f>
        <v/>
      </c>
      <c r="U88" s="60" t="str">
        <f>IF('Registrar bienes de inversión'!U88="","",'Registrar bienes de inversión'!U88)</f>
        <v/>
      </c>
      <c r="V88" s="60" t="str">
        <f>IF('Registrar bienes de inversión'!V88="","",'Registrar bienes de inversión'!V88)</f>
        <v/>
      </c>
      <c r="W88" s="60" t="str">
        <f>IF(OR('Registrar bienes de inversión'!W88="",LEFT('Registrar bienes de inversión'!W88,2)="01"),"",VLOOKUP(CONCATENATE("TIPO NIF",'Registrar bienes de inversión'!W88),'CODIGO-LITERAL'!$C:$D,2,FALSE))</f>
        <v/>
      </c>
      <c r="X88" s="60" t="str">
        <f>IF('Registrar bienes de inversión'!X88="","",'Registrar bienes de inversión'!X88)</f>
        <v/>
      </c>
      <c r="Y88" s="60" t="str">
        <f>IF('Registrar bienes de inversión'!Y88="","",'Registrar bienes de inversión'!Y88)</f>
        <v/>
      </c>
      <c r="Z88" s="60" t="str">
        <f>IF('Registrar bienes de inversión'!Z88="","",'Registrar bienes de inversión'!Z88)</f>
        <v/>
      </c>
      <c r="AA88" s="72" t="str">
        <f>IF('Registrar bienes de inversión'!AA88="","",ROUND('Registrar bienes de inversión'!AA88,2))</f>
        <v/>
      </c>
      <c r="AB88" s="72" t="str">
        <f>IF('Registrar bienes de inversión'!AB88="","",'Registrar bienes de inversión'!AB88)</f>
        <v/>
      </c>
      <c r="AC88" s="72" t="str">
        <f>IF('Registrar bienes de inversión'!AC88="","",ROUND('Registrar bienes de inversión'!AC88,2))</f>
        <v/>
      </c>
      <c r="AD88" s="72" t="str">
        <f>IF('Registrar bienes de inversión'!AD88="","",ROUND('Registrar bienes de inversión'!AD88,2))</f>
        <v/>
      </c>
      <c r="AE88" s="72" t="str">
        <f>IF('Registrar bienes de inversión'!AE88="","",ROUND('Registrar bienes de inversión'!AE88,2))</f>
        <v/>
      </c>
      <c r="AF88" s="72" t="str">
        <f>IF('Registrar bienes de inversión'!AF88="","",ROUND('Registrar bienes de inversión'!AF88,2))</f>
        <v/>
      </c>
      <c r="AG88" s="72" t="str">
        <f>IF('Registrar bienes de inversión'!AG88="","",ROUND('Registrar bienes de inversión'!AG88,2))</f>
        <v/>
      </c>
      <c r="AH88" s="64" t="str">
        <f>IF('Registrar bienes de inversión'!AH88="","",'Registrar bienes de inversión'!AH88)</f>
        <v/>
      </c>
      <c r="AI88" s="60" t="str">
        <f>IF('Registrar bienes de inversión'!AI88="","",VLOOKUP(CONCATENATE("CAUSA BAJA BIEN",'Registrar bienes de inversión'!AI88),'CODIGO-LITERAL'!$C:$D,2,FALSE))</f>
        <v/>
      </c>
      <c r="AJ88" s="60" t="str">
        <f>IF('Registrar bienes de inversión'!AJ88="","",'Registrar bienes de inversión'!AJ88)</f>
        <v/>
      </c>
      <c r="AK88" s="60" t="str">
        <f>IF('Registrar bienes de inversión'!AK88="","",'Registrar bienes de inversión'!AK88)</f>
        <v/>
      </c>
      <c r="AL88" s="60" t="str">
        <f>IF('Registrar bienes de inversión'!AL88="","",'Registrar bienes de inversión'!AL88)</f>
        <v/>
      </c>
      <c r="AM88" s="60" t="str">
        <f>IF('Registrar bienes de inversión'!AM88="","",'Registrar bienes de inversión'!AM88)</f>
        <v/>
      </c>
      <c r="AN88" s="60" t="str">
        <f>IF('Registrar bienes de inversión'!AN88="","",VLOOKUP(CONCATENATE("SITUACION",'Registrar bienes de inversión'!AN88),'CODIGO-LITERAL'!$C:$D,2,FALSE))</f>
        <v/>
      </c>
      <c r="AO88" s="60" t="str">
        <f>IF('Registrar bienes de inversión'!AO88="","",'Registrar bienes de inversión'!AO88)</f>
        <v/>
      </c>
      <c r="AP88" s="60" t="str">
        <f>IF('Registrar bienes de inversión'!AP88="","",'Registrar bienes de inversión'!AP88)</f>
        <v/>
      </c>
    </row>
    <row r="89" spans="1:42" x14ac:dyDescent="0.25">
      <c r="A89" s="71" t="str">
        <f>IF('Registrar bienes de inversión'!A89="","",'Registrar bienes de inversión'!A89)</f>
        <v/>
      </c>
      <c r="B89" s="60" t="str">
        <f>IF('Registrar bienes de inversión'!B89="","",'Registrar bienes de inversión'!B89)</f>
        <v/>
      </c>
      <c r="C89" s="60" t="str">
        <f>IF('Registrar bienes de inversión'!C89="","",VLOOKUP(CONCATENATE("ACTIVIDAD",'Registrar bienes de inversión'!C89),'CODIGO-LITERAL'!$C:$D,2,FALSE))</f>
        <v/>
      </c>
      <c r="D89" s="60" t="str">
        <f>IF(OR(C89="C",C89="D"),"",IF(ISERROR(VLOOKUP(CONCATENATE(C89,'Registrar bienes de inversión'!D89),'CODIGO-LITERAL'!$C:$D,2,FALSE)),"",VLOOKUP(CONCATENATE(C89,'Registrar bienes de inversión'!D89),'CODIGO-LITERAL'!$C:$D,2,FALSE)))</f>
        <v/>
      </c>
      <c r="E89" s="60" t="str">
        <f>IF('Registrar bienes de inversión'!E89="","",'Registrar bienes de inversión'!E89)</f>
        <v/>
      </c>
      <c r="F89" s="60" t="str">
        <f>IF('Registrar bienes de inversión'!F89="","",VLOOKUP(CONCATENATE("TIPO BIEN",'Registrar bienes de inversión'!F89),'CODIGO-LITERAL'!$C:$D,2,FALSE))</f>
        <v/>
      </c>
      <c r="G89" s="60" t="str">
        <f>IF('Registrar bienes de inversión'!G89="","",'Registrar bienes de inversión'!G89)</f>
        <v/>
      </c>
      <c r="H89" s="60" t="str">
        <f>IF('Registrar bienes de inversión'!H89="","",'Registrar bienes de inversión'!H89)</f>
        <v/>
      </c>
      <c r="I89" s="64" t="str">
        <f>IF('Registrar bienes de inversión'!I89="","",'Registrar bienes de inversión'!I89)</f>
        <v/>
      </c>
      <c r="J89" s="72" t="str">
        <f>IF('Registrar bienes de inversión'!J89="","",'Registrar bienes de inversión'!J89)</f>
        <v/>
      </c>
      <c r="K89" s="72" t="str">
        <f>IF('Registrar bienes de inversión'!K89="","",'Registrar bienes de inversión'!K89)</f>
        <v/>
      </c>
      <c r="L89" s="60" t="str">
        <f>IF('Registrar bienes de inversión'!L89="","",VLOOKUP(CONCATENATE("METODO AMORTIZACION",'Registrar bienes de inversión'!L89),'CODIGO-LITERAL'!$C:$D,2,FALSE))</f>
        <v/>
      </c>
      <c r="M89" s="72" t="str">
        <f>IF('Registrar bienes de inversión'!M89="","",'Registrar bienes de inversión'!M89)</f>
        <v/>
      </c>
      <c r="N89" s="72" t="str">
        <f>IF('Registrar bienes de inversión'!N89="","",'Registrar bienes de inversión'!N89)</f>
        <v/>
      </c>
      <c r="O89" s="72" t="str">
        <f>IF('Registrar bienes de inversión'!O89="","",'Registrar bienes de inversión'!O89)</f>
        <v/>
      </c>
      <c r="P89" s="72" t="str">
        <f>IF('Registrar bienes de inversión'!P89="","",'Registrar bienes de inversión'!P89)</f>
        <v/>
      </c>
      <c r="Q89" s="72" t="str">
        <f>IF('Registrar bienes de inversión'!Q89="","",'Registrar bienes de inversión'!Q89)</f>
        <v/>
      </c>
      <c r="R89" s="64" t="str">
        <f>IF('Registrar bienes de inversión'!R89="","",'Registrar bienes de inversión'!R89)</f>
        <v/>
      </c>
      <c r="S89" s="60" t="str">
        <f>IF('Registrar bienes de inversión'!S89="","",'Registrar bienes de inversión'!S89)</f>
        <v/>
      </c>
      <c r="T89" s="60" t="str">
        <f>IF('Registrar bienes de inversión'!T89="","",'Registrar bienes de inversión'!T89)</f>
        <v/>
      </c>
      <c r="U89" s="60" t="str">
        <f>IF('Registrar bienes de inversión'!U89="","",'Registrar bienes de inversión'!U89)</f>
        <v/>
      </c>
      <c r="V89" s="60" t="str">
        <f>IF('Registrar bienes de inversión'!V89="","",'Registrar bienes de inversión'!V89)</f>
        <v/>
      </c>
      <c r="W89" s="60" t="str">
        <f>IF(OR('Registrar bienes de inversión'!W89="",LEFT('Registrar bienes de inversión'!W89,2)="01"),"",VLOOKUP(CONCATENATE("TIPO NIF",'Registrar bienes de inversión'!W89),'CODIGO-LITERAL'!$C:$D,2,FALSE))</f>
        <v/>
      </c>
      <c r="X89" s="60" t="str">
        <f>IF('Registrar bienes de inversión'!X89="","",'Registrar bienes de inversión'!X89)</f>
        <v/>
      </c>
      <c r="Y89" s="60" t="str">
        <f>IF('Registrar bienes de inversión'!Y89="","",'Registrar bienes de inversión'!Y89)</f>
        <v/>
      </c>
      <c r="Z89" s="60" t="str">
        <f>IF('Registrar bienes de inversión'!Z89="","",'Registrar bienes de inversión'!Z89)</f>
        <v/>
      </c>
      <c r="AA89" s="72" t="str">
        <f>IF('Registrar bienes de inversión'!AA89="","",ROUND('Registrar bienes de inversión'!AA89,2))</f>
        <v/>
      </c>
      <c r="AB89" s="72" t="str">
        <f>IF('Registrar bienes de inversión'!AB89="","",'Registrar bienes de inversión'!AB89)</f>
        <v/>
      </c>
      <c r="AC89" s="72" t="str">
        <f>IF('Registrar bienes de inversión'!AC89="","",ROUND('Registrar bienes de inversión'!AC89,2))</f>
        <v/>
      </c>
      <c r="AD89" s="72" t="str">
        <f>IF('Registrar bienes de inversión'!AD89="","",ROUND('Registrar bienes de inversión'!AD89,2))</f>
        <v/>
      </c>
      <c r="AE89" s="72" t="str">
        <f>IF('Registrar bienes de inversión'!AE89="","",ROUND('Registrar bienes de inversión'!AE89,2))</f>
        <v/>
      </c>
      <c r="AF89" s="72" t="str">
        <f>IF('Registrar bienes de inversión'!AF89="","",ROUND('Registrar bienes de inversión'!AF89,2))</f>
        <v/>
      </c>
      <c r="AG89" s="72" t="str">
        <f>IF('Registrar bienes de inversión'!AG89="","",ROUND('Registrar bienes de inversión'!AG89,2))</f>
        <v/>
      </c>
      <c r="AH89" s="64" t="str">
        <f>IF('Registrar bienes de inversión'!AH89="","",'Registrar bienes de inversión'!AH89)</f>
        <v/>
      </c>
      <c r="AI89" s="60" t="str">
        <f>IF('Registrar bienes de inversión'!AI89="","",VLOOKUP(CONCATENATE("CAUSA BAJA BIEN",'Registrar bienes de inversión'!AI89),'CODIGO-LITERAL'!$C:$D,2,FALSE))</f>
        <v/>
      </c>
      <c r="AJ89" s="60" t="str">
        <f>IF('Registrar bienes de inversión'!AJ89="","",'Registrar bienes de inversión'!AJ89)</f>
        <v/>
      </c>
      <c r="AK89" s="60" t="str">
        <f>IF('Registrar bienes de inversión'!AK89="","",'Registrar bienes de inversión'!AK89)</f>
        <v/>
      </c>
      <c r="AL89" s="60" t="str">
        <f>IF('Registrar bienes de inversión'!AL89="","",'Registrar bienes de inversión'!AL89)</f>
        <v/>
      </c>
      <c r="AM89" s="60" t="str">
        <f>IF('Registrar bienes de inversión'!AM89="","",'Registrar bienes de inversión'!AM89)</f>
        <v/>
      </c>
      <c r="AN89" s="60" t="str">
        <f>IF('Registrar bienes de inversión'!AN89="","",VLOOKUP(CONCATENATE("SITUACION",'Registrar bienes de inversión'!AN89),'CODIGO-LITERAL'!$C:$D,2,FALSE))</f>
        <v/>
      </c>
      <c r="AO89" s="60" t="str">
        <f>IF('Registrar bienes de inversión'!AO89="","",'Registrar bienes de inversión'!AO89)</f>
        <v/>
      </c>
      <c r="AP89" s="60" t="str">
        <f>IF('Registrar bienes de inversión'!AP89="","",'Registrar bienes de inversión'!AP89)</f>
        <v/>
      </c>
    </row>
    <row r="90" spans="1:42" x14ac:dyDescent="0.25">
      <c r="A90" s="71" t="str">
        <f>IF('Registrar bienes de inversión'!A90="","",'Registrar bienes de inversión'!A90)</f>
        <v/>
      </c>
      <c r="B90" s="60" t="str">
        <f>IF('Registrar bienes de inversión'!B90="","",'Registrar bienes de inversión'!B90)</f>
        <v/>
      </c>
      <c r="C90" s="60" t="str">
        <f>IF('Registrar bienes de inversión'!C90="","",VLOOKUP(CONCATENATE("ACTIVIDAD",'Registrar bienes de inversión'!C90),'CODIGO-LITERAL'!$C:$D,2,FALSE))</f>
        <v/>
      </c>
      <c r="D90" s="60" t="str">
        <f>IF(OR(C90="C",C90="D"),"",IF(ISERROR(VLOOKUP(CONCATENATE(C90,'Registrar bienes de inversión'!D90),'CODIGO-LITERAL'!$C:$D,2,FALSE)),"",VLOOKUP(CONCATENATE(C90,'Registrar bienes de inversión'!D90),'CODIGO-LITERAL'!$C:$D,2,FALSE)))</f>
        <v/>
      </c>
      <c r="E90" s="60" t="str">
        <f>IF('Registrar bienes de inversión'!E90="","",'Registrar bienes de inversión'!E90)</f>
        <v/>
      </c>
      <c r="F90" s="60" t="str">
        <f>IF('Registrar bienes de inversión'!F90="","",VLOOKUP(CONCATENATE("TIPO BIEN",'Registrar bienes de inversión'!F90),'CODIGO-LITERAL'!$C:$D,2,FALSE))</f>
        <v/>
      </c>
      <c r="G90" s="60" t="str">
        <f>IF('Registrar bienes de inversión'!G90="","",'Registrar bienes de inversión'!G90)</f>
        <v/>
      </c>
      <c r="H90" s="60" t="str">
        <f>IF('Registrar bienes de inversión'!H90="","",'Registrar bienes de inversión'!H90)</f>
        <v/>
      </c>
      <c r="I90" s="64" t="str">
        <f>IF('Registrar bienes de inversión'!I90="","",'Registrar bienes de inversión'!I90)</f>
        <v/>
      </c>
      <c r="J90" s="72" t="str">
        <f>IF('Registrar bienes de inversión'!J90="","",'Registrar bienes de inversión'!J90)</f>
        <v/>
      </c>
      <c r="K90" s="72" t="str">
        <f>IF('Registrar bienes de inversión'!K90="","",'Registrar bienes de inversión'!K90)</f>
        <v/>
      </c>
      <c r="L90" s="60" t="str">
        <f>IF('Registrar bienes de inversión'!L90="","",VLOOKUP(CONCATENATE("METODO AMORTIZACION",'Registrar bienes de inversión'!L90),'CODIGO-LITERAL'!$C:$D,2,FALSE))</f>
        <v/>
      </c>
      <c r="M90" s="72" t="str">
        <f>IF('Registrar bienes de inversión'!M90="","",'Registrar bienes de inversión'!M90)</f>
        <v/>
      </c>
      <c r="N90" s="72" t="str">
        <f>IF('Registrar bienes de inversión'!N90="","",'Registrar bienes de inversión'!N90)</f>
        <v/>
      </c>
      <c r="O90" s="72" t="str">
        <f>IF('Registrar bienes de inversión'!O90="","",'Registrar bienes de inversión'!O90)</f>
        <v/>
      </c>
      <c r="P90" s="72" t="str">
        <f>IF('Registrar bienes de inversión'!P90="","",'Registrar bienes de inversión'!P90)</f>
        <v/>
      </c>
      <c r="Q90" s="72" t="str">
        <f>IF('Registrar bienes de inversión'!Q90="","",'Registrar bienes de inversión'!Q90)</f>
        <v/>
      </c>
      <c r="R90" s="64" t="str">
        <f>IF('Registrar bienes de inversión'!R90="","",'Registrar bienes de inversión'!R90)</f>
        <v/>
      </c>
      <c r="S90" s="60" t="str">
        <f>IF('Registrar bienes de inversión'!S90="","",'Registrar bienes de inversión'!S90)</f>
        <v/>
      </c>
      <c r="T90" s="60" t="str">
        <f>IF('Registrar bienes de inversión'!T90="","",'Registrar bienes de inversión'!T90)</f>
        <v/>
      </c>
      <c r="U90" s="60" t="str">
        <f>IF('Registrar bienes de inversión'!U90="","",'Registrar bienes de inversión'!U90)</f>
        <v/>
      </c>
      <c r="V90" s="60" t="str">
        <f>IF('Registrar bienes de inversión'!V90="","",'Registrar bienes de inversión'!V90)</f>
        <v/>
      </c>
      <c r="W90" s="60" t="str">
        <f>IF(OR('Registrar bienes de inversión'!W90="",LEFT('Registrar bienes de inversión'!W90,2)="01"),"",VLOOKUP(CONCATENATE("TIPO NIF",'Registrar bienes de inversión'!W90),'CODIGO-LITERAL'!$C:$D,2,FALSE))</f>
        <v/>
      </c>
      <c r="X90" s="60" t="str">
        <f>IF('Registrar bienes de inversión'!X90="","",'Registrar bienes de inversión'!X90)</f>
        <v/>
      </c>
      <c r="Y90" s="60" t="str">
        <f>IF('Registrar bienes de inversión'!Y90="","",'Registrar bienes de inversión'!Y90)</f>
        <v/>
      </c>
      <c r="Z90" s="60" t="str">
        <f>IF('Registrar bienes de inversión'!Z90="","",'Registrar bienes de inversión'!Z90)</f>
        <v/>
      </c>
      <c r="AA90" s="72" t="str">
        <f>IF('Registrar bienes de inversión'!AA90="","",ROUND('Registrar bienes de inversión'!AA90,2))</f>
        <v/>
      </c>
      <c r="AB90" s="72" t="str">
        <f>IF('Registrar bienes de inversión'!AB90="","",'Registrar bienes de inversión'!AB90)</f>
        <v/>
      </c>
      <c r="AC90" s="72" t="str">
        <f>IF('Registrar bienes de inversión'!AC90="","",ROUND('Registrar bienes de inversión'!AC90,2))</f>
        <v/>
      </c>
      <c r="AD90" s="72" t="str">
        <f>IF('Registrar bienes de inversión'!AD90="","",ROUND('Registrar bienes de inversión'!AD90,2))</f>
        <v/>
      </c>
      <c r="AE90" s="72" t="str">
        <f>IF('Registrar bienes de inversión'!AE90="","",ROUND('Registrar bienes de inversión'!AE90,2))</f>
        <v/>
      </c>
      <c r="AF90" s="72" t="str">
        <f>IF('Registrar bienes de inversión'!AF90="","",ROUND('Registrar bienes de inversión'!AF90,2))</f>
        <v/>
      </c>
      <c r="AG90" s="72" t="str">
        <f>IF('Registrar bienes de inversión'!AG90="","",ROUND('Registrar bienes de inversión'!AG90,2))</f>
        <v/>
      </c>
      <c r="AH90" s="64" t="str">
        <f>IF('Registrar bienes de inversión'!AH90="","",'Registrar bienes de inversión'!AH90)</f>
        <v/>
      </c>
      <c r="AI90" s="60" t="str">
        <f>IF('Registrar bienes de inversión'!AI90="","",VLOOKUP(CONCATENATE("CAUSA BAJA BIEN",'Registrar bienes de inversión'!AI90),'CODIGO-LITERAL'!$C:$D,2,FALSE))</f>
        <v/>
      </c>
      <c r="AJ90" s="60" t="str">
        <f>IF('Registrar bienes de inversión'!AJ90="","",'Registrar bienes de inversión'!AJ90)</f>
        <v/>
      </c>
      <c r="AK90" s="60" t="str">
        <f>IF('Registrar bienes de inversión'!AK90="","",'Registrar bienes de inversión'!AK90)</f>
        <v/>
      </c>
      <c r="AL90" s="60" t="str">
        <f>IF('Registrar bienes de inversión'!AL90="","",'Registrar bienes de inversión'!AL90)</f>
        <v/>
      </c>
      <c r="AM90" s="60" t="str">
        <f>IF('Registrar bienes de inversión'!AM90="","",'Registrar bienes de inversión'!AM90)</f>
        <v/>
      </c>
      <c r="AN90" s="60" t="str">
        <f>IF('Registrar bienes de inversión'!AN90="","",VLOOKUP(CONCATENATE("SITUACION",'Registrar bienes de inversión'!AN90),'CODIGO-LITERAL'!$C:$D,2,FALSE))</f>
        <v/>
      </c>
      <c r="AO90" s="60" t="str">
        <f>IF('Registrar bienes de inversión'!AO90="","",'Registrar bienes de inversión'!AO90)</f>
        <v/>
      </c>
      <c r="AP90" s="60" t="str">
        <f>IF('Registrar bienes de inversión'!AP90="","",'Registrar bienes de inversión'!AP90)</f>
        <v/>
      </c>
    </row>
    <row r="91" spans="1:42" x14ac:dyDescent="0.25">
      <c r="A91" s="71" t="str">
        <f>IF('Registrar bienes de inversión'!A91="","",'Registrar bienes de inversión'!A91)</f>
        <v/>
      </c>
      <c r="B91" s="60" t="str">
        <f>IF('Registrar bienes de inversión'!B91="","",'Registrar bienes de inversión'!B91)</f>
        <v/>
      </c>
      <c r="C91" s="60" t="str">
        <f>IF('Registrar bienes de inversión'!C91="","",VLOOKUP(CONCATENATE("ACTIVIDAD",'Registrar bienes de inversión'!C91),'CODIGO-LITERAL'!$C:$D,2,FALSE))</f>
        <v/>
      </c>
      <c r="D91" s="60" t="str">
        <f>IF(OR(C91="C",C91="D"),"",IF(ISERROR(VLOOKUP(CONCATENATE(C91,'Registrar bienes de inversión'!D91),'CODIGO-LITERAL'!$C:$D,2,FALSE)),"",VLOOKUP(CONCATENATE(C91,'Registrar bienes de inversión'!D91),'CODIGO-LITERAL'!$C:$D,2,FALSE)))</f>
        <v/>
      </c>
      <c r="E91" s="60" t="str">
        <f>IF('Registrar bienes de inversión'!E91="","",'Registrar bienes de inversión'!E91)</f>
        <v/>
      </c>
      <c r="F91" s="60" t="str">
        <f>IF('Registrar bienes de inversión'!F91="","",VLOOKUP(CONCATENATE("TIPO BIEN",'Registrar bienes de inversión'!F91),'CODIGO-LITERAL'!$C:$D,2,FALSE))</f>
        <v/>
      </c>
      <c r="G91" s="60" t="str">
        <f>IF('Registrar bienes de inversión'!G91="","",'Registrar bienes de inversión'!G91)</f>
        <v/>
      </c>
      <c r="H91" s="60" t="str">
        <f>IF('Registrar bienes de inversión'!H91="","",'Registrar bienes de inversión'!H91)</f>
        <v/>
      </c>
      <c r="I91" s="64" t="str">
        <f>IF('Registrar bienes de inversión'!I91="","",'Registrar bienes de inversión'!I91)</f>
        <v/>
      </c>
      <c r="J91" s="72" t="str">
        <f>IF('Registrar bienes de inversión'!J91="","",'Registrar bienes de inversión'!J91)</f>
        <v/>
      </c>
      <c r="K91" s="72" t="str">
        <f>IF('Registrar bienes de inversión'!K91="","",'Registrar bienes de inversión'!K91)</f>
        <v/>
      </c>
      <c r="L91" s="60" t="str">
        <f>IF('Registrar bienes de inversión'!L91="","",VLOOKUP(CONCATENATE("METODO AMORTIZACION",'Registrar bienes de inversión'!L91),'CODIGO-LITERAL'!$C:$D,2,FALSE))</f>
        <v/>
      </c>
      <c r="M91" s="72" t="str">
        <f>IF('Registrar bienes de inversión'!M91="","",'Registrar bienes de inversión'!M91)</f>
        <v/>
      </c>
      <c r="N91" s="72" t="str">
        <f>IF('Registrar bienes de inversión'!N91="","",'Registrar bienes de inversión'!N91)</f>
        <v/>
      </c>
      <c r="O91" s="72" t="str">
        <f>IF('Registrar bienes de inversión'!O91="","",'Registrar bienes de inversión'!O91)</f>
        <v/>
      </c>
      <c r="P91" s="72" t="str">
        <f>IF('Registrar bienes de inversión'!P91="","",'Registrar bienes de inversión'!P91)</f>
        <v/>
      </c>
      <c r="Q91" s="72" t="str">
        <f>IF('Registrar bienes de inversión'!Q91="","",'Registrar bienes de inversión'!Q91)</f>
        <v/>
      </c>
      <c r="R91" s="64" t="str">
        <f>IF('Registrar bienes de inversión'!R91="","",'Registrar bienes de inversión'!R91)</f>
        <v/>
      </c>
      <c r="S91" s="60" t="str">
        <f>IF('Registrar bienes de inversión'!S91="","",'Registrar bienes de inversión'!S91)</f>
        <v/>
      </c>
      <c r="T91" s="60" t="str">
        <f>IF('Registrar bienes de inversión'!T91="","",'Registrar bienes de inversión'!T91)</f>
        <v/>
      </c>
      <c r="U91" s="60" t="str">
        <f>IF('Registrar bienes de inversión'!U91="","",'Registrar bienes de inversión'!U91)</f>
        <v/>
      </c>
      <c r="V91" s="60" t="str">
        <f>IF('Registrar bienes de inversión'!V91="","",'Registrar bienes de inversión'!V91)</f>
        <v/>
      </c>
      <c r="W91" s="60" t="str">
        <f>IF(OR('Registrar bienes de inversión'!W91="",LEFT('Registrar bienes de inversión'!W91,2)="01"),"",VLOOKUP(CONCATENATE("TIPO NIF",'Registrar bienes de inversión'!W91),'CODIGO-LITERAL'!$C:$D,2,FALSE))</f>
        <v/>
      </c>
      <c r="X91" s="60" t="str">
        <f>IF('Registrar bienes de inversión'!X91="","",'Registrar bienes de inversión'!X91)</f>
        <v/>
      </c>
      <c r="Y91" s="60" t="str">
        <f>IF('Registrar bienes de inversión'!Y91="","",'Registrar bienes de inversión'!Y91)</f>
        <v/>
      </c>
      <c r="Z91" s="60" t="str">
        <f>IF('Registrar bienes de inversión'!Z91="","",'Registrar bienes de inversión'!Z91)</f>
        <v/>
      </c>
      <c r="AA91" s="72" t="str">
        <f>IF('Registrar bienes de inversión'!AA91="","",ROUND('Registrar bienes de inversión'!AA91,2))</f>
        <v/>
      </c>
      <c r="AB91" s="72" t="str">
        <f>IF('Registrar bienes de inversión'!AB91="","",'Registrar bienes de inversión'!AB91)</f>
        <v/>
      </c>
      <c r="AC91" s="72" t="str">
        <f>IF('Registrar bienes de inversión'!AC91="","",ROUND('Registrar bienes de inversión'!AC91,2))</f>
        <v/>
      </c>
      <c r="AD91" s="72" t="str">
        <f>IF('Registrar bienes de inversión'!AD91="","",ROUND('Registrar bienes de inversión'!AD91,2))</f>
        <v/>
      </c>
      <c r="AE91" s="72" t="str">
        <f>IF('Registrar bienes de inversión'!AE91="","",ROUND('Registrar bienes de inversión'!AE91,2))</f>
        <v/>
      </c>
      <c r="AF91" s="72" t="str">
        <f>IF('Registrar bienes de inversión'!AF91="","",ROUND('Registrar bienes de inversión'!AF91,2))</f>
        <v/>
      </c>
      <c r="AG91" s="72" t="str">
        <f>IF('Registrar bienes de inversión'!AG91="","",ROUND('Registrar bienes de inversión'!AG91,2))</f>
        <v/>
      </c>
      <c r="AH91" s="64" t="str">
        <f>IF('Registrar bienes de inversión'!AH91="","",'Registrar bienes de inversión'!AH91)</f>
        <v/>
      </c>
      <c r="AI91" s="60" t="str">
        <f>IF('Registrar bienes de inversión'!AI91="","",VLOOKUP(CONCATENATE("CAUSA BAJA BIEN",'Registrar bienes de inversión'!AI91),'CODIGO-LITERAL'!$C:$D,2,FALSE))</f>
        <v/>
      </c>
      <c r="AJ91" s="60" t="str">
        <f>IF('Registrar bienes de inversión'!AJ91="","",'Registrar bienes de inversión'!AJ91)</f>
        <v/>
      </c>
      <c r="AK91" s="60" t="str">
        <f>IF('Registrar bienes de inversión'!AK91="","",'Registrar bienes de inversión'!AK91)</f>
        <v/>
      </c>
      <c r="AL91" s="60" t="str">
        <f>IF('Registrar bienes de inversión'!AL91="","",'Registrar bienes de inversión'!AL91)</f>
        <v/>
      </c>
      <c r="AM91" s="60" t="str">
        <f>IF('Registrar bienes de inversión'!AM91="","",'Registrar bienes de inversión'!AM91)</f>
        <v/>
      </c>
      <c r="AN91" s="60" t="str">
        <f>IF('Registrar bienes de inversión'!AN91="","",VLOOKUP(CONCATENATE("SITUACION",'Registrar bienes de inversión'!AN91),'CODIGO-LITERAL'!$C:$D,2,FALSE))</f>
        <v/>
      </c>
      <c r="AO91" s="60" t="str">
        <f>IF('Registrar bienes de inversión'!AO91="","",'Registrar bienes de inversión'!AO91)</f>
        <v/>
      </c>
      <c r="AP91" s="60" t="str">
        <f>IF('Registrar bienes de inversión'!AP91="","",'Registrar bienes de inversión'!AP91)</f>
        <v/>
      </c>
    </row>
    <row r="92" spans="1:42" x14ac:dyDescent="0.25">
      <c r="A92" s="71" t="str">
        <f>IF('Registrar bienes de inversión'!A92="","",'Registrar bienes de inversión'!A92)</f>
        <v/>
      </c>
      <c r="B92" s="60" t="str">
        <f>IF('Registrar bienes de inversión'!B92="","",'Registrar bienes de inversión'!B92)</f>
        <v/>
      </c>
      <c r="C92" s="60" t="str">
        <f>IF('Registrar bienes de inversión'!C92="","",VLOOKUP(CONCATENATE("ACTIVIDAD",'Registrar bienes de inversión'!C92),'CODIGO-LITERAL'!$C:$D,2,FALSE))</f>
        <v/>
      </c>
      <c r="D92" s="60" t="str">
        <f>IF(OR(C92="C",C92="D"),"",IF(ISERROR(VLOOKUP(CONCATENATE(C92,'Registrar bienes de inversión'!D92),'CODIGO-LITERAL'!$C:$D,2,FALSE)),"",VLOOKUP(CONCATENATE(C92,'Registrar bienes de inversión'!D92),'CODIGO-LITERAL'!$C:$D,2,FALSE)))</f>
        <v/>
      </c>
      <c r="E92" s="60" t="str">
        <f>IF('Registrar bienes de inversión'!E92="","",'Registrar bienes de inversión'!E92)</f>
        <v/>
      </c>
      <c r="F92" s="60" t="str">
        <f>IF('Registrar bienes de inversión'!F92="","",VLOOKUP(CONCATENATE("TIPO BIEN",'Registrar bienes de inversión'!F92),'CODIGO-LITERAL'!$C:$D,2,FALSE))</f>
        <v/>
      </c>
      <c r="G92" s="60" t="str">
        <f>IF('Registrar bienes de inversión'!G92="","",'Registrar bienes de inversión'!G92)</f>
        <v/>
      </c>
      <c r="H92" s="60" t="str">
        <f>IF('Registrar bienes de inversión'!H92="","",'Registrar bienes de inversión'!H92)</f>
        <v/>
      </c>
      <c r="I92" s="64" t="str">
        <f>IF('Registrar bienes de inversión'!I92="","",'Registrar bienes de inversión'!I92)</f>
        <v/>
      </c>
      <c r="J92" s="72" t="str">
        <f>IF('Registrar bienes de inversión'!J92="","",'Registrar bienes de inversión'!J92)</f>
        <v/>
      </c>
      <c r="K92" s="72" t="str">
        <f>IF('Registrar bienes de inversión'!K92="","",'Registrar bienes de inversión'!K92)</f>
        <v/>
      </c>
      <c r="L92" s="60" t="str">
        <f>IF('Registrar bienes de inversión'!L92="","",VLOOKUP(CONCATENATE("METODO AMORTIZACION",'Registrar bienes de inversión'!L92),'CODIGO-LITERAL'!$C:$D,2,FALSE))</f>
        <v/>
      </c>
      <c r="M92" s="72" t="str">
        <f>IF('Registrar bienes de inversión'!M92="","",'Registrar bienes de inversión'!M92)</f>
        <v/>
      </c>
      <c r="N92" s="72" t="str">
        <f>IF('Registrar bienes de inversión'!N92="","",'Registrar bienes de inversión'!N92)</f>
        <v/>
      </c>
      <c r="O92" s="72" t="str">
        <f>IF('Registrar bienes de inversión'!O92="","",'Registrar bienes de inversión'!O92)</f>
        <v/>
      </c>
      <c r="P92" s="72" t="str">
        <f>IF('Registrar bienes de inversión'!P92="","",'Registrar bienes de inversión'!P92)</f>
        <v/>
      </c>
      <c r="Q92" s="72" t="str">
        <f>IF('Registrar bienes de inversión'!Q92="","",'Registrar bienes de inversión'!Q92)</f>
        <v/>
      </c>
      <c r="R92" s="64" t="str">
        <f>IF('Registrar bienes de inversión'!R92="","",'Registrar bienes de inversión'!R92)</f>
        <v/>
      </c>
      <c r="S92" s="60" t="str">
        <f>IF('Registrar bienes de inversión'!S92="","",'Registrar bienes de inversión'!S92)</f>
        <v/>
      </c>
      <c r="T92" s="60" t="str">
        <f>IF('Registrar bienes de inversión'!T92="","",'Registrar bienes de inversión'!T92)</f>
        <v/>
      </c>
      <c r="U92" s="60" t="str">
        <f>IF('Registrar bienes de inversión'!U92="","",'Registrar bienes de inversión'!U92)</f>
        <v/>
      </c>
      <c r="V92" s="60" t="str">
        <f>IF('Registrar bienes de inversión'!V92="","",'Registrar bienes de inversión'!V92)</f>
        <v/>
      </c>
      <c r="W92" s="60" t="str">
        <f>IF(OR('Registrar bienes de inversión'!W92="",LEFT('Registrar bienes de inversión'!W92,2)="01"),"",VLOOKUP(CONCATENATE("TIPO NIF",'Registrar bienes de inversión'!W92),'CODIGO-LITERAL'!$C:$D,2,FALSE))</f>
        <v/>
      </c>
      <c r="X92" s="60" t="str">
        <f>IF('Registrar bienes de inversión'!X92="","",'Registrar bienes de inversión'!X92)</f>
        <v/>
      </c>
      <c r="Y92" s="60" t="str">
        <f>IF('Registrar bienes de inversión'!Y92="","",'Registrar bienes de inversión'!Y92)</f>
        <v/>
      </c>
      <c r="Z92" s="60" t="str">
        <f>IF('Registrar bienes de inversión'!Z92="","",'Registrar bienes de inversión'!Z92)</f>
        <v/>
      </c>
      <c r="AA92" s="72" t="str">
        <f>IF('Registrar bienes de inversión'!AA92="","",ROUND('Registrar bienes de inversión'!AA92,2))</f>
        <v/>
      </c>
      <c r="AB92" s="72" t="str">
        <f>IF('Registrar bienes de inversión'!AB92="","",'Registrar bienes de inversión'!AB92)</f>
        <v/>
      </c>
      <c r="AC92" s="72" t="str">
        <f>IF('Registrar bienes de inversión'!AC92="","",ROUND('Registrar bienes de inversión'!AC92,2))</f>
        <v/>
      </c>
      <c r="AD92" s="72" t="str">
        <f>IF('Registrar bienes de inversión'!AD92="","",ROUND('Registrar bienes de inversión'!AD92,2))</f>
        <v/>
      </c>
      <c r="AE92" s="72" t="str">
        <f>IF('Registrar bienes de inversión'!AE92="","",ROUND('Registrar bienes de inversión'!AE92,2))</f>
        <v/>
      </c>
      <c r="AF92" s="72" t="str">
        <f>IF('Registrar bienes de inversión'!AF92="","",ROUND('Registrar bienes de inversión'!AF92,2))</f>
        <v/>
      </c>
      <c r="AG92" s="72" t="str">
        <f>IF('Registrar bienes de inversión'!AG92="","",ROUND('Registrar bienes de inversión'!AG92,2))</f>
        <v/>
      </c>
      <c r="AH92" s="64" t="str">
        <f>IF('Registrar bienes de inversión'!AH92="","",'Registrar bienes de inversión'!AH92)</f>
        <v/>
      </c>
      <c r="AI92" s="60" t="str">
        <f>IF('Registrar bienes de inversión'!AI92="","",VLOOKUP(CONCATENATE("CAUSA BAJA BIEN",'Registrar bienes de inversión'!AI92),'CODIGO-LITERAL'!$C:$D,2,FALSE))</f>
        <v/>
      </c>
      <c r="AJ92" s="60" t="str">
        <f>IF('Registrar bienes de inversión'!AJ92="","",'Registrar bienes de inversión'!AJ92)</f>
        <v/>
      </c>
      <c r="AK92" s="60" t="str">
        <f>IF('Registrar bienes de inversión'!AK92="","",'Registrar bienes de inversión'!AK92)</f>
        <v/>
      </c>
      <c r="AL92" s="60" t="str">
        <f>IF('Registrar bienes de inversión'!AL92="","",'Registrar bienes de inversión'!AL92)</f>
        <v/>
      </c>
      <c r="AM92" s="60" t="str">
        <f>IF('Registrar bienes de inversión'!AM92="","",'Registrar bienes de inversión'!AM92)</f>
        <v/>
      </c>
      <c r="AN92" s="60" t="str">
        <f>IF('Registrar bienes de inversión'!AN92="","",VLOOKUP(CONCATENATE("SITUACION",'Registrar bienes de inversión'!AN92),'CODIGO-LITERAL'!$C:$D,2,FALSE))</f>
        <v/>
      </c>
      <c r="AO92" s="60" t="str">
        <f>IF('Registrar bienes de inversión'!AO92="","",'Registrar bienes de inversión'!AO92)</f>
        <v/>
      </c>
      <c r="AP92" s="60" t="str">
        <f>IF('Registrar bienes de inversión'!AP92="","",'Registrar bienes de inversión'!AP92)</f>
        <v/>
      </c>
    </row>
    <row r="93" spans="1:42" x14ac:dyDescent="0.25">
      <c r="A93" s="71" t="str">
        <f>IF('Registrar bienes de inversión'!A93="","",'Registrar bienes de inversión'!A93)</f>
        <v/>
      </c>
      <c r="B93" s="60" t="str">
        <f>IF('Registrar bienes de inversión'!B93="","",'Registrar bienes de inversión'!B93)</f>
        <v/>
      </c>
      <c r="C93" s="60" t="str">
        <f>IF('Registrar bienes de inversión'!C93="","",VLOOKUP(CONCATENATE("ACTIVIDAD",'Registrar bienes de inversión'!C93),'CODIGO-LITERAL'!$C:$D,2,FALSE))</f>
        <v/>
      </c>
      <c r="D93" s="60" t="str">
        <f>IF(OR(C93="C",C93="D"),"",IF(ISERROR(VLOOKUP(CONCATENATE(C93,'Registrar bienes de inversión'!D93),'CODIGO-LITERAL'!$C:$D,2,FALSE)),"",VLOOKUP(CONCATENATE(C93,'Registrar bienes de inversión'!D93),'CODIGO-LITERAL'!$C:$D,2,FALSE)))</f>
        <v/>
      </c>
      <c r="E93" s="60" t="str">
        <f>IF('Registrar bienes de inversión'!E93="","",'Registrar bienes de inversión'!E93)</f>
        <v/>
      </c>
      <c r="F93" s="60" t="str">
        <f>IF('Registrar bienes de inversión'!F93="","",VLOOKUP(CONCATENATE("TIPO BIEN",'Registrar bienes de inversión'!F93),'CODIGO-LITERAL'!$C:$D,2,FALSE))</f>
        <v/>
      </c>
      <c r="G93" s="60" t="str">
        <f>IF('Registrar bienes de inversión'!G93="","",'Registrar bienes de inversión'!G93)</f>
        <v/>
      </c>
      <c r="H93" s="60" t="str">
        <f>IF('Registrar bienes de inversión'!H93="","",'Registrar bienes de inversión'!H93)</f>
        <v/>
      </c>
      <c r="I93" s="64" t="str">
        <f>IF('Registrar bienes de inversión'!I93="","",'Registrar bienes de inversión'!I93)</f>
        <v/>
      </c>
      <c r="J93" s="72" t="str">
        <f>IF('Registrar bienes de inversión'!J93="","",'Registrar bienes de inversión'!J93)</f>
        <v/>
      </c>
      <c r="K93" s="72" t="str">
        <f>IF('Registrar bienes de inversión'!K93="","",'Registrar bienes de inversión'!K93)</f>
        <v/>
      </c>
      <c r="L93" s="60" t="str">
        <f>IF('Registrar bienes de inversión'!L93="","",VLOOKUP(CONCATENATE("METODO AMORTIZACION",'Registrar bienes de inversión'!L93),'CODIGO-LITERAL'!$C:$D,2,FALSE))</f>
        <v/>
      </c>
      <c r="M93" s="72" t="str">
        <f>IF('Registrar bienes de inversión'!M93="","",'Registrar bienes de inversión'!M93)</f>
        <v/>
      </c>
      <c r="N93" s="72" t="str">
        <f>IF('Registrar bienes de inversión'!N93="","",'Registrar bienes de inversión'!N93)</f>
        <v/>
      </c>
      <c r="O93" s="72" t="str">
        <f>IF('Registrar bienes de inversión'!O93="","",'Registrar bienes de inversión'!O93)</f>
        <v/>
      </c>
      <c r="P93" s="72" t="str">
        <f>IF('Registrar bienes de inversión'!P93="","",'Registrar bienes de inversión'!P93)</f>
        <v/>
      </c>
      <c r="Q93" s="72" t="str">
        <f>IF('Registrar bienes de inversión'!Q93="","",'Registrar bienes de inversión'!Q93)</f>
        <v/>
      </c>
      <c r="R93" s="64" t="str">
        <f>IF('Registrar bienes de inversión'!R93="","",'Registrar bienes de inversión'!R93)</f>
        <v/>
      </c>
      <c r="S93" s="60" t="str">
        <f>IF('Registrar bienes de inversión'!S93="","",'Registrar bienes de inversión'!S93)</f>
        <v/>
      </c>
      <c r="T93" s="60" t="str">
        <f>IF('Registrar bienes de inversión'!T93="","",'Registrar bienes de inversión'!T93)</f>
        <v/>
      </c>
      <c r="U93" s="60" t="str">
        <f>IF('Registrar bienes de inversión'!U93="","",'Registrar bienes de inversión'!U93)</f>
        <v/>
      </c>
      <c r="V93" s="60" t="str">
        <f>IF('Registrar bienes de inversión'!V93="","",'Registrar bienes de inversión'!V93)</f>
        <v/>
      </c>
      <c r="W93" s="60" t="str">
        <f>IF(OR('Registrar bienes de inversión'!W93="",LEFT('Registrar bienes de inversión'!W93,2)="01"),"",VLOOKUP(CONCATENATE("TIPO NIF",'Registrar bienes de inversión'!W93),'CODIGO-LITERAL'!$C:$D,2,FALSE))</f>
        <v/>
      </c>
      <c r="X93" s="60" t="str">
        <f>IF('Registrar bienes de inversión'!X93="","",'Registrar bienes de inversión'!X93)</f>
        <v/>
      </c>
      <c r="Y93" s="60" t="str">
        <f>IF('Registrar bienes de inversión'!Y93="","",'Registrar bienes de inversión'!Y93)</f>
        <v/>
      </c>
      <c r="Z93" s="60" t="str">
        <f>IF('Registrar bienes de inversión'!Z93="","",'Registrar bienes de inversión'!Z93)</f>
        <v/>
      </c>
      <c r="AA93" s="72" t="str">
        <f>IF('Registrar bienes de inversión'!AA93="","",ROUND('Registrar bienes de inversión'!AA93,2))</f>
        <v/>
      </c>
      <c r="AB93" s="72" t="str">
        <f>IF('Registrar bienes de inversión'!AB93="","",'Registrar bienes de inversión'!AB93)</f>
        <v/>
      </c>
      <c r="AC93" s="72" t="str">
        <f>IF('Registrar bienes de inversión'!AC93="","",ROUND('Registrar bienes de inversión'!AC93,2))</f>
        <v/>
      </c>
      <c r="AD93" s="72" t="str">
        <f>IF('Registrar bienes de inversión'!AD93="","",ROUND('Registrar bienes de inversión'!AD93,2))</f>
        <v/>
      </c>
      <c r="AE93" s="72" t="str">
        <f>IF('Registrar bienes de inversión'!AE93="","",ROUND('Registrar bienes de inversión'!AE93,2))</f>
        <v/>
      </c>
      <c r="AF93" s="72" t="str">
        <f>IF('Registrar bienes de inversión'!AF93="","",ROUND('Registrar bienes de inversión'!AF93,2))</f>
        <v/>
      </c>
      <c r="AG93" s="72" t="str">
        <f>IF('Registrar bienes de inversión'!AG93="","",ROUND('Registrar bienes de inversión'!AG93,2))</f>
        <v/>
      </c>
      <c r="AH93" s="64" t="str">
        <f>IF('Registrar bienes de inversión'!AH93="","",'Registrar bienes de inversión'!AH93)</f>
        <v/>
      </c>
      <c r="AI93" s="60" t="str">
        <f>IF('Registrar bienes de inversión'!AI93="","",VLOOKUP(CONCATENATE("CAUSA BAJA BIEN",'Registrar bienes de inversión'!AI93),'CODIGO-LITERAL'!$C:$D,2,FALSE))</f>
        <v/>
      </c>
      <c r="AJ93" s="60" t="str">
        <f>IF('Registrar bienes de inversión'!AJ93="","",'Registrar bienes de inversión'!AJ93)</f>
        <v/>
      </c>
      <c r="AK93" s="60" t="str">
        <f>IF('Registrar bienes de inversión'!AK93="","",'Registrar bienes de inversión'!AK93)</f>
        <v/>
      </c>
      <c r="AL93" s="60" t="str">
        <f>IF('Registrar bienes de inversión'!AL93="","",'Registrar bienes de inversión'!AL93)</f>
        <v/>
      </c>
      <c r="AM93" s="60" t="str">
        <f>IF('Registrar bienes de inversión'!AM93="","",'Registrar bienes de inversión'!AM93)</f>
        <v/>
      </c>
      <c r="AN93" s="60" t="str">
        <f>IF('Registrar bienes de inversión'!AN93="","",VLOOKUP(CONCATENATE("SITUACION",'Registrar bienes de inversión'!AN93),'CODIGO-LITERAL'!$C:$D,2,FALSE))</f>
        <v/>
      </c>
      <c r="AO93" s="60" t="str">
        <f>IF('Registrar bienes de inversión'!AO93="","",'Registrar bienes de inversión'!AO93)</f>
        <v/>
      </c>
      <c r="AP93" s="60" t="str">
        <f>IF('Registrar bienes de inversión'!AP93="","",'Registrar bienes de inversión'!AP93)</f>
        <v/>
      </c>
    </row>
    <row r="94" spans="1:42" x14ac:dyDescent="0.25">
      <c r="A94" s="71" t="str">
        <f>IF('Registrar bienes de inversión'!A94="","",'Registrar bienes de inversión'!A94)</f>
        <v/>
      </c>
      <c r="B94" s="60" t="str">
        <f>IF('Registrar bienes de inversión'!B94="","",'Registrar bienes de inversión'!B94)</f>
        <v/>
      </c>
      <c r="C94" s="60" t="str">
        <f>IF('Registrar bienes de inversión'!C94="","",VLOOKUP(CONCATENATE("ACTIVIDAD",'Registrar bienes de inversión'!C94),'CODIGO-LITERAL'!$C:$D,2,FALSE))</f>
        <v/>
      </c>
      <c r="D94" s="60" t="str">
        <f>IF(OR(C94="C",C94="D"),"",IF(ISERROR(VLOOKUP(CONCATENATE(C94,'Registrar bienes de inversión'!D94),'CODIGO-LITERAL'!$C:$D,2,FALSE)),"",VLOOKUP(CONCATENATE(C94,'Registrar bienes de inversión'!D94),'CODIGO-LITERAL'!$C:$D,2,FALSE)))</f>
        <v/>
      </c>
      <c r="E94" s="60" t="str">
        <f>IF('Registrar bienes de inversión'!E94="","",'Registrar bienes de inversión'!E94)</f>
        <v/>
      </c>
      <c r="F94" s="60" t="str">
        <f>IF('Registrar bienes de inversión'!F94="","",VLOOKUP(CONCATENATE("TIPO BIEN",'Registrar bienes de inversión'!F94),'CODIGO-LITERAL'!$C:$D,2,FALSE))</f>
        <v/>
      </c>
      <c r="G94" s="60" t="str">
        <f>IF('Registrar bienes de inversión'!G94="","",'Registrar bienes de inversión'!G94)</f>
        <v/>
      </c>
      <c r="H94" s="60" t="str">
        <f>IF('Registrar bienes de inversión'!H94="","",'Registrar bienes de inversión'!H94)</f>
        <v/>
      </c>
      <c r="I94" s="64" t="str">
        <f>IF('Registrar bienes de inversión'!I94="","",'Registrar bienes de inversión'!I94)</f>
        <v/>
      </c>
      <c r="J94" s="72" t="str">
        <f>IF('Registrar bienes de inversión'!J94="","",'Registrar bienes de inversión'!J94)</f>
        <v/>
      </c>
      <c r="K94" s="72" t="str">
        <f>IF('Registrar bienes de inversión'!K94="","",'Registrar bienes de inversión'!K94)</f>
        <v/>
      </c>
      <c r="L94" s="60" t="str">
        <f>IF('Registrar bienes de inversión'!L94="","",VLOOKUP(CONCATENATE("METODO AMORTIZACION",'Registrar bienes de inversión'!L94),'CODIGO-LITERAL'!$C:$D,2,FALSE))</f>
        <v/>
      </c>
      <c r="M94" s="72" t="str">
        <f>IF('Registrar bienes de inversión'!M94="","",'Registrar bienes de inversión'!M94)</f>
        <v/>
      </c>
      <c r="N94" s="72" t="str">
        <f>IF('Registrar bienes de inversión'!N94="","",'Registrar bienes de inversión'!N94)</f>
        <v/>
      </c>
      <c r="O94" s="72" t="str">
        <f>IF('Registrar bienes de inversión'!O94="","",'Registrar bienes de inversión'!O94)</f>
        <v/>
      </c>
      <c r="P94" s="72" t="str">
        <f>IF('Registrar bienes de inversión'!P94="","",'Registrar bienes de inversión'!P94)</f>
        <v/>
      </c>
      <c r="Q94" s="72" t="str">
        <f>IF('Registrar bienes de inversión'!Q94="","",'Registrar bienes de inversión'!Q94)</f>
        <v/>
      </c>
      <c r="R94" s="64" t="str">
        <f>IF('Registrar bienes de inversión'!R94="","",'Registrar bienes de inversión'!R94)</f>
        <v/>
      </c>
      <c r="S94" s="60" t="str">
        <f>IF('Registrar bienes de inversión'!S94="","",'Registrar bienes de inversión'!S94)</f>
        <v/>
      </c>
      <c r="T94" s="60" t="str">
        <f>IF('Registrar bienes de inversión'!T94="","",'Registrar bienes de inversión'!T94)</f>
        <v/>
      </c>
      <c r="U94" s="60" t="str">
        <f>IF('Registrar bienes de inversión'!U94="","",'Registrar bienes de inversión'!U94)</f>
        <v/>
      </c>
      <c r="V94" s="60" t="str">
        <f>IF('Registrar bienes de inversión'!V94="","",'Registrar bienes de inversión'!V94)</f>
        <v/>
      </c>
      <c r="W94" s="60" t="str">
        <f>IF(OR('Registrar bienes de inversión'!W94="",LEFT('Registrar bienes de inversión'!W94,2)="01"),"",VLOOKUP(CONCATENATE("TIPO NIF",'Registrar bienes de inversión'!W94),'CODIGO-LITERAL'!$C:$D,2,FALSE))</f>
        <v/>
      </c>
      <c r="X94" s="60" t="str">
        <f>IF('Registrar bienes de inversión'!X94="","",'Registrar bienes de inversión'!X94)</f>
        <v/>
      </c>
      <c r="Y94" s="60" t="str">
        <f>IF('Registrar bienes de inversión'!Y94="","",'Registrar bienes de inversión'!Y94)</f>
        <v/>
      </c>
      <c r="Z94" s="60" t="str">
        <f>IF('Registrar bienes de inversión'!Z94="","",'Registrar bienes de inversión'!Z94)</f>
        <v/>
      </c>
      <c r="AA94" s="72" t="str">
        <f>IF('Registrar bienes de inversión'!AA94="","",ROUND('Registrar bienes de inversión'!AA94,2))</f>
        <v/>
      </c>
      <c r="AB94" s="72" t="str">
        <f>IF('Registrar bienes de inversión'!AB94="","",'Registrar bienes de inversión'!AB94)</f>
        <v/>
      </c>
      <c r="AC94" s="72" t="str">
        <f>IF('Registrar bienes de inversión'!AC94="","",ROUND('Registrar bienes de inversión'!AC94,2))</f>
        <v/>
      </c>
      <c r="AD94" s="72" t="str">
        <f>IF('Registrar bienes de inversión'!AD94="","",ROUND('Registrar bienes de inversión'!AD94,2))</f>
        <v/>
      </c>
      <c r="AE94" s="72" t="str">
        <f>IF('Registrar bienes de inversión'!AE94="","",ROUND('Registrar bienes de inversión'!AE94,2))</f>
        <v/>
      </c>
      <c r="AF94" s="72" t="str">
        <f>IF('Registrar bienes de inversión'!AF94="","",ROUND('Registrar bienes de inversión'!AF94,2))</f>
        <v/>
      </c>
      <c r="AG94" s="72" t="str">
        <f>IF('Registrar bienes de inversión'!AG94="","",ROUND('Registrar bienes de inversión'!AG94,2))</f>
        <v/>
      </c>
      <c r="AH94" s="64" t="str">
        <f>IF('Registrar bienes de inversión'!AH94="","",'Registrar bienes de inversión'!AH94)</f>
        <v/>
      </c>
      <c r="AI94" s="60" t="str">
        <f>IF('Registrar bienes de inversión'!AI94="","",VLOOKUP(CONCATENATE("CAUSA BAJA BIEN",'Registrar bienes de inversión'!AI94),'CODIGO-LITERAL'!$C:$D,2,FALSE))</f>
        <v/>
      </c>
      <c r="AJ94" s="60" t="str">
        <f>IF('Registrar bienes de inversión'!AJ94="","",'Registrar bienes de inversión'!AJ94)</f>
        <v/>
      </c>
      <c r="AK94" s="60" t="str">
        <f>IF('Registrar bienes de inversión'!AK94="","",'Registrar bienes de inversión'!AK94)</f>
        <v/>
      </c>
      <c r="AL94" s="60" t="str">
        <f>IF('Registrar bienes de inversión'!AL94="","",'Registrar bienes de inversión'!AL94)</f>
        <v/>
      </c>
      <c r="AM94" s="60" t="str">
        <f>IF('Registrar bienes de inversión'!AM94="","",'Registrar bienes de inversión'!AM94)</f>
        <v/>
      </c>
      <c r="AN94" s="60" t="str">
        <f>IF('Registrar bienes de inversión'!AN94="","",VLOOKUP(CONCATENATE("SITUACION",'Registrar bienes de inversión'!AN94),'CODIGO-LITERAL'!$C:$D,2,FALSE))</f>
        <v/>
      </c>
      <c r="AO94" s="60" t="str">
        <f>IF('Registrar bienes de inversión'!AO94="","",'Registrar bienes de inversión'!AO94)</f>
        <v/>
      </c>
      <c r="AP94" s="60" t="str">
        <f>IF('Registrar bienes de inversión'!AP94="","",'Registrar bienes de inversión'!AP94)</f>
        <v/>
      </c>
    </row>
    <row r="95" spans="1:42" x14ac:dyDescent="0.25">
      <c r="A95" s="71" t="str">
        <f>IF('Registrar bienes de inversión'!A95="","",'Registrar bienes de inversión'!A95)</f>
        <v/>
      </c>
      <c r="B95" s="60" t="str">
        <f>IF('Registrar bienes de inversión'!B95="","",'Registrar bienes de inversión'!B95)</f>
        <v/>
      </c>
      <c r="C95" s="60" t="str">
        <f>IF('Registrar bienes de inversión'!C95="","",VLOOKUP(CONCATENATE("ACTIVIDAD",'Registrar bienes de inversión'!C95),'CODIGO-LITERAL'!$C:$D,2,FALSE))</f>
        <v/>
      </c>
      <c r="D95" s="60" t="str">
        <f>IF(OR(C95="C",C95="D"),"",IF(ISERROR(VLOOKUP(CONCATENATE(C95,'Registrar bienes de inversión'!D95),'CODIGO-LITERAL'!$C:$D,2,FALSE)),"",VLOOKUP(CONCATENATE(C95,'Registrar bienes de inversión'!D95),'CODIGO-LITERAL'!$C:$D,2,FALSE)))</f>
        <v/>
      </c>
      <c r="E95" s="60" t="str">
        <f>IF('Registrar bienes de inversión'!E95="","",'Registrar bienes de inversión'!E95)</f>
        <v/>
      </c>
      <c r="F95" s="60" t="str">
        <f>IF('Registrar bienes de inversión'!F95="","",VLOOKUP(CONCATENATE("TIPO BIEN",'Registrar bienes de inversión'!F95),'CODIGO-LITERAL'!$C:$D,2,FALSE))</f>
        <v/>
      </c>
      <c r="G95" s="60" t="str">
        <f>IF('Registrar bienes de inversión'!G95="","",'Registrar bienes de inversión'!G95)</f>
        <v/>
      </c>
      <c r="H95" s="60" t="str">
        <f>IF('Registrar bienes de inversión'!H95="","",'Registrar bienes de inversión'!H95)</f>
        <v/>
      </c>
      <c r="I95" s="64" t="str">
        <f>IF('Registrar bienes de inversión'!I95="","",'Registrar bienes de inversión'!I95)</f>
        <v/>
      </c>
      <c r="J95" s="72" t="str">
        <f>IF('Registrar bienes de inversión'!J95="","",'Registrar bienes de inversión'!J95)</f>
        <v/>
      </c>
      <c r="K95" s="72" t="str">
        <f>IF('Registrar bienes de inversión'!K95="","",'Registrar bienes de inversión'!K95)</f>
        <v/>
      </c>
      <c r="L95" s="60" t="str">
        <f>IF('Registrar bienes de inversión'!L95="","",VLOOKUP(CONCATENATE("METODO AMORTIZACION",'Registrar bienes de inversión'!L95),'CODIGO-LITERAL'!$C:$D,2,FALSE))</f>
        <v/>
      </c>
      <c r="M95" s="72" t="str">
        <f>IF('Registrar bienes de inversión'!M95="","",'Registrar bienes de inversión'!M95)</f>
        <v/>
      </c>
      <c r="N95" s="72" t="str">
        <f>IF('Registrar bienes de inversión'!N95="","",'Registrar bienes de inversión'!N95)</f>
        <v/>
      </c>
      <c r="O95" s="72" t="str">
        <f>IF('Registrar bienes de inversión'!O95="","",'Registrar bienes de inversión'!O95)</f>
        <v/>
      </c>
      <c r="P95" s="72" t="str">
        <f>IF('Registrar bienes de inversión'!P95="","",'Registrar bienes de inversión'!P95)</f>
        <v/>
      </c>
      <c r="Q95" s="72" t="str">
        <f>IF('Registrar bienes de inversión'!Q95="","",'Registrar bienes de inversión'!Q95)</f>
        <v/>
      </c>
      <c r="R95" s="64" t="str">
        <f>IF('Registrar bienes de inversión'!R95="","",'Registrar bienes de inversión'!R95)</f>
        <v/>
      </c>
      <c r="S95" s="60" t="str">
        <f>IF('Registrar bienes de inversión'!S95="","",'Registrar bienes de inversión'!S95)</f>
        <v/>
      </c>
      <c r="T95" s="60" t="str">
        <f>IF('Registrar bienes de inversión'!T95="","",'Registrar bienes de inversión'!T95)</f>
        <v/>
      </c>
      <c r="U95" s="60" t="str">
        <f>IF('Registrar bienes de inversión'!U95="","",'Registrar bienes de inversión'!U95)</f>
        <v/>
      </c>
      <c r="V95" s="60" t="str">
        <f>IF('Registrar bienes de inversión'!V95="","",'Registrar bienes de inversión'!V95)</f>
        <v/>
      </c>
      <c r="W95" s="60" t="str">
        <f>IF(OR('Registrar bienes de inversión'!W95="",LEFT('Registrar bienes de inversión'!W95,2)="01"),"",VLOOKUP(CONCATENATE("TIPO NIF",'Registrar bienes de inversión'!W95),'CODIGO-LITERAL'!$C:$D,2,FALSE))</f>
        <v/>
      </c>
      <c r="X95" s="60" t="str">
        <f>IF('Registrar bienes de inversión'!X95="","",'Registrar bienes de inversión'!X95)</f>
        <v/>
      </c>
      <c r="Y95" s="60" t="str">
        <f>IF('Registrar bienes de inversión'!Y95="","",'Registrar bienes de inversión'!Y95)</f>
        <v/>
      </c>
      <c r="Z95" s="60" t="str">
        <f>IF('Registrar bienes de inversión'!Z95="","",'Registrar bienes de inversión'!Z95)</f>
        <v/>
      </c>
      <c r="AA95" s="72" t="str">
        <f>IF('Registrar bienes de inversión'!AA95="","",ROUND('Registrar bienes de inversión'!AA95,2))</f>
        <v/>
      </c>
      <c r="AB95" s="72" t="str">
        <f>IF('Registrar bienes de inversión'!AB95="","",'Registrar bienes de inversión'!AB95)</f>
        <v/>
      </c>
      <c r="AC95" s="72" t="str">
        <f>IF('Registrar bienes de inversión'!AC95="","",ROUND('Registrar bienes de inversión'!AC95,2))</f>
        <v/>
      </c>
      <c r="AD95" s="72" t="str">
        <f>IF('Registrar bienes de inversión'!AD95="","",ROUND('Registrar bienes de inversión'!AD95,2))</f>
        <v/>
      </c>
      <c r="AE95" s="72" t="str">
        <f>IF('Registrar bienes de inversión'!AE95="","",ROUND('Registrar bienes de inversión'!AE95,2))</f>
        <v/>
      </c>
      <c r="AF95" s="72" t="str">
        <f>IF('Registrar bienes de inversión'!AF95="","",ROUND('Registrar bienes de inversión'!AF95,2))</f>
        <v/>
      </c>
      <c r="AG95" s="72" t="str">
        <f>IF('Registrar bienes de inversión'!AG95="","",ROUND('Registrar bienes de inversión'!AG95,2))</f>
        <v/>
      </c>
      <c r="AH95" s="64" t="str">
        <f>IF('Registrar bienes de inversión'!AH95="","",'Registrar bienes de inversión'!AH95)</f>
        <v/>
      </c>
      <c r="AI95" s="60" t="str">
        <f>IF('Registrar bienes de inversión'!AI95="","",VLOOKUP(CONCATENATE("CAUSA BAJA BIEN",'Registrar bienes de inversión'!AI95),'CODIGO-LITERAL'!$C:$D,2,FALSE))</f>
        <v/>
      </c>
      <c r="AJ95" s="60" t="str">
        <f>IF('Registrar bienes de inversión'!AJ95="","",'Registrar bienes de inversión'!AJ95)</f>
        <v/>
      </c>
      <c r="AK95" s="60" t="str">
        <f>IF('Registrar bienes de inversión'!AK95="","",'Registrar bienes de inversión'!AK95)</f>
        <v/>
      </c>
      <c r="AL95" s="60" t="str">
        <f>IF('Registrar bienes de inversión'!AL95="","",'Registrar bienes de inversión'!AL95)</f>
        <v/>
      </c>
      <c r="AM95" s="60" t="str">
        <f>IF('Registrar bienes de inversión'!AM95="","",'Registrar bienes de inversión'!AM95)</f>
        <v/>
      </c>
      <c r="AN95" s="60" t="str">
        <f>IF('Registrar bienes de inversión'!AN95="","",VLOOKUP(CONCATENATE("SITUACION",'Registrar bienes de inversión'!AN95),'CODIGO-LITERAL'!$C:$D,2,FALSE))</f>
        <v/>
      </c>
      <c r="AO95" s="60" t="str">
        <f>IF('Registrar bienes de inversión'!AO95="","",'Registrar bienes de inversión'!AO95)</f>
        <v/>
      </c>
      <c r="AP95" s="60" t="str">
        <f>IF('Registrar bienes de inversión'!AP95="","",'Registrar bienes de inversión'!AP95)</f>
        <v/>
      </c>
    </row>
    <row r="96" spans="1:42" x14ac:dyDescent="0.25">
      <c r="A96" s="71" t="str">
        <f>IF('Registrar bienes de inversión'!A96="","",'Registrar bienes de inversión'!A96)</f>
        <v/>
      </c>
      <c r="B96" s="60" t="str">
        <f>IF('Registrar bienes de inversión'!B96="","",'Registrar bienes de inversión'!B96)</f>
        <v/>
      </c>
      <c r="C96" s="60" t="str">
        <f>IF('Registrar bienes de inversión'!C96="","",VLOOKUP(CONCATENATE("ACTIVIDAD",'Registrar bienes de inversión'!C96),'CODIGO-LITERAL'!$C:$D,2,FALSE))</f>
        <v/>
      </c>
      <c r="D96" s="60" t="str">
        <f>IF(OR(C96="C",C96="D"),"",IF(ISERROR(VLOOKUP(CONCATENATE(C96,'Registrar bienes de inversión'!D96),'CODIGO-LITERAL'!$C:$D,2,FALSE)),"",VLOOKUP(CONCATENATE(C96,'Registrar bienes de inversión'!D96),'CODIGO-LITERAL'!$C:$D,2,FALSE)))</f>
        <v/>
      </c>
      <c r="E96" s="60" t="str">
        <f>IF('Registrar bienes de inversión'!E96="","",'Registrar bienes de inversión'!E96)</f>
        <v/>
      </c>
      <c r="F96" s="60" t="str">
        <f>IF('Registrar bienes de inversión'!F96="","",VLOOKUP(CONCATENATE("TIPO BIEN",'Registrar bienes de inversión'!F96),'CODIGO-LITERAL'!$C:$D,2,FALSE))</f>
        <v/>
      </c>
      <c r="G96" s="60" t="str">
        <f>IF('Registrar bienes de inversión'!G96="","",'Registrar bienes de inversión'!G96)</f>
        <v/>
      </c>
      <c r="H96" s="60" t="str">
        <f>IF('Registrar bienes de inversión'!H96="","",'Registrar bienes de inversión'!H96)</f>
        <v/>
      </c>
      <c r="I96" s="64" t="str">
        <f>IF('Registrar bienes de inversión'!I96="","",'Registrar bienes de inversión'!I96)</f>
        <v/>
      </c>
      <c r="J96" s="72" t="str">
        <f>IF('Registrar bienes de inversión'!J96="","",'Registrar bienes de inversión'!J96)</f>
        <v/>
      </c>
      <c r="K96" s="72" t="str">
        <f>IF('Registrar bienes de inversión'!K96="","",'Registrar bienes de inversión'!K96)</f>
        <v/>
      </c>
      <c r="L96" s="60" t="str">
        <f>IF('Registrar bienes de inversión'!L96="","",VLOOKUP(CONCATENATE("METODO AMORTIZACION",'Registrar bienes de inversión'!L96),'CODIGO-LITERAL'!$C:$D,2,FALSE))</f>
        <v/>
      </c>
      <c r="M96" s="72" t="str">
        <f>IF('Registrar bienes de inversión'!M96="","",'Registrar bienes de inversión'!M96)</f>
        <v/>
      </c>
      <c r="N96" s="72" t="str">
        <f>IF('Registrar bienes de inversión'!N96="","",'Registrar bienes de inversión'!N96)</f>
        <v/>
      </c>
      <c r="O96" s="72" t="str">
        <f>IF('Registrar bienes de inversión'!O96="","",'Registrar bienes de inversión'!O96)</f>
        <v/>
      </c>
      <c r="P96" s="72" t="str">
        <f>IF('Registrar bienes de inversión'!P96="","",'Registrar bienes de inversión'!P96)</f>
        <v/>
      </c>
      <c r="Q96" s="72" t="str">
        <f>IF('Registrar bienes de inversión'!Q96="","",'Registrar bienes de inversión'!Q96)</f>
        <v/>
      </c>
      <c r="R96" s="64" t="str">
        <f>IF('Registrar bienes de inversión'!R96="","",'Registrar bienes de inversión'!R96)</f>
        <v/>
      </c>
      <c r="S96" s="60" t="str">
        <f>IF('Registrar bienes de inversión'!S96="","",'Registrar bienes de inversión'!S96)</f>
        <v/>
      </c>
      <c r="T96" s="60" t="str">
        <f>IF('Registrar bienes de inversión'!T96="","",'Registrar bienes de inversión'!T96)</f>
        <v/>
      </c>
      <c r="U96" s="60" t="str">
        <f>IF('Registrar bienes de inversión'!U96="","",'Registrar bienes de inversión'!U96)</f>
        <v/>
      </c>
      <c r="V96" s="60" t="str">
        <f>IF('Registrar bienes de inversión'!V96="","",'Registrar bienes de inversión'!V96)</f>
        <v/>
      </c>
      <c r="W96" s="60" t="str">
        <f>IF(OR('Registrar bienes de inversión'!W96="",LEFT('Registrar bienes de inversión'!W96,2)="01"),"",VLOOKUP(CONCATENATE("TIPO NIF",'Registrar bienes de inversión'!W96),'CODIGO-LITERAL'!$C:$D,2,FALSE))</f>
        <v/>
      </c>
      <c r="X96" s="60" t="str">
        <f>IF('Registrar bienes de inversión'!X96="","",'Registrar bienes de inversión'!X96)</f>
        <v/>
      </c>
      <c r="Y96" s="60" t="str">
        <f>IF('Registrar bienes de inversión'!Y96="","",'Registrar bienes de inversión'!Y96)</f>
        <v/>
      </c>
      <c r="Z96" s="60" t="str">
        <f>IF('Registrar bienes de inversión'!Z96="","",'Registrar bienes de inversión'!Z96)</f>
        <v/>
      </c>
      <c r="AA96" s="72" t="str">
        <f>IF('Registrar bienes de inversión'!AA96="","",ROUND('Registrar bienes de inversión'!AA96,2))</f>
        <v/>
      </c>
      <c r="AB96" s="72" t="str">
        <f>IF('Registrar bienes de inversión'!AB96="","",'Registrar bienes de inversión'!AB96)</f>
        <v/>
      </c>
      <c r="AC96" s="72" t="str">
        <f>IF('Registrar bienes de inversión'!AC96="","",ROUND('Registrar bienes de inversión'!AC96,2))</f>
        <v/>
      </c>
      <c r="AD96" s="72" t="str">
        <f>IF('Registrar bienes de inversión'!AD96="","",ROUND('Registrar bienes de inversión'!AD96,2))</f>
        <v/>
      </c>
      <c r="AE96" s="72" t="str">
        <f>IF('Registrar bienes de inversión'!AE96="","",ROUND('Registrar bienes de inversión'!AE96,2))</f>
        <v/>
      </c>
      <c r="AF96" s="72" t="str">
        <f>IF('Registrar bienes de inversión'!AF96="","",ROUND('Registrar bienes de inversión'!AF96,2))</f>
        <v/>
      </c>
      <c r="AG96" s="72" t="str">
        <f>IF('Registrar bienes de inversión'!AG96="","",ROUND('Registrar bienes de inversión'!AG96,2))</f>
        <v/>
      </c>
      <c r="AH96" s="64" t="str">
        <f>IF('Registrar bienes de inversión'!AH96="","",'Registrar bienes de inversión'!AH96)</f>
        <v/>
      </c>
      <c r="AI96" s="60" t="str">
        <f>IF('Registrar bienes de inversión'!AI96="","",VLOOKUP(CONCATENATE("CAUSA BAJA BIEN",'Registrar bienes de inversión'!AI96),'CODIGO-LITERAL'!$C:$D,2,FALSE))</f>
        <v/>
      </c>
      <c r="AJ96" s="60" t="str">
        <f>IF('Registrar bienes de inversión'!AJ96="","",'Registrar bienes de inversión'!AJ96)</f>
        <v/>
      </c>
      <c r="AK96" s="60" t="str">
        <f>IF('Registrar bienes de inversión'!AK96="","",'Registrar bienes de inversión'!AK96)</f>
        <v/>
      </c>
      <c r="AL96" s="60" t="str">
        <f>IF('Registrar bienes de inversión'!AL96="","",'Registrar bienes de inversión'!AL96)</f>
        <v/>
      </c>
      <c r="AM96" s="60" t="str">
        <f>IF('Registrar bienes de inversión'!AM96="","",'Registrar bienes de inversión'!AM96)</f>
        <v/>
      </c>
      <c r="AN96" s="60" t="str">
        <f>IF('Registrar bienes de inversión'!AN96="","",VLOOKUP(CONCATENATE("SITUACION",'Registrar bienes de inversión'!AN96),'CODIGO-LITERAL'!$C:$D,2,FALSE))</f>
        <v/>
      </c>
      <c r="AO96" s="60" t="str">
        <f>IF('Registrar bienes de inversión'!AO96="","",'Registrar bienes de inversión'!AO96)</f>
        <v/>
      </c>
      <c r="AP96" s="60" t="str">
        <f>IF('Registrar bienes de inversión'!AP96="","",'Registrar bienes de inversión'!AP96)</f>
        <v/>
      </c>
    </row>
    <row r="97" spans="1:42" x14ac:dyDescent="0.25">
      <c r="A97" s="71" t="str">
        <f>IF('Registrar bienes de inversión'!A97="","",'Registrar bienes de inversión'!A97)</f>
        <v/>
      </c>
      <c r="B97" s="60" t="str">
        <f>IF('Registrar bienes de inversión'!B97="","",'Registrar bienes de inversión'!B97)</f>
        <v/>
      </c>
      <c r="C97" s="60" t="str">
        <f>IF('Registrar bienes de inversión'!C97="","",VLOOKUP(CONCATENATE("ACTIVIDAD",'Registrar bienes de inversión'!C97),'CODIGO-LITERAL'!$C:$D,2,FALSE))</f>
        <v/>
      </c>
      <c r="D97" s="60" t="str">
        <f>IF(OR(C97="C",C97="D"),"",IF(ISERROR(VLOOKUP(CONCATENATE(C97,'Registrar bienes de inversión'!D97),'CODIGO-LITERAL'!$C:$D,2,FALSE)),"",VLOOKUP(CONCATENATE(C97,'Registrar bienes de inversión'!D97),'CODIGO-LITERAL'!$C:$D,2,FALSE)))</f>
        <v/>
      </c>
      <c r="E97" s="60" t="str">
        <f>IF('Registrar bienes de inversión'!E97="","",'Registrar bienes de inversión'!E97)</f>
        <v/>
      </c>
      <c r="F97" s="60" t="str">
        <f>IF('Registrar bienes de inversión'!F97="","",VLOOKUP(CONCATENATE("TIPO BIEN",'Registrar bienes de inversión'!F97),'CODIGO-LITERAL'!$C:$D,2,FALSE))</f>
        <v/>
      </c>
      <c r="G97" s="60" t="str">
        <f>IF('Registrar bienes de inversión'!G97="","",'Registrar bienes de inversión'!G97)</f>
        <v/>
      </c>
      <c r="H97" s="60" t="str">
        <f>IF('Registrar bienes de inversión'!H97="","",'Registrar bienes de inversión'!H97)</f>
        <v/>
      </c>
      <c r="I97" s="64" t="str">
        <f>IF('Registrar bienes de inversión'!I97="","",'Registrar bienes de inversión'!I97)</f>
        <v/>
      </c>
      <c r="J97" s="72" t="str">
        <f>IF('Registrar bienes de inversión'!J97="","",'Registrar bienes de inversión'!J97)</f>
        <v/>
      </c>
      <c r="K97" s="72" t="str">
        <f>IF('Registrar bienes de inversión'!K97="","",'Registrar bienes de inversión'!K97)</f>
        <v/>
      </c>
      <c r="L97" s="60" t="str">
        <f>IF('Registrar bienes de inversión'!L97="","",VLOOKUP(CONCATENATE("METODO AMORTIZACION",'Registrar bienes de inversión'!L97),'CODIGO-LITERAL'!$C:$D,2,FALSE))</f>
        <v/>
      </c>
      <c r="M97" s="72" t="str">
        <f>IF('Registrar bienes de inversión'!M97="","",'Registrar bienes de inversión'!M97)</f>
        <v/>
      </c>
      <c r="N97" s="72" t="str">
        <f>IF('Registrar bienes de inversión'!N97="","",'Registrar bienes de inversión'!N97)</f>
        <v/>
      </c>
      <c r="O97" s="72" t="str">
        <f>IF('Registrar bienes de inversión'!O97="","",'Registrar bienes de inversión'!O97)</f>
        <v/>
      </c>
      <c r="P97" s="72" t="str">
        <f>IF('Registrar bienes de inversión'!P97="","",'Registrar bienes de inversión'!P97)</f>
        <v/>
      </c>
      <c r="Q97" s="72" t="str">
        <f>IF('Registrar bienes de inversión'!Q97="","",'Registrar bienes de inversión'!Q97)</f>
        <v/>
      </c>
      <c r="R97" s="64" t="str">
        <f>IF('Registrar bienes de inversión'!R97="","",'Registrar bienes de inversión'!R97)</f>
        <v/>
      </c>
      <c r="S97" s="60" t="str">
        <f>IF('Registrar bienes de inversión'!S97="","",'Registrar bienes de inversión'!S97)</f>
        <v/>
      </c>
      <c r="T97" s="60" t="str">
        <f>IF('Registrar bienes de inversión'!T97="","",'Registrar bienes de inversión'!T97)</f>
        <v/>
      </c>
      <c r="U97" s="60" t="str">
        <f>IF('Registrar bienes de inversión'!U97="","",'Registrar bienes de inversión'!U97)</f>
        <v/>
      </c>
      <c r="V97" s="60" t="str">
        <f>IF('Registrar bienes de inversión'!V97="","",'Registrar bienes de inversión'!V97)</f>
        <v/>
      </c>
      <c r="W97" s="60" t="str">
        <f>IF(OR('Registrar bienes de inversión'!W97="",LEFT('Registrar bienes de inversión'!W97,2)="01"),"",VLOOKUP(CONCATENATE("TIPO NIF",'Registrar bienes de inversión'!W97),'CODIGO-LITERAL'!$C:$D,2,FALSE))</f>
        <v/>
      </c>
      <c r="X97" s="60" t="str">
        <f>IF('Registrar bienes de inversión'!X97="","",'Registrar bienes de inversión'!X97)</f>
        <v/>
      </c>
      <c r="Y97" s="60" t="str">
        <f>IF('Registrar bienes de inversión'!Y97="","",'Registrar bienes de inversión'!Y97)</f>
        <v/>
      </c>
      <c r="Z97" s="60" t="str">
        <f>IF('Registrar bienes de inversión'!Z97="","",'Registrar bienes de inversión'!Z97)</f>
        <v/>
      </c>
      <c r="AA97" s="72" t="str">
        <f>IF('Registrar bienes de inversión'!AA97="","",ROUND('Registrar bienes de inversión'!AA97,2))</f>
        <v/>
      </c>
      <c r="AB97" s="72" t="str">
        <f>IF('Registrar bienes de inversión'!AB97="","",'Registrar bienes de inversión'!AB97)</f>
        <v/>
      </c>
      <c r="AC97" s="72" t="str">
        <f>IF('Registrar bienes de inversión'!AC97="","",ROUND('Registrar bienes de inversión'!AC97,2))</f>
        <v/>
      </c>
      <c r="AD97" s="72" t="str">
        <f>IF('Registrar bienes de inversión'!AD97="","",ROUND('Registrar bienes de inversión'!AD97,2))</f>
        <v/>
      </c>
      <c r="AE97" s="72" t="str">
        <f>IF('Registrar bienes de inversión'!AE97="","",ROUND('Registrar bienes de inversión'!AE97,2))</f>
        <v/>
      </c>
      <c r="AF97" s="72" t="str">
        <f>IF('Registrar bienes de inversión'!AF97="","",ROUND('Registrar bienes de inversión'!AF97,2))</f>
        <v/>
      </c>
      <c r="AG97" s="72" t="str">
        <f>IF('Registrar bienes de inversión'!AG97="","",ROUND('Registrar bienes de inversión'!AG97,2))</f>
        <v/>
      </c>
      <c r="AH97" s="64" t="str">
        <f>IF('Registrar bienes de inversión'!AH97="","",'Registrar bienes de inversión'!AH97)</f>
        <v/>
      </c>
      <c r="AI97" s="60" t="str">
        <f>IF('Registrar bienes de inversión'!AI97="","",VLOOKUP(CONCATENATE("CAUSA BAJA BIEN",'Registrar bienes de inversión'!AI97),'CODIGO-LITERAL'!$C:$D,2,FALSE))</f>
        <v/>
      </c>
      <c r="AJ97" s="60" t="str">
        <f>IF('Registrar bienes de inversión'!AJ97="","",'Registrar bienes de inversión'!AJ97)</f>
        <v/>
      </c>
      <c r="AK97" s="60" t="str">
        <f>IF('Registrar bienes de inversión'!AK97="","",'Registrar bienes de inversión'!AK97)</f>
        <v/>
      </c>
      <c r="AL97" s="60" t="str">
        <f>IF('Registrar bienes de inversión'!AL97="","",'Registrar bienes de inversión'!AL97)</f>
        <v/>
      </c>
      <c r="AM97" s="60" t="str">
        <f>IF('Registrar bienes de inversión'!AM97="","",'Registrar bienes de inversión'!AM97)</f>
        <v/>
      </c>
      <c r="AN97" s="60" t="str">
        <f>IF('Registrar bienes de inversión'!AN97="","",VLOOKUP(CONCATENATE("SITUACION",'Registrar bienes de inversión'!AN97),'CODIGO-LITERAL'!$C:$D,2,FALSE))</f>
        <v/>
      </c>
      <c r="AO97" s="60" t="str">
        <f>IF('Registrar bienes de inversión'!AO97="","",'Registrar bienes de inversión'!AO97)</f>
        <v/>
      </c>
      <c r="AP97" s="60" t="str">
        <f>IF('Registrar bienes de inversión'!AP97="","",'Registrar bienes de inversión'!AP97)</f>
        <v/>
      </c>
    </row>
    <row r="98" spans="1:42" x14ac:dyDescent="0.25">
      <c r="A98" s="71" t="str">
        <f>IF('Registrar bienes de inversión'!A98="","",'Registrar bienes de inversión'!A98)</f>
        <v/>
      </c>
      <c r="B98" s="60" t="str">
        <f>IF('Registrar bienes de inversión'!B98="","",'Registrar bienes de inversión'!B98)</f>
        <v/>
      </c>
      <c r="C98" s="60" t="str">
        <f>IF('Registrar bienes de inversión'!C98="","",VLOOKUP(CONCATENATE("ACTIVIDAD",'Registrar bienes de inversión'!C98),'CODIGO-LITERAL'!$C:$D,2,FALSE))</f>
        <v/>
      </c>
      <c r="D98" s="60" t="str">
        <f>IF(OR(C98="C",C98="D"),"",IF(ISERROR(VLOOKUP(CONCATENATE(C98,'Registrar bienes de inversión'!D98),'CODIGO-LITERAL'!$C:$D,2,FALSE)),"",VLOOKUP(CONCATENATE(C98,'Registrar bienes de inversión'!D98),'CODIGO-LITERAL'!$C:$D,2,FALSE)))</f>
        <v/>
      </c>
      <c r="E98" s="60" t="str">
        <f>IF('Registrar bienes de inversión'!E98="","",'Registrar bienes de inversión'!E98)</f>
        <v/>
      </c>
      <c r="F98" s="60" t="str">
        <f>IF('Registrar bienes de inversión'!F98="","",VLOOKUP(CONCATENATE("TIPO BIEN",'Registrar bienes de inversión'!F98),'CODIGO-LITERAL'!$C:$D,2,FALSE))</f>
        <v/>
      </c>
      <c r="G98" s="60" t="str">
        <f>IF('Registrar bienes de inversión'!G98="","",'Registrar bienes de inversión'!G98)</f>
        <v/>
      </c>
      <c r="H98" s="60" t="str">
        <f>IF('Registrar bienes de inversión'!H98="","",'Registrar bienes de inversión'!H98)</f>
        <v/>
      </c>
      <c r="I98" s="64" t="str">
        <f>IF('Registrar bienes de inversión'!I98="","",'Registrar bienes de inversión'!I98)</f>
        <v/>
      </c>
      <c r="J98" s="72" t="str">
        <f>IF('Registrar bienes de inversión'!J98="","",'Registrar bienes de inversión'!J98)</f>
        <v/>
      </c>
      <c r="K98" s="72" t="str">
        <f>IF('Registrar bienes de inversión'!K98="","",'Registrar bienes de inversión'!K98)</f>
        <v/>
      </c>
      <c r="L98" s="60" t="str">
        <f>IF('Registrar bienes de inversión'!L98="","",VLOOKUP(CONCATENATE("METODO AMORTIZACION",'Registrar bienes de inversión'!L98),'CODIGO-LITERAL'!$C:$D,2,FALSE))</f>
        <v/>
      </c>
      <c r="M98" s="72" t="str">
        <f>IF('Registrar bienes de inversión'!M98="","",'Registrar bienes de inversión'!M98)</f>
        <v/>
      </c>
      <c r="N98" s="72" t="str">
        <f>IF('Registrar bienes de inversión'!N98="","",'Registrar bienes de inversión'!N98)</f>
        <v/>
      </c>
      <c r="O98" s="72" t="str">
        <f>IF('Registrar bienes de inversión'!O98="","",'Registrar bienes de inversión'!O98)</f>
        <v/>
      </c>
      <c r="P98" s="72" t="str">
        <f>IF('Registrar bienes de inversión'!P98="","",'Registrar bienes de inversión'!P98)</f>
        <v/>
      </c>
      <c r="Q98" s="72" t="str">
        <f>IF('Registrar bienes de inversión'!Q98="","",'Registrar bienes de inversión'!Q98)</f>
        <v/>
      </c>
      <c r="R98" s="64" t="str">
        <f>IF('Registrar bienes de inversión'!R98="","",'Registrar bienes de inversión'!R98)</f>
        <v/>
      </c>
      <c r="S98" s="60" t="str">
        <f>IF('Registrar bienes de inversión'!S98="","",'Registrar bienes de inversión'!S98)</f>
        <v/>
      </c>
      <c r="T98" s="60" t="str">
        <f>IF('Registrar bienes de inversión'!T98="","",'Registrar bienes de inversión'!T98)</f>
        <v/>
      </c>
      <c r="U98" s="60" t="str">
        <f>IF('Registrar bienes de inversión'!U98="","",'Registrar bienes de inversión'!U98)</f>
        <v/>
      </c>
      <c r="V98" s="60" t="str">
        <f>IF('Registrar bienes de inversión'!V98="","",'Registrar bienes de inversión'!V98)</f>
        <v/>
      </c>
      <c r="W98" s="60" t="str">
        <f>IF(OR('Registrar bienes de inversión'!W98="",LEFT('Registrar bienes de inversión'!W98,2)="01"),"",VLOOKUP(CONCATENATE("TIPO NIF",'Registrar bienes de inversión'!W98),'CODIGO-LITERAL'!$C:$D,2,FALSE))</f>
        <v/>
      </c>
      <c r="X98" s="60" t="str">
        <f>IF('Registrar bienes de inversión'!X98="","",'Registrar bienes de inversión'!X98)</f>
        <v/>
      </c>
      <c r="Y98" s="60" t="str">
        <f>IF('Registrar bienes de inversión'!Y98="","",'Registrar bienes de inversión'!Y98)</f>
        <v/>
      </c>
      <c r="Z98" s="60" t="str">
        <f>IF('Registrar bienes de inversión'!Z98="","",'Registrar bienes de inversión'!Z98)</f>
        <v/>
      </c>
      <c r="AA98" s="72" t="str">
        <f>IF('Registrar bienes de inversión'!AA98="","",ROUND('Registrar bienes de inversión'!AA98,2))</f>
        <v/>
      </c>
      <c r="AB98" s="72" t="str">
        <f>IF('Registrar bienes de inversión'!AB98="","",'Registrar bienes de inversión'!AB98)</f>
        <v/>
      </c>
      <c r="AC98" s="72" t="str">
        <f>IF('Registrar bienes de inversión'!AC98="","",ROUND('Registrar bienes de inversión'!AC98,2))</f>
        <v/>
      </c>
      <c r="AD98" s="72" t="str">
        <f>IF('Registrar bienes de inversión'!AD98="","",ROUND('Registrar bienes de inversión'!AD98,2))</f>
        <v/>
      </c>
      <c r="AE98" s="72" t="str">
        <f>IF('Registrar bienes de inversión'!AE98="","",ROUND('Registrar bienes de inversión'!AE98,2))</f>
        <v/>
      </c>
      <c r="AF98" s="72" t="str">
        <f>IF('Registrar bienes de inversión'!AF98="","",ROUND('Registrar bienes de inversión'!AF98,2))</f>
        <v/>
      </c>
      <c r="AG98" s="72" t="str">
        <f>IF('Registrar bienes de inversión'!AG98="","",ROUND('Registrar bienes de inversión'!AG98,2))</f>
        <v/>
      </c>
      <c r="AH98" s="64" t="str">
        <f>IF('Registrar bienes de inversión'!AH98="","",'Registrar bienes de inversión'!AH98)</f>
        <v/>
      </c>
      <c r="AI98" s="60" t="str">
        <f>IF('Registrar bienes de inversión'!AI98="","",VLOOKUP(CONCATENATE("CAUSA BAJA BIEN",'Registrar bienes de inversión'!AI98),'CODIGO-LITERAL'!$C:$D,2,FALSE))</f>
        <v/>
      </c>
      <c r="AJ98" s="60" t="str">
        <f>IF('Registrar bienes de inversión'!AJ98="","",'Registrar bienes de inversión'!AJ98)</f>
        <v/>
      </c>
      <c r="AK98" s="60" t="str">
        <f>IF('Registrar bienes de inversión'!AK98="","",'Registrar bienes de inversión'!AK98)</f>
        <v/>
      </c>
      <c r="AL98" s="60" t="str">
        <f>IF('Registrar bienes de inversión'!AL98="","",'Registrar bienes de inversión'!AL98)</f>
        <v/>
      </c>
      <c r="AM98" s="60" t="str">
        <f>IF('Registrar bienes de inversión'!AM98="","",'Registrar bienes de inversión'!AM98)</f>
        <v/>
      </c>
      <c r="AN98" s="60" t="str">
        <f>IF('Registrar bienes de inversión'!AN98="","",VLOOKUP(CONCATENATE("SITUACION",'Registrar bienes de inversión'!AN98),'CODIGO-LITERAL'!$C:$D,2,FALSE))</f>
        <v/>
      </c>
      <c r="AO98" s="60" t="str">
        <f>IF('Registrar bienes de inversión'!AO98="","",'Registrar bienes de inversión'!AO98)</f>
        <v/>
      </c>
      <c r="AP98" s="60" t="str">
        <f>IF('Registrar bienes de inversión'!AP98="","",'Registrar bienes de inversión'!AP98)</f>
        <v/>
      </c>
    </row>
    <row r="99" spans="1:42" x14ac:dyDescent="0.25">
      <c r="A99" s="71" t="str">
        <f>IF('Registrar bienes de inversión'!A99="","",'Registrar bienes de inversión'!A99)</f>
        <v/>
      </c>
      <c r="B99" s="60" t="str">
        <f>IF('Registrar bienes de inversión'!B99="","",'Registrar bienes de inversión'!B99)</f>
        <v/>
      </c>
      <c r="C99" s="60" t="str">
        <f>IF('Registrar bienes de inversión'!C99="","",VLOOKUP(CONCATENATE("ACTIVIDAD",'Registrar bienes de inversión'!C99),'CODIGO-LITERAL'!$C:$D,2,FALSE))</f>
        <v/>
      </c>
      <c r="D99" s="60" t="str">
        <f>IF(OR(C99="C",C99="D"),"",IF(ISERROR(VLOOKUP(CONCATENATE(C99,'Registrar bienes de inversión'!D99),'CODIGO-LITERAL'!$C:$D,2,FALSE)),"",VLOOKUP(CONCATENATE(C99,'Registrar bienes de inversión'!D99),'CODIGO-LITERAL'!$C:$D,2,FALSE)))</f>
        <v/>
      </c>
      <c r="E99" s="60" t="str">
        <f>IF('Registrar bienes de inversión'!E99="","",'Registrar bienes de inversión'!E99)</f>
        <v/>
      </c>
      <c r="F99" s="60" t="str">
        <f>IF('Registrar bienes de inversión'!F99="","",VLOOKUP(CONCATENATE("TIPO BIEN",'Registrar bienes de inversión'!F99),'CODIGO-LITERAL'!$C:$D,2,FALSE))</f>
        <v/>
      </c>
      <c r="G99" s="60" t="str">
        <f>IF('Registrar bienes de inversión'!G99="","",'Registrar bienes de inversión'!G99)</f>
        <v/>
      </c>
      <c r="H99" s="60" t="str">
        <f>IF('Registrar bienes de inversión'!H99="","",'Registrar bienes de inversión'!H99)</f>
        <v/>
      </c>
      <c r="I99" s="64" t="str">
        <f>IF('Registrar bienes de inversión'!I99="","",'Registrar bienes de inversión'!I99)</f>
        <v/>
      </c>
      <c r="J99" s="72" t="str">
        <f>IF('Registrar bienes de inversión'!J99="","",'Registrar bienes de inversión'!J99)</f>
        <v/>
      </c>
      <c r="K99" s="72" t="str">
        <f>IF('Registrar bienes de inversión'!K99="","",'Registrar bienes de inversión'!K99)</f>
        <v/>
      </c>
      <c r="L99" s="60" t="str">
        <f>IF('Registrar bienes de inversión'!L99="","",VLOOKUP(CONCATENATE("METODO AMORTIZACION",'Registrar bienes de inversión'!L99),'CODIGO-LITERAL'!$C:$D,2,FALSE))</f>
        <v/>
      </c>
      <c r="M99" s="72" t="str">
        <f>IF('Registrar bienes de inversión'!M99="","",'Registrar bienes de inversión'!M99)</f>
        <v/>
      </c>
      <c r="N99" s="72" t="str">
        <f>IF('Registrar bienes de inversión'!N99="","",'Registrar bienes de inversión'!N99)</f>
        <v/>
      </c>
      <c r="O99" s="72" t="str">
        <f>IF('Registrar bienes de inversión'!O99="","",'Registrar bienes de inversión'!O99)</f>
        <v/>
      </c>
      <c r="P99" s="72" t="str">
        <f>IF('Registrar bienes de inversión'!P99="","",'Registrar bienes de inversión'!P99)</f>
        <v/>
      </c>
      <c r="Q99" s="72" t="str">
        <f>IF('Registrar bienes de inversión'!Q99="","",'Registrar bienes de inversión'!Q99)</f>
        <v/>
      </c>
      <c r="R99" s="64" t="str">
        <f>IF('Registrar bienes de inversión'!R99="","",'Registrar bienes de inversión'!R99)</f>
        <v/>
      </c>
      <c r="S99" s="60" t="str">
        <f>IF('Registrar bienes de inversión'!S99="","",'Registrar bienes de inversión'!S99)</f>
        <v/>
      </c>
      <c r="T99" s="60" t="str">
        <f>IF('Registrar bienes de inversión'!T99="","",'Registrar bienes de inversión'!T99)</f>
        <v/>
      </c>
      <c r="U99" s="60" t="str">
        <f>IF('Registrar bienes de inversión'!U99="","",'Registrar bienes de inversión'!U99)</f>
        <v/>
      </c>
      <c r="V99" s="60" t="str">
        <f>IF('Registrar bienes de inversión'!V99="","",'Registrar bienes de inversión'!V99)</f>
        <v/>
      </c>
      <c r="W99" s="60" t="str">
        <f>IF(OR('Registrar bienes de inversión'!W99="",LEFT('Registrar bienes de inversión'!W99,2)="01"),"",VLOOKUP(CONCATENATE("TIPO NIF",'Registrar bienes de inversión'!W99),'CODIGO-LITERAL'!$C:$D,2,FALSE))</f>
        <v/>
      </c>
      <c r="X99" s="60" t="str">
        <f>IF('Registrar bienes de inversión'!X99="","",'Registrar bienes de inversión'!X99)</f>
        <v/>
      </c>
      <c r="Y99" s="60" t="str">
        <f>IF('Registrar bienes de inversión'!Y99="","",'Registrar bienes de inversión'!Y99)</f>
        <v/>
      </c>
      <c r="Z99" s="60" t="str">
        <f>IF('Registrar bienes de inversión'!Z99="","",'Registrar bienes de inversión'!Z99)</f>
        <v/>
      </c>
      <c r="AA99" s="72" t="str">
        <f>IF('Registrar bienes de inversión'!AA99="","",ROUND('Registrar bienes de inversión'!AA99,2))</f>
        <v/>
      </c>
      <c r="AB99" s="72" t="str">
        <f>IF('Registrar bienes de inversión'!AB99="","",'Registrar bienes de inversión'!AB99)</f>
        <v/>
      </c>
      <c r="AC99" s="72" t="str">
        <f>IF('Registrar bienes de inversión'!AC99="","",ROUND('Registrar bienes de inversión'!AC99,2))</f>
        <v/>
      </c>
      <c r="AD99" s="72" t="str">
        <f>IF('Registrar bienes de inversión'!AD99="","",ROUND('Registrar bienes de inversión'!AD99,2))</f>
        <v/>
      </c>
      <c r="AE99" s="72" t="str">
        <f>IF('Registrar bienes de inversión'!AE99="","",ROUND('Registrar bienes de inversión'!AE99,2))</f>
        <v/>
      </c>
      <c r="AF99" s="72" t="str">
        <f>IF('Registrar bienes de inversión'!AF99="","",ROUND('Registrar bienes de inversión'!AF99,2))</f>
        <v/>
      </c>
      <c r="AG99" s="72" t="str">
        <f>IF('Registrar bienes de inversión'!AG99="","",ROUND('Registrar bienes de inversión'!AG99,2))</f>
        <v/>
      </c>
      <c r="AH99" s="64" t="str">
        <f>IF('Registrar bienes de inversión'!AH99="","",'Registrar bienes de inversión'!AH99)</f>
        <v/>
      </c>
      <c r="AI99" s="60" t="str">
        <f>IF('Registrar bienes de inversión'!AI99="","",VLOOKUP(CONCATENATE("CAUSA BAJA BIEN",'Registrar bienes de inversión'!AI99),'CODIGO-LITERAL'!$C:$D,2,FALSE))</f>
        <v/>
      </c>
      <c r="AJ99" s="60" t="str">
        <f>IF('Registrar bienes de inversión'!AJ99="","",'Registrar bienes de inversión'!AJ99)</f>
        <v/>
      </c>
      <c r="AK99" s="60" t="str">
        <f>IF('Registrar bienes de inversión'!AK99="","",'Registrar bienes de inversión'!AK99)</f>
        <v/>
      </c>
      <c r="AL99" s="60" t="str">
        <f>IF('Registrar bienes de inversión'!AL99="","",'Registrar bienes de inversión'!AL99)</f>
        <v/>
      </c>
      <c r="AM99" s="60" t="str">
        <f>IF('Registrar bienes de inversión'!AM99="","",'Registrar bienes de inversión'!AM99)</f>
        <v/>
      </c>
      <c r="AN99" s="60" t="str">
        <f>IF('Registrar bienes de inversión'!AN99="","",VLOOKUP(CONCATENATE("SITUACION",'Registrar bienes de inversión'!AN99),'CODIGO-LITERAL'!$C:$D,2,FALSE))</f>
        <v/>
      </c>
      <c r="AO99" s="60" t="str">
        <f>IF('Registrar bienes de inversión'!AO99="","",'Registrar bienes de inversión'!AO99)</f>
        <v/>
      </c>
      <c r="AP99" s="60" t="str">
        <f>IF('Registrar bienes de inversión'!AP99="","",'Registrar bienes de inversión'!AP99)</f>
        <v/>
      </c>
    </row>
    <row r="100" spans="1:42" x14ac:dyDescent="0.25">
      <c r="A100" s="71" t="str">
        <f>IF('Registrar bienes de inversión'!A100="","",'Registrar bienes de inversión'!A100)</f>
        <v/>
      </c>
      <c r="B100" s="60" t="str">
        <f>IF('Registrar bienes de inversión'!B100="","",'Registrar bienes de inversión'!B100)</f>
        <v/>
      </c>
      <c r="C100" s="60" t="str">
        <f>IF('Registrar bienes de inversión'!C100="","",VLOOKUP(CONCATENATE("ACTIVIDAD",'Registrar bienes de inversión'!C100),'CODIGO-LITERAL'!$C:$D,2,FALSE))</f>
        <v/>
      </c>
      <c r="D100" s="60" t="str">
        <f>IF(OR(C100="C",C100="D"),"",IF(ISERROR(VLOOKUP(CONCATENATE(C100,'Registrar bienes de inversión'!D100),'CODIGO-LITERAL'!$C:$D,2,FALSE)),"",VLOOKUP(CONCATENATE(C100,'Registrar bienes de inversión'!D100),'CODIGO-LITERAL'!$C:$D,2,FALSE)))</f>
        <v/>
      </c>
      <c r="E100" s="60" t="str">
        <f>IF('Registrar bienes de inversión'!E100="","",'Registrar bienes de inversión'!E100)</f>
        <v/>
      </c>
      <c r="F100" s="60" t="str">
        <f>IF('Registrar bienes de inversión'!F100="","",VLOOKUP(CONCATENATE("TIPO BIEN",'Registrar bienes de inversión'!F100),'CODIGO-LITERAL'!$C:$D,2,FALSE))</f>
        <v/>
      </c>
      <c r="G100" s="60" t="str">
        <f>IF('Registrar bienes de inversión'!G100="","",'Registrar bienes de inversión'!G100)</f>
        <v/>
      </c>
      <c r="H100" s="60" t="str">
        <f>IF('Registrar bienes de inversión'!H100="","",'Registrar bienes de inversión'!H100)</f>
        <v/>
      </c>
      <c r="I100" s="64" t="str">
        <f>IF('Registrar bienes de inversión'!I100="","",'Registrar bienes de inversión'!I100)</f>
        <v/>
      </c>
      <c r="J100" s="72" t="str">
        <f>IF('Registrar bienes de inversión'!J100="","",'Registrar bienes de inversión'!J100)</f>
        <v/>
      </c>
      <c r="K100" s="72" t="str">
        <f>IF('Registrar bienes de inversión'!K100="","",'Registrar bienes de inversión'!K100)</f>
        <v/>
      </c>
      <c r="L100" s="60" t="str">
        <f>IF('Registrar bienes de inversión'!L100="","",VLOOKUP(CONCATENATE("METODO AMORTIZACION",'Registrar bienes de inversión'!L100),'CODIGO-LITERAL'!$C:$D,2,FALSE))</f>
        <v/>
      </c>
      <c r="M100" s="72" t="str">
        <f>IF('Registrar bienes de inversión'!M100="","",'Registrar bienes de inversión'!M100)</f>
        <v/>
      </c>
      <c r="N100" s="72" t="str">
        <f>IF('Registrar bienes de inversión'!N100="","",'Registrar bienes de inversión'!N100)</f>
        <v/>
      </c>
      <c r="O100" s="72" t="str">
        <f>IF('Registrar bienes de inversión'!O100="","",'Registrar bienes de inversión'!O100)</f>
        <v/>
      </c>
      <c r="P100" s="72" t="str">
        <f>IF('Registrar bienes de inversión'!P100="","",'Registrar bienes de inversión'!P100)</f>
        <v/>
      </c>
      <c r="Q100" s="72" t="str">
        <f>IF('Registrar bienes de inversión'!Q100="","",'Registrar bienes de inversión'!Q100)</f>
        <v/>
      </c>
      <c r="R100" s="64" t="str">
        <f>IF('Registrar bienes de inversión'!R100="","",'Registrar bienes de inversión'!R100)</f>
        <v/>
      </c>
      <c r="S100" s="60" t="str">
        <f>IF('Registrar bienes de inversión'!S100="","",'Registrar bienes de inversión'!S100)</f>
        <v/>
      </c>
      <c r="T100" s="60" t="str">
        <f>IF('Registrar bienes de inversión'!T100="","",'Registrar bienes de inversión'!T100)</f>
        <v/>
      </c>
      <c r="U100" s="60" t="str">
        <f>IF('Registrar bienes de inversión'!U100="","",'Registrar bienes de inversión'!U100)</f>
        <v/>
      </c>
      <c r="V100" s="60" t="str">
        <f>IF('Registrar bienes de inversión'!V100="","",'Registrar bienes de inversión'!V100)</f>
        <v/>
      </c>
      <c r="W100" s="60" t="str">
        <f>IF(OR('Registrar bienes de inversión'!W100="",LEFT('Registrar bienes de inversión'!W100,2)="01"),"",VLOOKUP(CONCATENATE("TIPO NIF",'Registrar bienes de inversión'!W100),'CODIGO-LITERAL'!$C:$D,2,FALSE))</f>
        <v/>
      </c>
      <c r="X100" s="60" t="str">
        <f>IF('Registrar bienes de inversión'!X100="","",'Registrar bienes de inversión'!X100)</f>
        <v/>
      </c>
      <c r="Y100" s="60" t="str">
        <f>IF('Registrar bienes de inversión'!Y100="","",'Registrar bienes de inversión'!Y100)</f>
        <v/>
      </c>
      <c r="Z100" s="60" t="str">
        <f>IF('Registrar bienes de inversión'!Z100="","",'Registrar bienes de inversión'!Z100)</f>
        <v/>
      </c>
      <c r="AA100" s="72" t="str">
        <f>IF('Registrar bienes de inversión'!AA100="","",ROUND('Registrar bienes de inversión'!AA100,2))</f>
        <v/>
      </c>
      <c r="AB100" s="72" t="str">
        <f>IF('Registrar bienes de inversión'!AB100="","",'Registrar bienes de inversión'!AB100)</f>
        <v/>
      </c>
      <c r="AC100" s="72" t="str">
        <f>IF('Registrar bienes de inversión'!AC100="","",ROUND('Registrar bienes de inversión'!AC100,2))</f>
        <v/>
      </c>
      <c r="AD100" s="72" t="str">
        <f>IF('Registrar bienes de inversión'!AD100="","",ROUND('Registrar bienes de inversión'!AD100,2))</f>
        <v/>
      </c>
      <c r="AE100" s="72" t="str">
        <f>IF('Registrar bienes de inversión'!AE100="","",ROUND('Registrar bienes de inversión'!AE100,2))</f>
        <v/>
      </c>
      <c r="AF100" s="72" t="str">
        <f>IF('Registrar bienes de inversión'!AF100="","",ROUND('Registrar bienes de inversión'!AF100,2))</f>
        <v/>
      </c>
      <c r="AG100" s="72" t="str">
        <f>IF('Registrar bienes de inversión'!AG100="","",ROUND('Registrar bienes de inversión'!AG100,2))</f>
        <v/>
      </c>
      <c r="AH100" s="64" t="str">
        <f>IF('Registrar bienes de inversión'!AH100="","",'Registrar bienes de inversión'!AH100)</f>
        <v/>
      </c>
      <c r="AI100" s="60" t="str">
        <f>IF('Registrar bienes de inversión'!AI100="","",VLOOKUP(CONCATENATE("CAUSA BAJA BIEN",'Registrar bienes de inversión'!AI100),'CODIGO-LITERAL'!$C:$D,2,FALSE))</f>
        <v/>
      </c>
      <c r="AJ100" s="60" t="str">
        <f>IF('Registrar bienes de inversión'!AJ100="","",'Registrar bienes de inversión'!AJ100)</f>
        <v/>
      </c>
      <c r="AK100" s="60" t="str">
        <f>IF('Registrar bienes de inversión'!AK100="","",'Registrar bienes de inversión'!AK100)</f>
        <v/>
      </c>
      <c r="AL100" s="60" t="str">
        <f>IF('Registrar bienes de inversión'!AL100="","",'Registrar bienes de inversión'!AL100)</f>
        <v/>
      </c>
      <c r="AM100" s="60" t="str">
        <f>IF('Registrar bienes de inversión'!AM100="","",'Registrar bienes de inversión'!AM100)</f>
        <v/>
      </c>
      <c r="AN100" s="60" t="str">
        <f>IF('Registrar bienes de inversión'!AN100="","",VLOOKUP(CONCATENATE("SITUACION",'Registrar bienes de inversión'!AN100),'CODIGO-LITERAL'!$C:$D,2,FALSE))</f>
        <v/>
      </c>
      <c r="AO100" s="60" t="str">
        <f>IF('Registrar bienes de inversión'!AO100="","",'Registrar bienes de inversión'!AO100)</f>
        <v/>
      </c>
      <c r="AP100" s="60" t="str">
        <f>IF('Registrar bienes de inversión'!AP100="","",'Registrar bienes de inversión'!AP100)</f>
        <v/>
      </c>
    </row>
    <row r="101" spans="1:42" x14ac:dyDescent="0.25">
      <c r="A101" s="71" t="str">
        <f>IF('Registrar bienes de inversión'!A101="","",'Registrar bienes de inversión'!A101)</f>
        <v/>
      </c>
      <c r="B101" s="60" t="str">
        <f>IF('Registrar bienes de inversión'!B101="","",'Registrar bienes de inversión'!B101)</f>
        <v/>
      </c>
      <c r="C101" s="60" t="str">
        <f>IF('Registrar bienes de inversión'!C101="","",VLOOKUP(CONCATENATE("ACTIVIDAD",'Registrar bienes de inversión'!C101),'CODIGO-LITERAL'!$C:$D,2,FALSE))</f>
        <v/>
      </c>
      <c r="D101" s="60" t="str">
        <f>IF(OR(C101="C",C101="D"),"",IF(ISERROR(VLOOKUP(CONCATENATE(C101,'Registrar bienes de inversión'!D101),'CODIGO-LITERAL'!$C:$D,2,FALSE)),"",VLOOKUP(CONCATENATE(C101,'Registrar bienes de inversión'!D101),'CODIGO-LITERAL'!$C:$D,2,FALSE)))</f>
        <v/>
      </c>
      <c r="E101" s="60" t="str">
        <f>IF('Registrar bienes de inversión'!E101="","",'Registrar bienes de inversión'!E101)</f>
        <v/>
      </c>
      <c r="F101" s="60" t="str">
        <f>IF('Registrar bienes de inversión'!F101="","",VLOOKUP(CONCATENATE("TIPO BIEN",'Registrar bienes de inversión'!F101),'CODIGO-LITERAL'!$C:$D,2,FALSE))</f>
        <v/>
      </c>
      <c r="G101" s="60" t="str">
        <f>IF('Registrar bienes de inversión'!G101="","",'Registrar bienes de inversión'!G101)</f>
        <v/>
      </c>
      <c r="H101" s="60" t="str">
        <f>IF('Registrar bienes de inversión'!H101="","",'Registrar bienes de inversión'!H101)</f>
        <v/>
      </c>
      <c r="I101" s="64" t="str">
        <f>IF('Registrar bienes de inversión'!I101="","",'Registrar bienes de inversión'!I101)</f>
        <v/>
      </c>
      <c r="J101" s="72" t="str">
        <f>IF('Registrar bienes de inversión'!J101="","",'Registrar bienes de inversión'!J101)</f>
        <v/>
      </c>
      <c r="K101" s="72" t="str">
        <f>IF('Registrar bienes de inversión'!K101="","",'Registrar bienes de inversión'!K101)</f>
        <v/>
      </c>
      <c r="L101" s="60" t="str">
        <f>IF('Registrar bienes de inversión'!L101="","",VLOOKUP(CONCATENATE("METODO AMORTIZACION",'Registrar bienes de inversión'!L101),'CODIGO-LITERAL'!$C:$D,2,FALSE))</f>
        <v/>
      </c>
      <c r="M101" s="72" t="str">
        <f>IF('Registrar bienes de inversión'!M101="","",'Registrar bienes de inversión'!M101)</f>
        <v/>
      </c>
      <c r="N101" s="72" t="str">
        <f>IF('Registrar bienes de inversión'!N101="","",'Registrar bienes de inversión'!N101)</f>
        <v/>
      </c>
      <c r="O101" s="72" t="str">
        <f>IF('Registrar bienes de inversión'!O101="","",'Registrar bienes de inversión'!O101)</f>
        <v/>
      </c>
      <c r="P101" s="72" t="str">
        <f>IF('Registrar bienes de inversión'!P101="","",'Registrar bienes de inversión'!P101)</f>
        <v/>
      </c>
      <c r="Q101" s="72" t="str">
        <f>IF('Registrar bienes de inversión'!Q101="","",'Registrar bienes de inversión'!Q101)</f>
        <v/>
      </c>
      <c r="R101" s="64" t="str">
        <f>IF('Registrar bienes de inversión'!R101="","",'Registrar bienes de inversión'!R101)</f>
        <v/>
      </c>
      <c r="S101" s="60" t="str">
        <f>IF('Registrar bienes de inversión'!S101="","",'Registrar bienes de inversión'!S101)</f>
        <v/>
      </c>
      <c r="T101" s="60" t="str">
        <f>IF('Registrar bienes de inversión'!T101="","",'Registrar bienes de inversión'!T101)</f>
        <v/>
      </c>
      <c r="U101" s="60" t="str">
        <f>IF('Registrar bienes de inversión'!U101="","",'Registrar bienes de inversión'!U101)</f>
        <v/>
      </c>
      <c r="V101" s="60" t="str">
        <f>IF('Registrar bienes de inversión'!V101="","",'Registrar bienes de inversión'!V101)</f>
        <v/>
      </c>
      <c r="W101" s="60" t="str">
        <f>IF(OR('Registrar bienes de inversión'!W101="",LEFT('Registrar bienes de inversión'!W101,2)="01"),"",VLOOKUP(CONCATENATE("TIPO NIF",'Registrar bienes de inversión'!W101),'CODIGO-LITERAL'!$C:$D,2,FALSE))</f>
        <v/>
      </c>
      <c r="X101" s="60" t="str">
        <f>IF('Registrar bienes de inversión'!X101="","",'Registrar bienes de inversión'!X101)</f>
        <v/>
      </c>
      <c r="Y101" s="60" t="str">
        <f>IF('Registrar bienes de inversión'!Y101="","",'Registrar bienes de inversión'!Y101)</f>
        <v/>
      </c>
      <c r="Z101" s="60" t="str">
        <f>IF('Registrar bienes de inversión'!Z101="","",'Registrar bienes de inversión'!Z101)</f>
        <v/>
      </c>
      <c r="AA101" s="72" t="str">
        <f>IF('Registrar bienes de inversión'!AA101="","",ROUND('Registrar bienes de inversión'!AA101,2))</f>
        <v/>
      </c>
      <c r="AB101" s="72" t="str">
        <f>IF('Registrar bienes de inversión'!AB101="","",'Registrar bienes de inversión'!AB101)</f>
        <v/>
      </c>
      <c r="AC101" s="72" t="str">
        <f>IF('Registrar bienes de inversión'!AC101="","",ROUND('Registrar bienes de inversión'!AC101,2))</f>
        <v/>
      </c>
      <c r="AD101" s="72" t="str">
        <f>IF('Registrar bienes de inversión'!AD101="","",ROUND('Registrar bienes de inversión'!AD101,2))</f>
        <v/>
      </c>
      <c r="AE101" s="72" t="str">
        <f>IF('Registrar bienes de inversión'!AE101="","",ROUND('Registrar bienes de inversión'!AE101,2))</f>
        <v/>
      </c>
      <c r="AF101" s="72" t="str">
        <f>IF('Registrar bienes de inversión'!AF101="","",ROUND('Registrar bienes de inversión'!AF101,2))</f>
        <v/>
      </c>
      <c r="AG101" s="72" t="str">
        <f>IF('Registrar bienes de inversión'!AG101="","",ROUND('Registrar bienes de inversión'!AG101,2))</f>
        <v/>
      </c>
      <c r="AH101" s="64" t="str">
        <f>IF('Registrar bienes de inversión'!AH101="","",'Registrar bienes de inversión'!AH101)</f>
        <v/>
      </c>
      <c r="AI101" s="60" t="str">
        <f>IF('Registrar bienes de inversión'!AI101="","",VLOOKUP(CONCATENATE("CAUSA BAJA BIEN",'Registrar bienes de inversión'!AI101),'CODIGO-LITERAL'!$C:$D,2,FALSE))</f>
        <v/>
      </c>
      <c r="AJ101" s="60" t="str">
        <f>IF('Registrar bienes de inversión'!AJ101="","",'Registrar bienes de inversión'!AJ101)</f>
        <v/>
      </c>
      <c r="AK101" s="60" t="str">
        <f>IF('Registrar bienes de inversión'!AK101="","",'Registrar bienes de inversión'!AK101)</f>
        <v/>
      </c>
      <c r="AL101" s="60" t="str">
        <f>IF('Registrar bienes de inversión'!AL101="","",'Registrar bienes de inversión'!AL101)</f>
        <v/>
      </c>
      <c r="AM101" s="60" t="str">
        <f>IF('Registrar bienes de inversión'!AM101="","",'Registrar bienes de inversión'!AM101)</f>
        <v/>
      </c>
      <c r="AN101" s="60" t="str">
        <f>IF('Registrar bienes de inversión'!AN101="","",VLOOKUP(CONCATENATE("SITUACION",'Registrar bienes de inversión'!AN101),'CODIGO-LITERAL'!$C:$D,2,FALSE))</f>
        <v/>
      </c>
      <c r="AO101" s="60" t="str">
        <f>IF('Registrar bienes de inversión'!AO101="","",'Registrar bienes de inversión'!AO101)</f>
        <v/>
      </c>
      <c r="AP101" s="60" t="str">
        <f>IF('Registrar bienes de inversión'!AP101="","",'Registrar bienes de inversión'!AP101)</f>
        <v/>
      </c>
    </row>
    <row r="102" spans="1:42" x14ac:dyDescent="0.25">
      <c r="A102" s="71" t="str">
        <f>IF('Registrar bienes de inversión'!A102="","",'Registrar bienes de inversión'!A102)</f>
        <v/>
      </c>
      <c r="B102" s="60" t="str">
        <f>IF('Registrar bienes de inversión'!B102="","",'Registrar bienes de inversión'!B102)</f>
        <v/>
      </c>
      <c r="C102" s="60" t="str">
        <f>IF('Registrar bienes de inversión'!C102="","",VLOOKUP(CONCATENATE("ACTIVIDAD",'Registrar bienes de inversión'!C102),'CODIGO-LITERAL'!$C:$D,2,FALSE))</f>
        <v/>
      </c>
      <c r="D102" s="60" t="str">
        <f>IF(OR(C102="C",C102="D"),"",IF(ISERROR(VLOOKUP(CONCATENATE(C102,'Registrar bienes de inversión'!D102),'CODIGO-LITERAL'!$C:$D,2,FALSE)),"",VLOOKUP(CONCATENATE(C102,'Registrar bienes de inversión'!D102),'CODIGO-LITERAL'!$C:$D,2,FALSE)))</f>
        <v/>
      </c>
      <c r="E102" s="60" t="str">
        <f>IF('Registrar bienes de inversión'!E102="","",'Registrar bienes de inversión'!E102)</f>
        <v/>
      </c>
      <c r="F102" s="60" t="str">
        <f>IF('Registrar bienes de inversión'!F102="","",VLOOKUP(CONCATENATE("TIPO BIEN",'Registrar bienes de inversión'!F102),'CODIGO-LITERAL'!$C:$D,2,FALSE))</f>
        <v/>
      </c>
      <c r="G102" s="60" t="str">
        <f>IF('Registrar bienes de inversión'!G102="","",'Registrar bienes de inversión'!G102)</f>
        <v/>
      </c>
      <c r="H102" s="60" t="str">
        <f>IF('Registrar bienes de inversión'!H102="","",'Registrar bienes de inversión'!H102)</f>
        <v/>
      </c>
      <c r="I102" s="64" t="str">
        <f>IF('Registrar bienes de inversión'!I102="","",'Registrar bienes de inversión'!I102)</f>
        <v/>
      </c>
      <c r="J102" s="72" t="str">
        <f>IF('Registrar bienes de inversión'!J102="","",'Registrar bienes de inversión'!J102)</f>
        <v/>
      </c>
      <c r="K102" s="72" t="str">
        <f>IF('Registrar bienes de inversión'!K102="","",'Registrar bienes de inversión'!K102)</f>
        <v/>
      </c>
      <c r="L102" s="60" t="str">
        <f>IF('Registrar bienes de inversión'!L102="","",VLOOKUP(CONCATENATE("METODO AMORTIZACION",'Registrar bienes de inversión'!L102),'CODIGO-LITERAL'!$C:$D,2,FALSE))</f>
        <v/>
      </c>
      <c r="M102" s="72" t="str">
        <f>IF('Registrar bienes de inversión'!M102="","",'Registrar bienes de inversión'!M102)</f>
        <v/>
      </c>
      <c r="N102" s="72" t="str">
        <f>IF('Registrar bienes de inversión'!N102="","",'Registrar bienes de inversión'!N102)</f>
        <v/>
      </c>
      <c r="O102" s="72" t="str">
        <f>IF('Registrar bienes de inversión'!O102="","",'Registrar bienes de inversión'!O102)</f>
        <v/>
      </c>
      <c r="P102" s="72" t="str">
        <f>IF('Registrar bienes de inversión'!P102="","",'Registrar bienes de inversión'!P102)</f>
        <v/>
      </c>
      <c r="Q102" s="72" t="str">
        <f>IF('Registrar bienes de inversión'!Q102="","",'Registrar bienes de inversión'!Q102)</f>
        <v/>
      </c>
      <c r="R102" s="64" t="str">
        <f>IF('Registrar bienes de inversión'!R102="","",'Registrar bienes de inversión'!R102)</f>
        <v/>
      </c>
      <c r="S102" s="60" t="str">
        <f>IF('Registrar bienes de inversión'!S102="","",'Registrar bienes de inversión'!S102)</f>
        <v/>
      </c>
      <c r="T102" s="60" t="str">
        <f>IF('Registrar bienes de inversión'!T102="","",'Registrar bienes de inversión'!T102)</f>
        <v/>
      </c>
      <c r="U102" s="60" t="str">
        <f>IF('Registrar bienes de inversión'!U102="","",'Registrar bienes de inversión'!U102)</f>
        <v/>
      </c>
      <c r="V102" s="60" t="str">
        <f>IF('Registrar bienes de inversión'!V102="","",'Registrar bienes de inversión'!V102)</f>
        <v/>
      </c>
      <c r="W102" s="60" t="str">
        <f>IF(OR('Registrar bienes de inversión'!W102="",LEFT('Registrar bienes de inversión'!W102,2)="01"),"",VLOOKUP(CONCATENATE("TIPO NIF",'Registrar bienes de inversión'!W102),'CODIGO-LITERAL'!$C:$D,2,FALSE))</f>
        <v/>
      </c>
      <c r="X102" s="60" t="str">
        <f>IF('Registrar bienes de inversión'!X102="","",'Registrar bienes de inversión'!X102)</f>
        <v/>
      </c>
      <c r="Y102" s="60" t="str">
        <f>IF('Registrar bienes de inversión'!Y102="","",'Registrar bienes de inversión'!Y102)</f>
        <v/>
      </c>
      <c r="Z102" s="60" t="str">
        <f>IF('Registrar bienes de inversión'!Z102="","",'Registrar bienes de inversión'!Z102)</f>
        <v/>
      </c>
      <c r="AA102" s="72" t="str">
        <f>IF('Registrar bienes de inversión'!AA102="","",ROUND('Registrar bienes de inversión'!AA102,2))</f>
        <v/>
      </c>
      <c r="AB102" s="72" t="str">
        <f>IF('Registrar bienes de inversión'!AB102="","",'Registrar bienes de inversión'!AB102)</f>
        <v/>
      </c>
      <c r="AC102" s="72" t="str">
        <f>IF('Registrar bienes de inversión'!AC102="","",ROUND('Registrar bienes de inversión'!AC102,2))</f>
        <v/>
      </c>
      <c r="AD102" s="72" t="str">
        <f>IF('Registrar bienes de inversión'!AD102="","",ROUND('Registrar bienes de inversión'!AD102,2))</f>
        <v/>
      </c>
      <c r="AE102" s="72" t="str">
        <f>IF('Registrar bienes de inversión'!AE102="","",ROUND('Registrar bienes de inversión'!AE102,2))</f>
        <v/>
      </c>
      <c r="AF102" s="72" t="str">
        <f>IF('Registrar bienes de inversión'!AF102="","",ROUND('Registrar bienes de inversión'!AF102,2))</f>
        <v/>
      </c>
      <c r="AG102" s="72" t="str">
        <f>IF('Registrar bienes de inversión'!AG102="","",ROUND('Registrar bienes de inversión'!AG102,2))</f>
        <v/>
      </c>
      <c r="AH102" s="64" t="str">
        <f>IF('Registrar bienes de inversión'!AH102="","",'Registrar bienes de inversión'!AH102)</f>
        <v/>
      </c>
      <c r="AI102" s="60" t="str">
        <f>IF('Registrar bienes de inversión'!AI102="","",VLOOKUP(CONCATENATE("CAUSA BAJA BIEN",'Registrar bienes de inversión'!AI102),'CODIGO-LITERAL'!$C:$D,2,FALSE))</f>
        <v/>
      </c>
      <c r="AJ102" s="60" t="str">
        <f>IF('Registrar bienes de inversión'!AJ102="","",'Registrar bienes de inversión'!AJ102)</f>
        <v/>
      </c>
      <c r="AK102" s="60" t="str">
        <f>IF('Registrar bienes de inversión'!AK102="","",'Registrar bienes de inversión'!AK102)</f>
        <v/>
      </c>
      <c r="AL102" s="60" t="str">
        <f>IF('Registrar bienes de inversión'!AL102="","",'Registrar bienes de inversión'!AL102)</f>
        <v/>
      </c>
      <c r="AM102" s="60" t="str">
        <f>IF('Registrar bienes de inversión'!AM102="","",'Registrar bienes de inversión'!AM102)</f>
        <v/>
      </c>
      <c r="AN102" s="60" t="str">
        <f>IF('Registrar bienes de inversión'!AN102="","",VLOOKUP(CONCATENATE("SITUACION",'Registrar bienes de inversión'!AN102),'CODIGO-LITERAL'!$C:$D,2,FALSE))</f>
        <v/>
      </c>
      <c r="AO102" s="60" t="str">
        <f>IF('Registrar bienes de inversión'!AO102="","",'Registrar bienes de inversión'!AO102)</f>
        <v/>
      </c>
      <c r="AP102" s="60" t="str">
        <f>IF('Registrar bienes de inversión'!AP102="","",'Registrar bienes de inversión'!AP102)</f>
        <v/>
      </c>
    </row>
    <row r="103" spans="1:42" x14ac:dyDescent="0.25">
      <c r="A103" s="71" t="str">
        <f>IF('Registrar bienes de inversión'!A103="","",'Registrar bienes de inversión'!A103)</f>
        <v/>
      </c>
      <c r="B103" s="60" t="str">
        <f>IF('Registrar bienes de inversión'!B103="","",'Registrar bienes de inversión'!B103)</f>
        <v/>
      </c>
      <c r="C103" s="60" t="str">
        <f>IF('Registrar bienes de inversión'!C103="","",VLOOKUP(CONCATENATE("ACTIVIDAD",'Registrar bienes de inversión'!C103),'CODIGO-LITERAL'!$C:$D,2,FALSE))</f>
        <v/>
      </c>
      <c r="D103" s="60" t="str">
        <f>IF(OR(C103="C",C103="D"),"",IF(ISERROR(VLOOKUP(CONCATENATE(C103,'Registrar bienes de inversión'!D103),'CODIGO-LITERAL'!$C:$D,2,FALSE)),"",VLOOKUP(CONCATENATE(C103,'Registrar bienes de inversión'!D103),'CODIGO-LITERAL'!$C:$D,2,FALSE)))</f>
        <v/>
      </c>
      <c r="E103" s="60" t="str">
        <f>IF('Registrar bienes de inversión'!E103="","",'Registrar bienes de inversión'!E103)</f>
        <v/>
      </c>
      <c r="F103" s="60" t="str">
        <f>IF('Registrar bienes de inversión'!F103="","",VLOOKUP(CONCATENATE("TIPO BIEN",'Registrar bienes de inversión'!F103),'CODIGO-LITERAL'!$C:$D,2,FALSE))</f>
        <v/>
      </c>
      <c r="G103" s="60" t="str">
        <f>IF('Registrar bienes de inversión'!G103="","",'Registrar bienes de inversión'!G103)</f>
        <v/>
      </c>
      <c r="H103" s="60" t="str">
        <f>IF('Registrar bienes de inversión'!H103="","",'Registrar bienes de inversión'!H103)</f>
        <v/>
      </c>
      <c r="I103" s="64" t="str">
        <f>IF('Registrar bienes de inversión'!I103="","",'Registrar bienes de inversión'!I103)</f>
        <v/>
      </c>
      <c r="J103" s="72" t="str">
        <f>IF('Registrar bienes de inversión'!J103="","",'Registrar bienes de inversión'!J103)</f>
        <v/>
      </c>
      <c r="K103" s="72" t="str">
        <f>IF('Registrar bienes de inversión'!K103="","",'Registrar bienes de inversión'!K103)</f>
        <v/>
      </c>
      <c r="L103" s="60" t="str">
        <f>IF('Registrar bienes de inversión'!L103="","",VLOOKUP(CONCATENATE("METODO AMORTIZACION",'Registrar bienes de inversión'!L103),'CODIGO-LITERAL'!$C:$D,2,FALSE))</f>
        <v/>
      </c>
      <c r="M103" s="72" t="str">
        <f>IF('Registrar bienes de inversión'!M103="","",'Registrar bienes de inversión'!M103)</f>
        <v/>
      </c>
      <c r="N103" s="72" t="str">
        <f>IF('Registrar bienes de inversión'!N103="","",'Registrar bienes de inversión'!N103)</f>
        <v/>
      </c>
      <c r="O103" s="72" t="str">
        <f>IF('Registrar bienes de inversión'!O103="","",'Registrar bienes de inversión'!O103)</f>
        <v/>
      </c>
      <c r="P103" s="72" t="str">
        <f>IF('Registrar bienes de inversión'!P103="","",'Registrar bienes de inversión'!P103)</f>
        <v/>
      </c>
      <c r="Q103" s="72" t="str">
        <f>IF('Registrar bienes de inversión'!Q103="","",'Registrar bienes de inversión'!Q103)</f>
        <v/>
      </c>
      <c r="R103" s="64" t="str">
        <f>IF('Registrar bienes de inversión'!R103="","",'Registrar bienes de inversión'!R103)</f>
        <v/>
      </c>
      <c r="S103" s="60" t="str">
        <f>IF('Registrar bienes de inversión'!S103="","",'Registrar bienes de inversión'!S103)</f>
        <v/>
      </c>
      <c r="T103" s="60" t="str">
        <f>IF('Registrar bienes de inversión'!T103="","",'Registrar bienes de inversión'!T103)</f>
        <v/>
      </c>
      <c r="U103" s="60" t="str">
        <f>IF('Registrar bienes de inversión'!U103="","",'Registrar bienes de inversión'!U103)</f>
        <v/>
      </c>
      <c r="V103" s="60" t="str">
        <f>IF('Registrar bienes de inversión'!V103="","",'Registrar bienes de inversión'!V103)</f>
        <v/>
      </c>
      <c r="W103" s="60" t="str">
        <f>IF(OR('Registrar bienes de inversión'!W103="",LEFT('Registrar bienes de inversión'!W103,2)="01"),"",VLOOKUP(CONCATENATE("TIPO NIF",'Registrar bienes de inversión'!W103),'CODIGO-LITERAL'!$C:$D,2,FALSE))</f>
        <v/>
      </c>
      <c r="X103" s="60" t="str">
        <f>IF('Registrar bienes de inversión'!X103="","",'Registrar bienes de inversión'!X103)</f>
        <v/>
      </c>
      <c r="Y103" s="60" t="str">
        <f>IF('Registrar bienes de inversión'!Y103="","",'Registrar bienes de inversión'!Y103)</f>
        <v/>
      </c>
      <c r="Z103" s="60" t="str">
        <f>IF('Registrar bienes de inversión'!Z103="","",'Registrar bienes de inversión'!Z103)</f>
        <v/>
      </c>
      <c r="AA103" s="72" t="str">
        <f>IF('Registrar bienes de inversión'!AA103="","",ROUND('Registrar bienes de inversión'!AA103,2))</f>
        <v/>
      </c>
      <c r="AB103" s="72" t="str">
        <f>IF('Registrar bienes de inversión'!AB103="","",'Registrar bienes de inversión'!AB103)</f>
        <v/>
      </c>
      <c r="AC103" s="72" t="str">
        <f>IF('Registrar bienes de inversión'!AC103="","",ROUND('Registrar bienes de inversión'!AC103,2))</f>
        <v/>
      </c>
      <c r="AD103" s="72" t="str">
        <f>IF('Registrar bienes de inversión'!AD103="","",ROUND('Registrar bienes de inversión'!AD103,2))</f>
        <v/>
      </c>
      <c r="AE103" s="72" t="str">
        <f>IF('Registrar bienes de inversión'!AE103="","",ROUND('Registrar bienes de inversión'!AE103,2))</f>
        <v/>
      </c>
      <c r="AF103" s="72" t="str">
        <f>IF('Registrar bienes de inversión'!AF103="","",ROUND('Registrar bienes de inversión'!AF103,2))</f>
        <v/>
      </c>
      <c r="AG103" s="72" t="str">
        <f>IF('Registrar bienes de inversión'!AG103="","",ROUND('Registrar bienes de inversión'!AG103,2))</f>
        <v/>
      </c>
      <c r="AH103" s="64" t="str">
        <f>IF('Registrar bienes de inversión'!AH103="","",'Registrar bienes de inversión'!AH103)</f>
        <v/>
      </c>
      <c r="AI103" s="60" t="str">
        <f>IF('Registrar bienes de inversión'!AI103="","",VLOOKUP(CONCATENATE("CAUSA BAJA BIEN",'Registrar bienes de inversión'!AI103),'CODIGO-LITERAL'!$C:$D,2,FALSE))</f>
        <v/>
      </c>
      <c r="AJ103" s="60" t="str">
        <f>IF('Registrar bienes de inversión'!AJ103="","",'Registrar bienes de inversión'!AJ103)</f>
        <v/>
      </c>
      <c r="AK103" s="60" t="str">
        <f>IF('Registrar bienes de inversión'!AK103="","",'Registrar bienes de inversión'!AK103)</f>
        <v/>
      </c>
      <c r="AL103" s="60" t="str">
        <f>IF('Registrar bienes de inversión'!AL103="","",'Registrar bienes de inversión'!AL103)</f>
        <v/>
      </c>
      <c r="AM103" s="60" t="str">
        <f>IF('Registrar bienes de inversión'!AM103="","",'Registrar bienes de inversión'!AM103)</f>
        <v/>
      </c>
      <c r="AN103" s="60" t="str">
        <f>IF('Registrar bienes de inversión'!AN103="","",VLOOKUP(CONCATENATE("SITUACION",'Registrar bienes de inversión'!AN103),'CODIGO-LITERAL'!$C:$D,2,FALSE))</f>
        <v/>
      </c>
      <c r="AO103" s="60" t="str">
        <f>IF('Registrar bienes de inversión'!AO103="","",'Registrar bienes de inversión'!AO103)</f>
        <v/>
      </c>
      <c r="AP103" s="60" t="str">
        <f>IF('Registrar bienes de inversión'!AP103="","",'Registrar bienes de inversión'!AP103)</f>
        <v/>
      </c>
    </row>
  </sheetData>
  <sheetProtection algorithmName="SHA-512" hashValue="pRWWinskn66BtaxMInXsYO3RaslOnKgWAdbLUUjSE8ZTmYiGMyj7X7a4k0eR4C6yTIkfEgHBsQqF5lDTdRqFQA==" saltValue="nuCWPBvHjmHJLMZ1JygBBg==" spinCount="100000" sheet="1" objects="1" scenarios="1"/>
  <mergeCells count="23">
    <mergeCell ref="A1:B1"/>
    <mergeCell ref="F1:F2"/>
    <mergeCell ref="V1:V2"/>
    <mergeCell ref="U1:U2"/>
    <mergeCell ref="S1:T1"/>
    <mergeCell ref="R1:R2"/>
    <mergeCell ref="M1:M2"/>
    <mergeCell ref="N1:Q1"/>
    <mergeCell ref="I1:I2"/>
    <mergeCell ref="C1:E1"/>
    <mergeCell ref="AN1:AO1"/>
    <mergeCell ref="AP1:AP2"/>
    <mergeCell ref="G1:H1"/>
    <mergeCell ref="J1:J2"/>
    <mergeCell ref="K1:K2"/>
    <mergeCell ref="L1:L2"/>
    <mergeCell ref="AA1:AD1"/>
    <mergeCell ref="AM1:AM2"/>
    <mergeCell ref="AJ1:AL1"/>
    <mergeCell ref="AH1:AI1"/>
    <mergeCell ref="AE1:AG1"/>
    <mergeCell ref="W1:Y1"/>
    <mergeCell ref="Z1:Z2"/>
  </mergeCells>
  <pageMargins left="0.70866141732283472" right="0.70866141732283472" top="0.74803149606299213" bottom="0.74803149606299213" header="0.31496062992125984" footer="0.31496062992125984"/>
  <pageSetup paperSize="8" scale="2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F213"/>
  <sheetViews>
    <sheetView topLeftCell="A160" workbookViewId="0">
      <selection activeCell="B182" sqref="B182"/>
    </sheetView>
  </sheetViews>
  <sheetFormatPr baseColWidth="10" defaultRowHeight="15" x14ac:dyDescent="0.25"/>
  <cols>
    <col min="1" max="1" width="32.7109375" bestFit="1" customWidth="1"/>
    <col min="2" max="2" width="71.5703125" bestFit="1" customWidth="1"/>
    <col min="3" max="3" width="70.5703125" bestFit="1" customWidth="1"/>
    <col min="7" max="7" width="11.85546875" bestFit="1" customWidth="1"/>
  </cols>
  <sheetData>
    <row r="1" spans="1:5" x14ac:dyDescent="0.25">
      <c r="A1" t="s">
        <v>116</v>
      </c>
      <c r="B1" t="s">
        <v>240</v>
      </c>
      <c r="C1" s="3" t="str">
        <f t="shared" ref="C1:C32" si="0">CONCATENATE(A1,B1)</f>
        <v>A01-Arrendadores de bienes inmuebles</v>
      </c>
      <c r="D1" s="3" t="s">
        <v>117</v>
      </c>
      <c r="E1" t="str">
        <f>CONCATENATE(D1,"-",B1)</f>
        <v>01-01-Arrendadores de bienes inmuebles</v>
      </c>
    </row>
    <row r="2" spans="1:5" x14ac:dyDescent="0.25">
      <c r="A2" t="s">
        <v>116</v>
      </c>
      <c r="B2" t="s">
        <v>241</v>
      </c>
      <c r="C2" s="3" t="str">
        <f t="shared" si="0"/>
        <v xml:space="preserve">A02-Ganadería independiente </v>
      </c>
      <c r="D2" s="3" t="s">
        <v>118</v>
      </c>
      <c r="E2" t="str">
        <f t="shared" ref="E2:E65" si="1">CONCATENATE(D2,"-",B2)</f>
        <v xml:space="preserve">02-02-Ganadería independiente </v>
      </c>
    </row>
    <row r="3" spans="1:5" x14ac:dyDescent="0.25">
      <c r="A3" t="s">
        <v>116</v>
      </c>
      <c r="B3" t="s">
        <v>242</v>
      </c>
      <c r="C3" s="3" t="str">
        <f t="shared" si="0"/>
        <v>A03-Resto de actividades empresariales no incluidas en los dos subtipos anteriores</v>
      </c>
      <c r="D3" s="3" t="s">
        <v>122</v>
      </c>
      <c r="E3" t="str">
        <f t="shared" si="1"/>
        <v>03-03-Resto de actividades empresariales no incluidas en los dos subtipos anteriores</v>
      </c>
    </row>
    <row r="4" spans="1:5" x14ac:dyDescent="0.25">
      <c r="A4" t="s">
        <v>116</v>
      </c>
      <c r="B4" t="s">
        <v>243</v>
      </c>
      <c r="C4" s="3" t="str">
        <f t="shared" si="0"/>
        <v xml:space="preserve">A04-Actividades profesionales de carácter artístico o deportivo </v>
      </c>
      <c r="D4" s="3" t="s">
        <v>126</v>
      </c>
      <c r="E4" t="str">
        <f t="shared" si="1"/>
        <v xml:space="preserve">04-04-Actividades profesionales de carácter artístico o deportivo </v>
      </c>
    </row>
    <row r="5" spans="1:5" x14ac:dyDescent="0.25">
      <c r="A5" t="s">
        <v>116</v>
      </c>
      <c r="B5" t="s">
        <v>244</v>
      </c>
      <c r="C5" s="3" t="str">
        <f t="shared" si="0"/>
        <v>A05-Resto de actividades profesionales</v>
      </c>
      <c r="D5" s="3" t="s">
        <v>130</v>
      </c>
      <c r="E5" t="str">
        <f t="shared" si="1"/>
        <v>05-05-Resto de actividades profesionales</v>
      </c>
    </row>
    <row r="6" spans="1:5" x14ac:dyDescent="0.25">
      <c r="A6" t="s">
        <v>195</v>
      </c>
      <c r="B6" t="s">
        <v>245</v>
      </c>
      <c r="C6" t="str">
        <f t="shared" si="0"/>
        <v>ACTIVIDADA-Actividades incluidas en el I.A.E.</v>
      </c>
      <c r="D6" t="s">
        <v>116</v>
      </c>
      <c r="E6" t="str">
        <f t="shared" si="1"/>
        <v>A-A-Actividades incluidas en el I.A.E.</v>
      </c>
    </row>
    <row r="7" spans="1:5" x14ac:dyDescent="0.25">
      <c r="A7" t="s">
        <v>195</v>
      </c>
      <c r="B7" t="s">
        <v>246</v>
      </c>
      <c r="C7" t="str">
        <f t="shared" si="0"/>
        <v>ACTIVIDADB-Actividades no incluidas en el I.A.E.</v>
      </c>
      <c r="D7" t="s">
        <v>121</v>
      </c>
      <c r="E7" t="str">
        <f t="shared" si="1"/>
        <v>B-B-Actividades no incluidas en el I.A.E.</v>
      </c>
    </row>
    <row r="8" spans="1:5" x14ac:dyDescent="0.25">
      <c r="A8" t="s">
        <v>195</v>
      </c>
      <c r="B8" t="s">
        <v>247</v>
      </c>
      <c r="C8" t="str">
        <f t="shared" si="0"/>
        <v>ACTIVIDADC-Actividades no iniciadas</v>
      </c>
      <c r="D8" t="s">
        <v>125</v>
      </c>
      <c r="E8" t="str">
        <f t="shared" si="1"/>
        <v>C-C-Actividades no iniciadas</v>
      </c>
    </row>
    <row r="9" spans="1:5" x14ac:dyDescent="0.25">
      <c r="A9" t="s">
        <v>195</v>
      </c>
      <c r="B9" t="s">
        <v>248</v>
      </c>
      <c r="C9" t="str">
        <f t="shared" si="0"/>
        <v>ACTIVIDADD-Arrendadores de inmuebles no incluidos en los códigos anteriores</v>
      </c>
      <c r="D9" t="s">
        <v>129</v>
      </c>
      <c r="E9" t="str">
        <f t="shared" si="1"/>
        <v>D-D-Arrendadores de inmuebles no incluidos en los códigos anteriores</v>
      </c>
    </row>
    <row r="10" spans="1:5" x14ac:dyDescent="0.25">
      <c r="A10" t="s">
        <v>121</v>
      </c>
      <c r="B10" t="s">
        <v>249</v>
      </c>
      <c r="C10" s="3" t="str">
        <f t="shared" si="0"/>
        <v>B01-Actividad agrícola</v>
      </c>
      <c r="D10" s="3" t="s">
        <v>117</v>
      </c>
      <c r="E10" t="str">
        <f t="shared" si="1"/>
        <v>01-01-Actividad agrícola</v>
      </c>
    </row>
    <row r="11" spans="1:5" x14ac:dyDescent="0.25">
      <c r="A11" t="s">
        <v>121</v>
      </c>
      <c r="B11" t="s">
        <v>250</v>
      </c>
      <c r="C11" s="3" t="str">
        <f t="shared" si="0"/>
        <v xml:space="preserve">B02-Actividad ganadera dependiente </v>
      </c>
      <c r="D11" s="3" t="s">
        <v>118</v>
      </c>
      <c r="E11" t="str">
        <f t="shared" si="1"/>
        <v xml:space="preserve">02-02-Actividad ganadera dependiente </v>
      </c>
    </row>
    <row r="12" spans="1:5" x14ac:dyDescent="0.25">
      <c r="A12" t="s">
        <v>121</v>
      </c>
      <c r="B12" t="s">
        <v>251</v>
      </c>
      <c r="C12" s="3" t="str">
        <f t="shared" si="0"/>
        <v>B03-Actividad forestal</v>
      </c>
      <c r="D12" s="3" t="s">
        <v>122</v>
      </c>
      <c r="E12" t="str">
        <f t="shared" si="1"/>
        <v>03-03-Actividad forestal</v>
      </c>
    </row>
    <row r="13" spans="1:5" x14ac:dyDescent="0.25">
      <c r="A13" t="s">
        <v>121</v>
      </c>
      <c r="B13" t="s">
        <v>252</v>
      </c>
      <c r="C13" s="3" t="str">
        <f t="shared" si="0"/>
        <v>B04-Producción del mejillón en batea</v>
      </c>
      <c r="D13" s="3" t="s">
        <v>126</v>
      </c>
      <c r="E13" t="str">
        <f t="shared" si="1"/>
        <v>04-04-Producción del mejillón en batea</v>
      </c>
    </row>
    <row r="14" spans="1:5" x14ac:dyDescent="0.25">
      <c r="A14" t="s">
        <v>121</v>
      </c>
      <c r="B14" t="s">
        <v>253</v>
      </c>
      <c r="C14" s="3" t="str">
        <f t="shared" si="0"/>
        <v>B05-Actividad pesquera, excepto la actividad de producción de mejillón en batea</v>
      </c>
      <c r="D14" s="3" t="s">
        <v>130</v>
      </c>
      <c r="E14" t="str">
        <f t="shared" si="1"/>
        <v>05-05-Actividad pesquera, excepto la actividad de producción de mejillón en batea</v>
      </c>
    </row>
    <row r="15" spans="1:5" x14ac:dyDescent="0.25">
      <c r="A15" t="s">
        <v>121</v>
      </c>
      <c r="B15" t="s">
        <v>254</v>
      </c>
      <c r="C15" s="3" t="str">
        <f t="shared" si="0"/>
        <v>B06-Otras actividades NO sujetas al I.A.E</v>
      </c>
      <c r="D15" s="3" t="s">
        <v>133</v>
      </c>
      <c r="E15" t="str">
        <f t="shared" si="1"/>
        <v>06-06-Otras actividades NO sujetas al I.A.E</v>
      </c>
    </row>
    <row r="16" spans="1:5" x14ac:dyDescent="0.25">
      <c r="A16" t="s">
        <v>200</v>
      </c>
      <c r="B16" t="s">
        <v>255</v>
      </c>
      <c r="C16" s="3" t="str">
        <f t="shared" si="0"/>
        <v>CALIFICACION OPERACIONS1-Operación Sujeta y No exenta - Sin inversión del sujeto pasivo.</v>
      </c>
      <c r="D16" t="s">
        <v>119</v>
      </c>
      <c r="E16" t="str">
        <f t="shared" si="1"/>
        <v>S1-S1-Operación Sujeta y No exenta - Sin inversión del sujeto pasivo.</v>
      </c>
    </row>
    <row r="17" spans="1:5" x14ac:dyDescent="0.25">
      <c r="A17" t="s">
        <v>200</v>
      </c>
      <c r="B17" t="s">
        <v>256</v>
      </c>
      <c r="C17" s="3" t="str">
        <f t="shared" si="0"/>
        <v>CALIFICACION OPERACIONS2-Operación Sujeta y No exenta - Con Inversión del sujeto pasivo.</v>
      </c>
      <c r="D17" t="s">
        <v>123</v>
      </c>
      <c r="E17" t="str">
        <f t="shared" si="1"/>
        <v>S2-S2-Operación Sujeta y No exenta - Con Inversión del sujeto pasivo.</v>
      </c>
    </row>
    <row r="18" spans="1:5" x14ac:dyDescent="0.25">
      <c r="A18" t="s">
        <v>200</v>
      </c>
      <c r="B18" t="s">
        <v>257</v>
      </c>
      <c r="C18" s="3" t="str">
        <f t="shared" si="0"/>
        <v>CALIFICACION OPERACIONN1-Operación No Sujeta artículo 7, 14, otros.</v>
      </c>
      <c r="D18" t="s">
        <v>127</v>
      </c>
      <c r="E18" t="str">
        <f t="shared" si="1"/>
        <v>N1-N1-Operación No Sujeta artículo 7, 14, otros.</v>
      </c>
    </row>
    <row r="19" spans="1:5" x14ac:dyDescent="0.25">
      <c r="A19" t="s">
        <v>200</v>
      </c>
      <c r="B19" t="s">
        <v>258</v>
      </c>
      <c r="C19" s="3" t="str">
        <f t="shared" si="0"/>
        <v>CALIFICACION OPERACIONN2-Operación No Sujeta por Reglas de localización.</v>
      </c>
      <c r="D19" t="s">
        <v>131</v>
      </c>
      <c r="E19" t="str">
        <f t="shared" si="1"/>
        <v>N2-N2-Operación No Sujeta por Reglas de localización.</v>
      </c>
    </row>
    <row r="20" spans="1:5" x14ac:dyDescent="0.25">
      <c r="A20" t="s">
        <v>238</v>
      </c>
      <c r="B20" t="s">
        <v>259</v>
      </c>
      <c r="C20" t="str">
        <f t="shared" si="0"/>
        <v>CAUSA BAJA BIEN01-Amortización total</v>
      </c>
      <c r="D20" t="s">
        <v>117</v>
      </c>
      <c r="E20" t="str">
        <f t="shared" si="1"/>
        <v>01-01-Amortización total</v>
      </c>
    </row>
    <row r="21" spans="1:5" x14ac:dyDescent="0.25">
      <c r="A21" t="s">
        <v>238</v>
      </c>
      <c r="B21" t="s">
        <v>260</v>
      </c>
      <c r="C21" t="str">
        <f t="shared" si="0"/>
        <v>CAUSA BAJA BIEN02-Venta o transmisión</v>
      </c>
      <c r="D21" t="s">
        <v>118</v>
      </c>
      <c r="E21" t="str">
        <f t="shared" si="1"/>
        <v>02-02-Venta o transmisión</v>
      </c>
    </row>
    <row r="22" spans="1:5" x14ac:dyDescent="0.25">
      <c r="A22" t="s">
        <v>238</v>
      </c>
      <c r="B22" t="s">
        <v>261</v>
      </c>
      <c r="C22" t="str">
        <f t="shared" si="0"/>
        <v>CAUSA BAJA BIEN03-Deterioro o destrucción</v>
      </c>
      <c r="D22" t="s">
        <v>122</v>
      </c>
      <c r="E22" t="str">
        <f t="shared" si="1"/>
        <v>03-03-Deterioro o destrucción</v>
      </c>
    </row>
    <row r="23" spans="1:5" x14ac:dyDescent="0.25">
      <c r="A23" t="s">
        <v>238</v>
      </c>
      <c r="B23" t="s">
        <v>262</v>
      </c>
      <c r="C23" t="str">
        <f t="shared" si="0"/>
        <v>CAUSA BAJA BIEN04-Retirada del bien por obsolescencia</v>
      </c>
      <c r="D23" t="s">
        <v>126</v>
      </c>
      <c r="E23" t="str">
        <f t="shared" si="1"/>
        <v>04-04-Retirada del bien por obsolescencia</v>
      </c>
    </row>
    <row r="24" spans="1:5" x14ac:dyDescent="0.25">
      <c r="A24" t="s">
        <v>238</v>
      </c>
      <c r="B24" t="s">
        <v>263</v>
      </c>
      <c r="C24" t="str">
        <f t="shared" si="0"/>
        <v>CAUSA BAJA BIEN05-Pérdida</v>
      </c>
      <c r="D24" t="s">
        <v>130</v>
      </c>
      <c r="E24" t="str">
        <f t="shared" si="1"/>
        <v>05-05-Pérdida</v>
      </c>
    </row>
    <row r="25" spans="1:5" x14ac:dyDescent="0.25">
      <c r="A25" t="s">
        <v>238</v>
      </c>
      <c r="B25" t="s">
        <v>264</v>
      </c>
      <c r="C25" t="str">
        <f t="shared" si="0"/>
        <v>CAUSA BAJA BIEN06-Robo</v>
      </c>
      <c r="D25" t="s">
        <v>133</v>
      </c>
      <c r="E25" t="str">
        <f t="shared" si="1"/>
        <v>06-06-Robo</v>
      </c>
    </row>
    <row r="26" spans="1:5" x14ac:dyDescent="0.25">
      <c r="A26" t="s">
        <v>238</v>
      </c>
      <c r="B26" t="s">
        <v>265</v>
      </c>
      <c r="C26" t="str">
        <f t="shared" si="0"/>
        <v>CAUSA BAJA BIEN99-Otras causas diferentes a las anteriores</v>
      </c>
      <c r="D26" t="s">
        <v>239</v>
      </c>
      <c r="E26" t="str">
        <f t="shared" si="1"/>
        <v>99-99-Otras causas diferentes a las anteriores</v>
      </c>
    </row>
    <row r="27" spans="1:5" x14ac:dyDescent="0.25">
      <c r="A27" t="s">
        <v>199</v>
      </c>
      <c r="B27" t="s">
        <v>266</v>
      </c>
      <c r="C27" s="3" t="str">
        <f t="shared" si="0"/>
        <v>CLAVE OPERACION01-Operación de régimen general</v>
      </c>
      <c r="D27" t="s">
        <v>117</v>
      </c>
      <c r="E27" t="str">
        <f t="shared" si="1"/>
        <v>01-01-Operación de régimen general</v>
      </c>
    </row>
    <row r="28" spans="1:5" x14ac:dyDescent="0.25">
      <c r="A28" t="s">
        <v>199</v>
      </c>
      <c r="B28" t="s">
        <v>267</v>
      </c>
      <c r="C28" s="3" t="str">
        <f t="shared" si="0"/>
        <v>CLAVE OPERACION02-Exportación.</v>
      </c>
      <c r="D28" t="s">
        <v>118</v>
      </c>
      <c r="E28" t="str">
        <f t="shared" si="1"/>
        <v>02-02-Exportación.</v>
      </c>
    </row>
    <row r="29" spans="1:5" x14ac:dyDescent="0.25">
      <c r="A29" t="s">
        <v>199</v>
      </c>
      <c r="B29" t="s">
        <v>268</v>
      </c>
      <c r="C29" s="3" t="str">
        <f t="shared" si="0"/>
        <v>CLAVE OPERACION03-Régimen especial de bienes usados, objetos de arte, antigüedades y objetos de colección.</v>
      </c>
      <c r="D29" t="s">
        <v>122</v>
      </c>
      <c r="E29" t="str">
        <f t="shared" si="1"/>
        <v>03-03-Régimen especial de bienes usados, objetos de arte, antigüedades y objetos de colección.</v>
      </c>
    </row>
    <row r="30" spans="1:5" x14ac:dyDescent="0.25">
      <c r="A30" t="s">
        <v>199</v>
      </c>
      <c r="B30" t="s">
        <v>269</v>
      </c>
      <c r="C30" s="3" t="str">
        <f t="shared" si="0"/>
        <v>CLAVE OPERACION04-Régimen especial del oro de inversión.</v>
      </c>
      <c r="D30" t="s">
        <v>126</v>
      </c>
      <c r="E30" t="str">
        <f t="shared" si="1"/>
        <v>04-04-Régimen especial del oro de inversión.</v>
      </c>
    </row>
    <row r="31" spans="1:5" x14ac:dyDescent="0.25">
      <c r="A31" t="s">
        <v>199</v>
      </c>
      <c r="B31" t="s">
        <v>270</v>
      </c>
      <c r="C31" s="3" t="str">
        <f t="shared" si="0"/>
        <v>CLAVE OPERACION05-Régimen especial de las agencias de viajes.</v>
      </c>
      <c r="D31" t="s">
        <v>130</v>
      </c>
      <c r="E31" t="str">
        <f t="shared" si="1"/>
        <v>05-05-Régimen especial de las agencias de viajes.</v>
      </c>
    </row>
    <row r="32" spans="1:5" x14ac:dyDescent="0.25">
      <c r="A32" t="s">
        <v>199</v>
      </c>
      <c r="B32" t="s">
        <v>271</v>
      </c>
      <c r="C32" s="3" t="str">
        <f t="shared" si="0"/>
        <v>CLAVE OPERACION06-Régimen especial grupo de entidades en IVA (Nivel Avanzado)</v>
      </c>
      <c r="D32" t="s">
        <v>133</v>
      </c>
      <c r="E32" t="str">
        <f t="shared" si="1"/>
        <v>06-06-Régimen especial grupo de entidades en IVA (Nivel Avanzado)</v>
      </c>
    </row>
    <row r="33" spans="1:5" x14ac:dyDescent="0.25">
      <c r="A33" t="s">
        <v>199</v>
      </c>
      <c r="B33" t="s">
        <v>272</v>
      </c>
      <c r="C33" s="3" t="str">
        <f t="shared" ref="C33:C64" si="2">CONCATENATE(A33,B33)</f>
        <v>CLAVE OPERACION07-Régimen especial del Criterio de Caja</v>
      </c>
      <c r="D33" t="s">
        <v>136</v>
      </c>
      <c r="E33" t="str">
        <f t="shared" si="1"/>
        <v>07-07-Régimen especial del Criterio de Caja</v>
      </c>
    </row>
    <row r="34" spans="1:5" x14ac:dyDescent="0.25">
      <c r="A34" t="s">
        <v>199</v>
      </c>
      <c r="B34" t="s">
        <v>273</v>
      </c>
      <c r="C34" s="3" t="str">
        <f t="shared" si="2"/>
        <v xml:space="preserve">CLAVE OPERACION08-Operaciones sujetas al IPSI / IGIC </v>
      </c>
      <c r="D34" t="s">
        <v>137</v>
      </c>
      <c r="E34" t="str">
        <f t="shared" si="1"/>
        <v xml:space="preserve">08-08-Operaciones sujetas al IPSI / IGIC </v>
      </c>
    </row>
    <row r="35" spans="1:5" x14ac:dyDescent="0.25">
      <c r="A35" t="s">
        <v>199</v>
      </c>
      <c r="B35" t="s">
        <v>274</v>
      </c>
      <c r="C35" s="3" t="str">
        <f t="shared" si="2"/>
        <v xml:space="preserve">CLAVE OPERACION09-Facturación de las prestaciones de servicios de agencias de viaje que actúan como mediadoras en nombre y por cuenta ajena </v>
      </c>
      <c r="D35" t="s">
        <v>138</v>
      </c>
      <c r="E35" t="str">
        <f t="shared" si="1"/>
        <v xml:space="preserve">09-09-Facturación de las prestaciones de servicios de agencias de viaje que actúan como mediadoras en nombre y por cuenta ajena </v>
      </c>
    </row>
    <row r="36" spans="1:5" x14ac:dyDescent="0.25">
      <c r="A36" t="s">
        <v>199</v>
      </c>
      <c r="B36" t="s">
        <v>275</v>
      </c>
      <c r="C36" s="3" t="str">
        <f t="shared" si="2"/>
        <v>CLAVE OPERACION10-Cobros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v>
      </c>
      <c r="D36" t="s">
        <v>139</v>
      </c>
      <c r="E36" t="str">
        <f t="shared" si="1"/>
        <v>10-10-Cobros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v>
      </c>
    </row>
    <row r="37" spans="1:5" x14ac:dyDescent="0.25">
      <c r="A37" t="s">
        <v>199</v>
      </c>
      <c r="B37" t="s">
        <v>276</v>
      </c>
      <c r="C37" s="3" t="str">
        <f t="shared" si="2"/>
        <v>CLAVE OPERACION11-Operaciones de arrendamiento de local de negocio sujetas a retención.</v>
      </c>
      <c r="D37" t="s">
        <v>140</v>
      </c>
      <c r="E37" t="str">
        <f t="shared" si="1"/>
        <v>11-11-Operaciones de arrendamiento de local de negocio sujetas a retención.</v>
      </c>
    </row>
    <row r="38" spans="1:5" x14ac:dyDescent="0.25">
      <c r="A38" t="s">
        <v>199</v>
      </c>
      <c r="B38" t="s">
        <v>277</v>
      </c>
      <c r="C38" s="3" t="str">
        <f t="shared" si="2"/>
        <v>CLAVE OPERACION12-Operaciones de arrendamiento de local de negocio no sujetos a retención.</v>
      </c>
      <c r="D38" t="s">
        <v>141</v>
      </c>
      <c r="E38" t="str">
        <f t="shared" si="1"/>
        <v>12-12-Operaciones de arrendamiento de local de negocio no sujetos a retención.</v>
      </c>
    </row>
    <row r="39" spans="1:5" x14ac:dyDescent="0.25">
      <c r="A39" t="s">
        <v>199</v>
      </c>
      <c r="B39" t="s">
        <v>278</v>
      </c>
      <c r="C39" s="3" t="str">
        <f t="shared" si="2"/>
        <v>CLAVE OPERACION13-Operaciones de arrendamiento de local de negocio sujetas y no sujetas a retención.</v>
      </c>
      <c r="D39" t="s">
        <v>142</v>
      </c>
      <c r="E39" t="str">
        <f t="shared" si="1"/>
        <v>13-13-Operaciones de arrendamiento de local de negocio sujetas y no sujetas a retención.</v>
      </c>
    </row>
    <row r="40" spans="1:5" x14ac:dyDescent="0.25">
      <c r="A40" t="s">
        <v>199</v>
      </c>
      <c r="B40" t="s">
        <v>279</v>
      </c>
      <c r="C40" s="3" t="str">
        <f t="shared" si="2"/>
        <v>CLAVE OPERACION14-Factura con IVA pendiente de devengo en certificaciones de obra cuyo destinatario sea una Administración Pública.</v>
      </c>
      <c r="D40" t="s">
        <v>143</v>
      </c>
      <c r="E40" t="str">
        <f t="shared" si="1"/>
        <v>14-14-Factura con IVA pendiente de devengo en certificaciones de obra cuyo destinatario sea una Administración Pública.</v>
      </c>
    </row>
    <row r="41" spans="1:5" x14ac:dyDescent="0.25">
      <c r="A41" t="s">
        <v>199</v>
      </c>
      <c r="B41" t="s">
        <v>280</v>
      </c>
      <c r="C41" s="3" t="str">
        <f t="shared" si="2"/>
        <v xml:space="preserve">CLAVE OPERACION15-Factura con IVA pendiente de devengo en operaciones de tracto sucesivo.  </v>
      </c>
      <c r="D41" t="s">
        <v>144</v>
      </c>
      <c r="E41" t="str">
        <f t="shared" si="1"/>
        <v xml:space="preserve">15-15-Factura con IVA pendiente de devengo en operaciones de tracto sucesivo.  </v>
      </c>
    </row>
    <row r="42" spans="1:5" x14ac:dyDescent="0.25">
      <c r="A42" t="s">
        <v>199</v>
      </c>
      <c r="B42" t="s">
        <v>281</v>
      </c>
      <c r="C42" s="3" t="str">
        <f t="shared" si="2"/>
        <v>CLAVE OPERACION17-Operación acogida a alguno de los regímenes previstos en el Capítulo XI del Título IX (OSS e IOSS)</v>
      </c>
      <c r="D42" t="s">
        <v>145</v>
      </c>
      <c r="E42" t="str">
        <f t="shared" si="1"/>
        <v>17-17-Operación acogida a alguno de los regímenes previstos en el Capítulo XI del Título IX (OSS e IOSS)</v>
      </c>
    </row>
    <row r="43" spans="1:5" x14ac:dyDescent="0.25">
      <c r="A43" t="s">
        <v>199</v>
      </c>
      <c r="B43" t="s">
        <v>282</v>
      </c>
      <c r="C43" s="3" t="str">
        <f t="shared" si="2"/>
        <v>CLAVE OPERACION18-Operaciones de actividades incluidas en el Régimen Especial de Recargo de Equivalencia (RERE)</v>
      </c>
      <c r="D43" t="s">
        <v>146</v>
      </c>
      <c r="E43" t="str">
        <f t="shared" si="1"/>
        <v>18-18-Operaciones de actividades incluidas en el Régimen Especial de Recargo de Equivalencia (RERE)</v>
      </c>
    </row>
    <row r="44" spans="1:5" x14ac:dyDescent="0.25">
      <c r="A44" t="s">
        <v>199</v>
      </c>
      <c r="B44" t="s">
        <v>283</v>
      </c>
      <c r="C44" s="3" t="str">
        <f t="shared" si="2"/>
        <v>CLAVE OPERACION19-Operaciones de actividades incluidas en el Régimen Especial de Agricultura, Ganadería y Pesca (REAGYP)</v>
      </c>
      <c r="D44" t="s">
        <v>147</v>
      </c>
      <c r="E44" t="str">
        <f t="shared" si="1"/>
        <v>19-19-Operaciones de actividades incluidas en el Régimen Especial de Agricultura, Ganadería y Pesca (REAGYP)</v>
      </c>
    </row>
    <row r="45" spans="1:5" x14ac:dyDescent="0.25">
      <c r="A45" t="s">
        <v>214</v>
      </c>
      <c r="B45" t="s">
        <v>266</v>
      </c>
      <c r="C45" t="str">
        <f t="shared" si="2"/>
        <v>CLAVE OPERACION GASTO01-Operación de régimen general</v>
      </c>
      <c r="D45" t="s">
        <v>117</v>
      </c>
      <c r="E45" t="str">
        <f t="shared" si="1"/>
        <v>01-01-Operación de régimen general</v>
      </c>
    </row>
    <row r="46" spans="1:5" x14ac:dyDescent="0.25">
      <c r="A46" t="s">
        <v>214</v>
      </c>
      <c r="B46" t="s">
        <v>284</v>
      </c>
      <c r="C46" t="str">
        <f t="shared" si="2"/>
        <v xml:space="preserve">CLAVE OPERACION GASTO02-Operación por la que se satisfacen compensaciones a proveedores acogidos al Régimen Especial de Agricultura Ganadería y Pesca (REAGYP) </v>
      </c>
      <c r="D46" t="s">
        <v>118</v>
      </c>
      <c r="E46" t="str">
        <f t="shared" si="1"/>
        <v xml:space="preserve">02-02-Operación por la que se satisfacen compensaciones a proveedores acogidos al Régimen Especial de Agricultura Ganadería y Pesca (REAGYP) </v>
      </c>
    </row>
    <row r="47" spans="1:5" x14ac:dyDescent="0.25">
      <c r="A47" t="s">
        <v>214</v>
      </c>
      <c r="B47" t="s">
        <v>268</v>
      </c>
      <c r="C47" t="str">
        <f t="shared" si="2"/>
        <v>CLAVE OPERACION GASTO03-Régimen especial de bienes usados, objetos de arte, antigüedades y objetos de colección.</v>
      </c>
      <c r="D47" t="s">
        <v>122</v>
      </c>
      <c r="E47" t="str">
        <f t="shared" si="1"/>
        <v>03-03-Régimen especial de bienes usados, objetos de arte, antigüedades y objetos de colección.</v>
      </c>
    </row>
    <row r="48" spans="1:5" x14ac:dyDescent="0.25">
      <c r="A48" t="s">
        <v>214</v>
      </c>
      <c r="B48" t="s">
        <v>269</v>
      </c>
      <c r="C48" t="str">
        <f t="shared" si="2"/>
        <v>CLAVE OPERACION GASTO04-Régimen especial del oro de inversión.</v>
      </c>
      <c r="D48" t="s">
        <v>126</v>
      </c>
      <c r="E48" t="str">
        <f t="shared" si="1"/>
        <v>04-04-Régimen especial del oro de inversión.</v>
      </c>
    </row>
    <row r="49" spans="1:5" x14ac:dyDescent="0.25">
      <c r="A49" t="s">
        <v>214</v>
      </c>
      <c r="B49" t="s">
        <v>270</v>
      </c>
      <c r="C49" t="str">
        <f t="shared" si="2"/>
        <v>CLAVE OPERACION GASTO05-Régimen especial de las agencias de viajes.</v>
      </c>
      <c r="D49" t="s">
        <v>130</v>
      </c>
      <c r="E49" t="str">
        <f t="shared" si="1"/>
        <v>05-05-Régimen especial de las agencias de viajes.</v>
      </c>
    </row>
    <row r="50" spans="1:5" x14ac:dyDescent="0.25">
      <c r="A50" t="s">
        <v>214</v>
      </c>
      <c r="B50" t="s">
        <v>271</v>
      </c>
      <c r="C50" t="str">
        <f t="shared" si="2"/>
        <v>CLAVE OPERACION GASTO06-Régimen especial grupo de entidades en IVA (Nivel Avanzado)</v>
      </c>
      <c r="D50" t="s">
        <v>133</v>
      </c>
      <c r="E50" t="str">
        <f t="shared" si="1"/>
        <v>06-06-Régimen especial grupo de entidades en IVA (Nivel Avanzado)</v>
      </c>
    </row>
    <row r="51" spans="1:5" x14ac:dyDescent="0.25">
      <c r="A51" t="s">
        <v>214</v>
      </c>
      <c r="B51" t="s">
        <v>272</v>
      </c>
      <c r="C51" t="str">
        <f t="shared" si="2"/>
        <v>CLAVE OPERACION GASTO07-Régimen especial del Criterio de Caja</v>
      </c>
      <c r="D51" t="s">
        <v>136</v>
      </c>
      <c r="E51" t="str">
        <f t="shared" si="1"/>
        <v>07-07-Régimen especial del Criterio de Caja</v>
      </c>
    </row>
    <row r="52" spans="1:5" x14ac:dyDescent="0.25">
      <c r="A52" t="s">
        <v>214</v>
      </c>
      <c r="B52" t="s">
        <v>273</v>
      </c>
      <c r="C52" t="str">
        <f t="shared" si="2"/>
        <v xml:space="preserve">CLAVE OPERACION GASTO08-Operaciones sujetas al IPSI / IGIC </v>
      </c>
      <c r="D52" t="s">
        <v>137</v>
      </c>
      <c r="E52" t="str">
        <f t="shared" si="1"/>
        <v xml:space="preserve">08-08-Operaciones sujetas al IPSI / IGIC </v>
      </c>
    </row>
    <row r="53" spans="1:5" x14ac:dyDescent="0.25">
      <c r="A53" t="s">
        <v>214</v>
      </c>
      <c r="B53" t="s">
        <v>285</v>
      </c>
      <c r="C53" t="str">
        <f t="shared" si="2"/>
        <v>CLAVE OPERACION GASTO09-Adquisiciones intracomunitarias de bienes y prestaciones de servicios.</v>
      </c>
      <c r="D53" t="s">
        <v>138</v>
      </c>
      <c r="E53" t="str">
        <f t="shared" si="1"/>
        <v>09-09-Adquisiciones intracomunitarias de bienes y prestaciones de servicios.</v>
      </c>
    </row>
    <row r="54" spans="1:5" x14ac:dyDescent="0.25">
      <c r="A54" t="s">
        <v>214</v>
      </c>
      <c r="B54" t="s">
        <v>286</v>
      </c>
      <c r="C54" t="str">
        <f t="shared" si="2"/>
        <v>CLAVE OPERACION GASTO12-Operaciones de arrendamiento de local de negocio.</v>
      </c>
      <c r="D54" t="s">
        <v>141</v>
      </c>
      <c r="E54" t="str">
        <f t="shared" si="1"/>
        <v>12-12-Operaciones de arrendamiento de local de negocio.</v>
      </c>
    </row>
    <row r="55" spans="1:5" x14ac:dyDescent="0.25">
      <c r="A55" t="s">
        <v>214</v>
      </c>
      <c r="B55" t="s">
        <v>287</v>
      </c>
      <c r="C55" t="str">
        <f t="shared" si="2"/>
        <v>CLAVE OPERACION GASTO13-Factura correspondiente a una importación (informada sin asociar a un DUA).</v>
      </c>
      <c r="D55" t="s">
        <v>142</v>
      </c>
      <c r="E55" t="str">
        <f t="shared" si="1"/>
        <v>13-13-Factura correspondiente a una importación (informada sin asociar a un DUA).</v>
      </c>
    </row>
    <row r="56" spans="1:5" x14ac:dyDescent="0.25">
      <c r="A56" t="s">
        <v>214</v>
      </c>
      <c r="B56" t="s">
        <v>282</v>
      </c>
      <c r="C56" t="str">
        <f t="shared" si="2"/>
        <v>CLAVE OPERACION GASTO18-Operaciones de actividades incluidas en el Régimen Especial de Recargo de Equivalencia (RERE)</v>
      </c>
      <c r="D56" t="s">
        <v>146</v>
      </c>
      <c r="E56" t="str">
        <f t="shared" si="1"/>
        <v>18-18-Operaciones de actividades incluidas en el Régimen Especial de Recargo de Equivalencia (RERE)</v>
      </c>
    </row>
    <row r="57" spans="1:5" x14ac:dyDescent="0.25">
      <c r="A57" t="s">
        <v>214</v>
      </c>
      <c r="B57" t="s">
        <v>283</v>
      </c>
      <c r="C57" t="str">
        <f t="shared" si="2"/>
        <v>CLAVE OPERACION GASTO19-Operaciones de actividades incluidas en el Régimen Especial de Agricultura, Ganadería y Pesca (REAGYP)</v>
      </c>
      <c r="D57" t="s">
        <v>147</v>
      </c>
      <c r="E57" t="str">
        <f t="shared" si="1"/>
        <v>19-19-Operaciones de actividades incluidas en el Régimen Especial de Agricultura, Ganadería y Pesca (REAGYP)</v>
      </c>
    </row>
    <row r="58" spans="1:5" x14ac:dyDescent="0.25">
      <c r="A58" t="s">
        <v>211</v>
      </c>
      <c r="B58" t="s">
        <v>288</v>
      </c>
      <c r="C58" t="str">
        <f t="shared" si="2"/>
        <v>CONCEPTO GASTOG01-Compra de existencias</v>
      </c>
      <c r="D58" t="s">
        <v>148</v>
      </c>
      <c r="E58" t="str">
        <f t="shared" si="1"/>
        <v>G01-G01-Compra de existencias</v>
      </c>
    </row>
    <row r="59" spans="1:5" x14ac:dyDescent="0.25">
      <c r="A59" t="s">
        <v>211</v>
      </c>
      <c r="B59" t="s">
        <v>289</v>
      </c>
      <c r="C59" t="str">
        <f t="shared" si="2"/>
        <v>CONCEPTO GASTOG02-Variación de existencias (disminución de existencias finales)</v>
      </c>
      <c r="D59" t="s">
        <v>149</v>
      </c>
      <c r="E59" t="str">
        <f t="shared" si="1"/>
        <v>G02-G02-Variación de existencias (disminución de existencias finales)</v>
      </c>
    </row>
    <row r="60" spans="1:5" x14ac:dyDescent="0.25">
      <c r="A60" t="s">
        <v>211</v>
      </c>
      <c r="B60" t="s">
        <v>290</v>
      </c>
      <c r="C60" t="str">
        <f t="shared" si="2"/>
        <v>CONCEPTO GASTOG03-Otros consumos de explotación</v>
      </c>
      <c r="D60" t="s">
        <v>150</v>
      </c>
      <c r="E60" t="str">
        <f t="shared" si="1"/>
        <v>G03-G03-Otros consumos de explotación</v>
      </c>
    </row>
    <row r="61" spans="1:5" x14ac:dyDescent="0.25">
      <c r="A61" t="s">
        <v>211</v>
      </c>
      <c r="B61" t="s">
        <v>291</v>
      </c>
      <c r="C61" t="str">
        <f t="shared" si="2"/>
        <v>CONCEPTO GASTOG04-Sueldos y salarios</v>
      </c>
      <c r="D61" t="s">
        <v>151</v>
      </c>
      <c r="E61" t="str">
        <f t="shared" si="1"/>
        <v>G04-G04-Sueldos y salarios</v>
      </c>
    </row>
    <row r="62" spans="1:5" x14ac:dyDescent="0.25">
      <c r="A62" t="s">
        <v>211</v>
      </c>
      <c r="B62" t="s">
        <v>292</v>
      </c>
      <c r="C62" t="str">
        <f t="shared" si="2"/>
        <v>CONCEPTO GASTOG05-Seguridad Social a cargo de la empresa</v>
      </c>
      <c r="D62" t="s">
        <v>152</v>
      </c>
      <c r="E62" t="str">
        <f t="shared" si="1"/>
        <v>G05-G05-Seguridad Social a cargo de la empresa</v>
      </c>
    </row>
    <row r="63" spans="1:5" x14ac:dyDescent="0.25">
      <c r="A63" t="s">
        <v>211</v>
      </c>
      <c r="B63" t="s">
        <v>293</v>
      </c>
      <c r="C63" t="str">
        <f t="shared" si="2"/>
        <v>CONCEPTO GASTOG06-Seguridad Social y Aportaciones a mutualidades alternativas del titular de la</v>
      </c>
      <c r="D63" t="s">
        <v>171</v>
      </c>
      <c r="E63" t="str">
        <f t="shared" si="1"/>
        <v>G06-G06-Seguridad Social y Aportaciones a mutualidades alternativas del titular de la</v>
      </c>
    </row>
    <row r="64" spans="1:5" x14ac:dyDescent="0.25">
      <c r="A64" t="s">
        <v>211</v>
      </c>
      <c r="B64" t="s">
        <v>294</v>
      </c>
      <c r="C64" t="str">
        <f t="shared" si="2"/>
        <v>CONCEPTO GASTOG45-Seguridad Social del titular de la actividad (se admite G06 hasta 1T 2024)</v>
      </c>
      <c r="D64" t="s">
        <v>212</v>
      </c>
      <c r="E64" t="str">
        <f t="shared" si="1"/>
        <v>G45-G45-Seguridad Social del titular de la actividad (se admite G06 hasta 1T 2024)</v>
      </c>
    </row>
    <row r="65" spans="1:5" x14ac:dyDescent="0.25">
      <c r="A65" t="s">
        <v>211</v>
      </c>
      <c r="B65" t="s">
        <v>295</v>
      </c>
      <c r="C65" t="str">
        <f t="shared" ref="C65:C96" si="3">CONCATENATE(A65,B65)</f>
        <v>CONCEPTO GASTOG46-Aportaciones a mutualidades alternativas del titular de la actividad (se admite G06 hasta 1T 2024)</v>
      </c>
      <c r="D65" t="s">
        <v>213</v>
      </c>
      <c r="E65" t="str">
        <f t="shared" si="1"/>
        <v>G46-G46-Aportaciones a mutualidades alternativas del titular de la actividad (se admite G06 hasta 1T 2024)</v>
      </c>
    </row>
    <row r="66" spans="1:5" x14ac:dyDescent="0.25">
      <c r="A66" t="s">
        <v>211</v>
      </c>
      <c r="B66" t="s">
        <v>296</v>
      </c>
      <c r="C66" t="str">
        <f t="shared" si="3"/>
        <v>CONCEPTO GASTOG07-Indemnizaciones</v>
      </c>
      <c r="D66" t="s">
        <v>153</v>
      </c>
      <c r="E66" t="str">
        <f t="shared" ref="E66:E129" si="4">CONCATENATE(D66,"-",B66)</f>
        <v>G07-G07-Indemnizaciones</v>
      </c>
    </row>
    <row r="67" spans="1:5" x14ac:dyDescent="0.25">
      <c r="A67" t="s">
        <v>211</v>
      </c>
      <c r="B67" t="s">
        <v>297</v>
      </c>
      <c r="C67" t="str">
        <f t="shared" si="3"/>
        <v>CONCEPTO GASTOG08-Dietas y asignaciones de viajes del personal empleado</v>
      </c>
      <c r="D67" t="s">
        <v>154</v>
      </c>
      <c r="E67" t="str">
        <f t="shared" si="4"/>
        <v>G08-G08-Dietas y asignaciones de viajes del personal empleado</v>
      </c>
    </row>
    <row r="68" spans="1:5" x14ac:dyDescent="0.25">
      <c r="A68" t="s">
        <v>211</v>
      </c>
      <c r="B68" t="s">
        <v>298</v>
      </c>
      <c r="C68" t="str">
        <f t="shared" si="3"/>
        <v>CONCEPTO GASTOG09-Aportaciones a sistemas de previsión social imputadas al personal empleado</v>
      </c>
      <c r="D68" t="s">
        <v>155</v>
      </c>
      <c r="E68" t="str">
        <f t="shared" si="4"/>
        <v>G09-G09-Aportaciones a sistemas de previsión social imputadas al personal empleado</v>
      </c>
    </row>
    <row r="69" spans="1:5" x14ac:dyDescent="0.25">
      <c r="A69" t="s">
        <v>211</v>
      </c>
      <c r="B69" t="s">
        <v>299</v>
      </c>
      <c r="C69" t="str">
        <f t="shared" si="3"/>
        <v>CONCEPTO GASTOG10-Otros gastos de personal</v>
      </c>
      <c r="D69" t="s">
        <v>156</v>
      </c>
      <c r="E69" t="str">
        <f t="shared" si="4"/>
        <v>G10-G10-Otros gastos de personal</v>
      </c>
    </row>
    <row r="70" spans="1:5" x14ac:dyDescent="0.25">
      <c r="A70" t="s">
        <v>211</v>
      </c>
      <c r="B70" t="s">
        <v>300</v>
      </c>
      <c r="C70" t="str">
        <f t="shared" si="3"/>
        <v>CONCEPTO GASTOG11-Gastos de manutención del contribuyente (artículo 30.2.5ª.c de la Ley del Impuesto)</v>
      </c>
      <c r="D70" t="s">
        <v>157</v>
      </c>
      <c r="E70" t="str">
        <f t="shared" si="4"/>
        <v>G11-G11-Gastos de manutención del contribuyente (artículo 30.2.5ª.c de la Ley del Impuesto)</v>
      </c>
    </row>
    <row r="71" spans="1:5" x14ac:dyDescent="0.25">
      <c r="A71" t="s">
        <v>211</v>
      </c>
      <c r="B71" t="s">
        <v>301</v>
      </c>
      <c r="C71" t="str">
        <f t="shared" si="3"/>
        <v>CONCEPTO GASTOG12-Arrendamientos y cánones</v>
      </c>
      <c r="D71" t="s">
        <v>158</v>
      </c>
      <c r="E71" t="str">
        <f t="shared" si="4"/>
        <v>G12-G12-Arrendamientos y cánones</v>
      </c>
    </row>
    <row r="72" spans="1:5" x14ac:dyDescent="0.25">
      <c r="A72" t="s">
        <v>211</v>
      </c>
      <c r="B72" t="s">
        <v>302</v>
      </c>
      <c r="C72" t="str">
        <f t="shared" si="3"/>
        <v>CONCEPTO GASTOG13-Reparaciones y conservación</v>
      </c>
      <c r="D72" t="s">
        <v>159</v>
      </c>
      <c r="E72" t="str">
        <f t="shared" si="4"/>
        <v>G13-G13-Reparaciones y conservación</v>
      </c>
    </row>
    <row r="73" spans="1:5" x14ac:dyDescent="0.25">
      <c r="A73" t="s">
        <v>211</v>
      </c>
      <c r="B73" t="s">
        <v>303</v>
      </c>
      <c r="C73" t="str">
        <f t="shared" si="3"/>
        <v>CONCEPTO GASTOGY4-Suministros (electricidad, agua, gas, telefonía e internet)</v>
      </c>
      <c r="D73" t="s">
        <v>160</v>
      </c>
      <c r="E73" t="str">
        <f t="shared" si="4"/>
        <v>GY4-GY4-Suministros (electricidad, agua, gas, telefonía e internet)</v>
      </c>
    </row>
    <row r="74" spans="1:5" x14ac:dyDescent="0.25">
      <c r="A74" t="s">
        <v>211</v>
      </c>
      <c r="B74" t="s">
        <v>304</v>
      </c>
      <c r="C74" t="str">
        <f t="shared" si="3"/>
        <v>CONCEPTO GASTOG14-Gastos por suministro eléctrico</v>
      </c>
      <c r="D74" t="s">
        <v>161</v>
      </c>
      <c r="E74" t="str">
        <f t="shared" si="4"/>
        <v>G14-G14-Gastos por suministro eléctrico</v>
      </c>
    </row>
    <row r="75" spans="1:5" x14ac:dyDescent="0.25">
      <c r="A75" t="s">
        <v>211</v>
      </c>
      <c r="B75" t="s">
        <v>305</v>
      </c>
      <c r="C75" t="str">
        <f t="shared" si="3"/>
        <v>CONCEPTO GASTOG15-Gastos por suministro de agua</v>
      </c>
      <c r="D75" t="s">
        <v>162</v>
      </c>
      <c r="E75" t="str">
        <f t="shared" si="4"/>
        <v>G15-G15-Gastos por suministro de agua</v>
      </c>
    </row>
    <row r="76" spans="1:5" x14ac:dyDescent="0.25">
      <c r="A76" t="s">
        <v>211</v>
      </c>
      <c r="B76" t="s">
        <v>306</v>
      </c>
      <c r="C76" t="str">
        <f t="shared" si="3"/>
        <v>CONCEPTO GASTOG16-Gastos por suministro de gas</v>
      </c>
      <c r="D76" t="s">
        <v>163</v>
      </c>
      <c r="E76" t="str">
        <f t="shared" si="4"/>
        <v>G16-G16-Gastos por suministro de gas</v>
      </c>
    </row>
    <row r="77" spans="1:5" x14ac:dyDescent="0.25">
      <c r="A77" t="s">
        <v>211</v>
      </c>
      <c r="B77" t="s">
        <v>307</v>
      </c>
      <c r="C77" t="str">
        <f t="shared" si="3"/>
        <v>CONCEPTO GASTOG17-Gastos por suministro de telefonía e internet</v>
      </c>
      <c r="D77" t="s">
        <v>164</v>
      </c>
      <c r="E77" t="str">
        <f t="shared" si="4"/>
        <v>G17-G17-Gastos por suministro de telefonía e internet</v>
      </c>
    </row>
    <row r="78" spans="1:5" x14ac:dyDescent="0.25">
      <c r="A78" t="s">
        <v>211</v>
      </c>
      <c r="B78" t="s">
        <v>308</v>
      </c>
      <c r="C78" t="str">
        <f t="shared" si="3"/>
        <v>CONCEPTO GASTOG18-Otros suministros</v>
      </c>
      <c r="D78" t="s">
        <v>165</v>
      </c>
      <c r="E78" t="str">
        <f t="shared" si="4"/>
        <v>G18-G18-Otros suministros</v>
      </c>
    </row>
    <row r="79" spans="1:5" x14ac:dyDescent="0.25">
      <c r="A79" t="s">
        <v>211</v>
      </c>
      <c r="B79" t="s">
        <v>309</v>
      </c>
      <c r="C79" t="str">
        <f t="shared" si="3"/>
        <v>CONCEPTO GASTOG19-Servicios de profesionales independientes.</v>
      </c>
      <c r="D79" t="s">
        <v>166</v>
      </c>
      <c r="E79" t="str">
        <f t="shared" si="4"/>
        <v>G19-G19-Servicios de profesionales independientes.</v>
      </c>
    </row>
    <row r="80" spans="1:5" x14ac:dyDescent="0.25">
      <c r="A80" t="s">
        <v>211</v>
      </c>
      <c r="B80" t="s">
        <v>310</v>
      </c>
      <c r="C80" t="str">
        <f t="shared" si="3"/>
        <v>CONCEPTO GASTOG40-Gastos de Formalización de Contratos</v>
      </c>
      <c r="D80" t="s">
        <v>167</v>
      </c>
      <c r="E80" t="str">
        <f t="shared" si="4"/>
        <v>G40-G40-Gastos de Formalización de Contratos</v>
      </c>
    </row>
    <row r="81" spans="1:5" x14ac:dyDescent="0.25">
      <c r="A81" t="s">
        <v>211</v>
      </c>
      <c r="B81" t="s">
        <v>311</v>
      </c>
      <c r="C81" t="str">
        <f t="shared" si="3"/>
        <v>CONCEPTO GASTOG41-Gastos de Defensa Jurídica</v>
      </c>
      <c r="D81" t="s">
        <v>168</v>
      </c>
      <c r="E81" t="str">
        <f t="shared" si="4"/>
        <v>G41-G41-Gastos de Defensa Jurídica</v>
      </c>
    </row>
    <row r="82" spans="1:5" x14ac:dyDescent="0.25">
      <c r="A82" t="s">
        <v>211</v>
      </c>
      <c r="B82" t="s">
        <v>312</v>
      </c>
      <c r="C82" t="str">
        <f t="shared" si="3"/>
        <v>CONCEPTO GASTOG42-Otras cantidades devengadas por terceros por servicios personales</v>
      </c>
      <c r="D82" t="s">
        <v>169</v>
      </c>
      <c r="E82" t="str">
        <f t="shared" si="4"/>
        <v>G42-G42-Otras cantidades devengadas por terceros por servicios personales</v>
      </c>
    </row>
    <row r="83" spans="1:5" x14ac:dyDescent="0.25">
      <c r="A83" t="s">
        <v>211</v>
      </c>
      <c r="B83" t="s">
        <v>313</v>
      </c>
      <c r="C83" t="str">
        <f t="shared" si="3"/>
        <v>CONCEPTO GASTOG20-Primas de seguros</v>
      </c>
      <c r="D83" t="s">
        <v>172</v>
      </c>
      <c r="E83" t="str">
        <f t="shared" si="4"/>
        <v>G20-G20-Primas de seguros</v>
      </c>
    </row>
    <row r="84" spans="1:5" x14ac:dyDescent="0.25">
      <c r="A84" t="s">
        <v>211</v>
      </c>
      <c r="B84" t="s">
        <v>314</v>
      </c>
      <c r="C84" t="str">
        <f t="shared" si="3"/>
        <v>CONCEPTO GASTOG22-Otros servicios exteriores.</v>
      </c>
      <c r="D84" t="s">
        <v>173</v>
      </c>
      <c r="E84" t="str">
        <f t="shared" si="4"/>
        <v>G22-G22-Otros servicios exteriores.</v>
      </c>
    </row>
    <row r="85" spans="1:5" x14ac:dyDescent="0.25">
      <c r="A85" t="s">
        <v>211</v>
      </c>
      <c r="B85" t="s">
        <v>315</v>
      </c>
      <c r="C85" t="str">
        <f t="shared" si="3"/>
        <v>CONCEPTO GASTOG44-Gastos de Comunidad</v>
      </c>
      <c r="D85" t="s">
        <v>192</v>
      </c>
      <c r="E85" t="str">
        <f t="shared" si="4"/>
        <v>G44-G44-Gastos de Comunidad</v>
      </c>
    </row>
    <row r="86" spans="1:5" x14ac:dyDescent="0.25">
      <c r="A86" t="s">
        <v>211</v>
      </c>
      <c r="B86" t="s">
        <v>316</v>
      </c>
      <c r="C86" t="str">
        <f t="shared" si="3"/>
        <v>CONCEPTO GASTOG23-Intereses de deudas</v>
      </c>
      <c r="D86" t="s">
        <v>174</v>
      </c>
      <c r="E86" t="str">
        <f t="shared" si="4"/>
        <v>G23-G23-Intereses de deudas</v>
      </c>
    </row>
    <row r="87" spans="1:5" x14ac:dyDescent="0.25">
      <c r="A87" t="s">
        <v>211</v>
      </c>
      <c r="B87" t="s">
        <v>317</v>
      </c>
      <c r="C87" t="str">
        <f t="shared" si="3"/>
        <v>CONCEPTO GASTOG24-Otros gastos financieros</v>
      </c>
      <c r="D87" t="s">
        <v>175</v>
      </c>
      <c r="E87" t="str">
        <f t="shared" si="4"/>
        <v>G24-G24-Otros gastos financieros</v>
      </c>
    </row>
    <row r="88" spans="1:5" x14ac:dyDescent="0.25">
      <c r="A88" t="s">
        <v>211</v>
      </c>
      <c r="B88" t="s">
        <v>318</v>
      </c>
      <c r="C88" t="str">
        <f t="shared" si="3"/>
        <v>CONCEPTO GASTOG25-IVA soportado (recargo de equivalencia y/o recargo de agricultura, ganadería y pesca)</v>
      </c>
      <c r="D88" t="s">
        <v>176</v>
      </c>
      <c r="E88" t="str">
        <f t="shared" si="4"/>
        <v>G25-G25-IVA soportado (recargo de equivalencia y/o recargo de agricultura, ganadería y pesca)</v>
      </c>
    </row>
    <row r="89" spans="1:5" x14ac:dyDescent="0.25">
      <c r="A89" t="s">
        <v>211</v>
      </c>
      <c r="B89" t="s">
        <v>319</v>
      </c>
      <c r="C89" t="str">
        <f t="shared" si="3"/>
        <v>CONCEPTO GASTOG26-Otros tributos fiscalmente deducibles</v>
      </c>
      <c r="D89" t="s">
        <v>177</v>
      </c>
      <c r="E89" t="str">
        <f t="shared" si="4"/>
        <v>G26-G26-Otros tributos fiscalmente deducibles</v>
      </c>
    </row>
    <row r="90" spans="1:5" x14ac:dyDescent="0.25">
      <c r="A90" t="s">
        <v>211</v>
      </c>
      <c r="B90" t="s">
        <v>320</v>
      </c>
      <c r="C90" t="str">
        <f t="shared" si="3"/>
        <v>CONCEPTO GASTOGY8-Dotaciones del ejercicio para amortización del inmovilizado material.</v>
      </c>
      <c r="D90" t="s">
        <v>193</v>
      </c>
      <c r="E90" t="str">
        <f t="shared" si="4"/>
        <v>GY8-GY8-Dotaciones del ejercicio para amortización del inmovilizado material.</v>
      </c>
    </row>
    <row r="91" spans="1:5" x14ac:dyDescent="0.25">
      <c r="A91" t="s">
        <v>211</v>
      </c>
      <c r="B91" t="s">
        <v>321</v>
      </c>
      <c r="C91" t="str">
        <f t="shared" si="3"/>
        <v>CONCEPTO GASTOG27-Dotaciones del ejercicio para amortización de edificios</v>
      </c>
      <c r="D91" t="s">
        <v>178</v>
      </c>
      <c r="E91" t="str">
        <f t="shared" si="4"/>
        <v>G27-G27-Dotaciones del ejercicio para amortización de edificios</v>
      </c>
    </row>
    <row r="92" spans="1:5" x14ac:dyDescent="0.25">
      <c r="A92" t="s">
        <v>211</v>
      </c>
      <c r="B92" t="s">
        <v>322</v>
      </c>
      <c r="C92" t="str">
        <f t="shared" si="3"/>
        <v>CONCEPTO GASTOG28-Dotaciones del ejercicio para amortización de instalaciones, mobiliario, enseres y resto IM</v>
      </c>
      <c r="D92" t="s">
        <v>179</v>
      </c>
      <c r="E92" t="str">
        <f t="shared" si="4"/>
        <v>G28-G28-Dotaciones del ejercicio para amortización de instalaciones, mobiliario, enseres y resto IM</v>
      </c>
    </row>
    <row r="93" spans="1:5" x14ac:dyDescent="0.25">
      <c r="A93" t="s">
        <v>211</v>
      </c>
      <c r="B93" t="s">
        <v>323</v>
      </c>
      <c r="C93" t="str">
        <f t="shared" si="3"/>
        <v>CONCEPTO GASTOG29-Dotaciones del ejercicio para amortización de maquinaria</v>
      </c>
      <c r="D93" t="s">
        <v>180</v>
      </c>
      <c r="E93" t="str">
        <f t="shared" si="4"/>
        <v>G29-G29-Dotaciones del ejercicio para amortización de maquinaria</v>
      </c>
    </row>
    <row r="94" spans="1:5" x14ac:dyDescent="0.25">
      <c r="A94" t="s">
        <v>211</v>
      </c>
      <c r="B94" t="s">
        <v>324</v>
      </c>
      <c r="C94" t="str">
        <f t="shared" si="3"/>
        <v>CONCEPTO GASTOG30-Dotaciones del ejercicio para amortización de elementos de transporte</v>
      </c>
      <c r="D94" t="s">
        <v>181</v>
      </c>
      <c r="E94" t="str">
        <f t="shared" si="4"/>
        <v>G30-G30-Dotaciones del ejercicio para amortización de elementos de transporte</v>
      </c>
    </row>
    <row r="95" spans="1:5" x14ac:dyDescent="0.25">
      <c r="A95" t="s">
        <v>211</v>
      </c>
      <c r="B95" t="s">
        <v>325</v>
      </c>
      <c r="C95" t="str">
        <f t="shared" si="3"/>
        <v>CONCEPTO GASTOG31-Dotaciones del ejercicio para amortización de equipos electrónicos e informáticos</v>
      </c>
      <c r="D95" t="s">
        <v>182</v>
      </c>
      <c r="E95" t="str">
        <f t="shared" si="4"/>
        <v>G31-G31-Dotaciones del ejercicio para amortización de equipos electrónicos e informáticos</v>
      </c>
    </row>
    <row r="96" spans="1:5" x14ac:dyDescent="0.25">
      <c r="A96" t="s">
        <v>211</v>
      </c>
      <c r="B96" t="s">
        <v>326</v>
      </c>
      <c r="C96" t="str">
        <f t="shared" si="3"/>
        <v>CONCEPTO GASTOG32-Dotaciones del ejercicio para amortización de útiles y herramientas</v>
      </c>
      <c r="D96" t="s">
        <v>183</v>
      </c>
      <c r="E96" t="str">
        <f t="shared" si="4"/>
        <v>G32-G32-Dotaciones del ejercicio para amortización de útiles y herramientas</v>
      </c>
    </row>
    <row r="97" spans="1:5" x14ac:dyDescent="0.25">
      <c r="A97" t="s">
        <v>211</v>
      </c>
      <c r="B97" t="s">
        <v>327</v>
      </c>
      <c r="C97" t="str">
        <f t="shared" ref="C97:C128" si="5">CONCATENATE(A97,B97)</f>
        <v>CONCEPTO GASTOG33-Dotaciones del ejercicio para amortización de ganado y cultivos agrícolas amortizables</v>
      </c>
      <c r="D97" t="s">
        <v>184</v>
      </c>
      <c r="E97" t="str">
        <f t="shared" si="4"/>
        <v>G33-G33-Dotaciones del ejercicio para amortización de ganado y cultivos agrícolas amortizables</v>
      </c>
    </row>
    <row r="98" spans="1:5" x14ac:dyDescent="0.25">
      <c r="A98" t="s">
        <v>211</v>
      </c>
      <c r="B98" t="s">
        <v>328</v>
      </c>
      <c r="C98" t="str">
        <f t="shared" si="5"/>
        <v>CONCEPTO GASTOG38-Dotaciones del ejercicio para amortización del inmovilizado inmaterial</v>
      </c>
      <c r="D98" t="s">
        <v>189</v>
      </c>
      <c r="E98" t="str">
        <f t="shared" si="4"/>
        <v>G38-G38-Dotaciones del ejercicio para amortización del inmovilizado inmaterial</v>
      </c>
    </row>
    <row r="99" spans="1:5" x14ac:dyDescent="0.25">
      <c r="A99" t="s">
        <v>211</v>
      </c>
      <c r="B99" t="s">
        <v>329</v>
      </c>
      <c r="C99" t="str">
        <f t="shared" si="5"/>
        <v>CONCEPTO GASTOG34-Pérdidas por insolvencias de deudores</v>
      </c>
      <c r="D99" t="s">
        <v>185</v>
      </c>
      <c r="E99" t="str">
        <f t="shared" si="4"/>
        <v>G34-G34-Pérdidas por insolvencias de deudores</v>
      </c>
    </row>
    <row r="100" spans="1:5" x14ac:dyDescent="0.25">
      <c r="A100" t="s">
        <v>211</v>
      </c>
      <c r="B100" t="s">
        <v>330</v>
      </c>
      <c r="C100" t="str">
        <f t="shared" si="5"/>
        <v>CONCEPTO GASTOG35-Incentivos al mecenazgo. Convenios de colaboración en actividades de interés general</v>
      </c>
      <c r="D100" t="s">
        <v>186</v>
      </c>
      <c r="E100" t="str">
        <f t="shared" si="4"/>
        <v>G35-G35-Incentivos al mecenazgo. Convenios de colaboración en actividades de interés general</v>
      </c>
    </row>
    <row r="101" spans="1:5" x14ac:dyDescent="0.25">
      <c r="A101" t="s">
        <v>211</v>
      </c>
      <c r="B101" t="s">
        <v>331</v>
      </c>
      <c r="C101" t="str">
        <f t="shared" si="5"/>
        <v>CONCEPTO GASTOG36-Incentivos al mecenazgo. Gastos en actividades de interés general</v>
      </c>
      <c r="D101" t="s">
        <v>187</v>
      </c>
      <c r="E101" t="str">
        <f t="shared" si="4"/>
        <v>G36-G36-Incentivos al mecenazgo. Gastos en actividades de interés general</v>
      </c>
    </row>
    <row r="102" spans="1:5" x14ac:dyDescent="0.25">
      <c r="A102" t="s">
        <v>211</v>
      </c>
      <c r="B102" t="s">
        <v>332</v>
      </c>
      <c r="C102" t="str">
        <f t="shared" si="5"/>
        <v>CONCEPTO GASTOG43-Saldos de dudoso cobro</v>
      </c>
      <c r="D102" t="s">
        <v>191</v>
      </c>
      <c r="E102" t="str">
        <f t="shared" si="4"/>
        <v>G43-G43-Saldos de dudoso cobro</v>
      </c>
    </row>
    <row r="103" spans="1:5" x14ac:dyDescent="0.25">
      <c r="A103" t="s">
        <v>211</v>
      </c>
      <c r="B103" t="s">
        <v>333</v>
      </c>
      <c r="C103" t="str">
        <f t="shared" si="5"/>
        <v>CONCEPTO GASTOG37-Otros conceptos fiscalmente deducibles (excepto provisiones)</v>
      </c>
      <c r="D103" t="s">
        <v>188</v>
      </c>
      <c r="E103" t="str">
        <f t="shared" si="4"/>
        <v>G37-G37-Otros conceptos fiscalmente deducibles (excepto provisiones)</v>
      </c>
    </row>
    <row r="104" spans="1:5" x14ac:dyDescent="0.25">
      <c r="A104" t="s">
        <v>211</v>
      </c>
      <c r="B104" t="s">
        <v>334</v>
      </c>
      <c r="C104" t="str">
        <f t="shared" si="5"/>
        <v>CONCEPTO GASTOG39-Provisiones fiscalmente deducibles</v>
      </c>
      <c r="D104" t="s">
        <v>190</v>
      </c>
      <c r="E104" t="str">
        <f t="shared" si="4"/>
        <v>G39-G39-Provisiones fiscalmente deducibles</v>
      </c>
    </row>
    <row r="105" spans="1:5" x14ac:dyDescent="0.25">
      <c r="A105" t="s">
        <v>197</v>
      </c>
      <c r="B105" t="s">
        <v>335</v>
      </c>
      <c r="C105" s="3" t="str">
        <f t="shared" si="5"/>
        <v>CONCEPTO INGRESOI01-Ingresos de explotación</v>
      </c>
      <c r="D105" t="s">
        <v>107</v>
      </c>
      <c r="E105" t="str">
        <f t="shared" si="4"/>
        <v>I01-I01-Ingresos de explotación</v>
      </c>
    </row>
    <row r="106" spans="1:5" x14ac:dyDescent="0.25">
      <c r="A106" t="s">
        <v>197</v>
      </c>
      <c r="B106" t="s">
        <v>336</v>
      </c>
      <c r="C106" s="3" t="str">
        <f t="shared" si="5"/>
        <v>CONCEPTO INGRESOI02-Ingresos financieros derivados del aplazamiento o fraccionamiento de operaciones</v>
      </c>
      <c r="D106" t="s">
        <v>108</v>
      </c>
      <c r="E106" t="str">
        <f t="shared" si="4"/>
        <v>I02-I02-Ingresos financieros derivados del aplazamiento o fraccionamiento de operaciones</v>
      </c>
    </row>
    <row r="107" spans="1:5" x14ac:dyDescent="0.25">
      <c r="A107" t="s">
        <v>197</v>
      </c>
      <c r="B107" t="s">
        <v>337</v>
      </c>
      <c r="C107" s="3" t="str">
        <f t="shared" si="5"/>
        <v>CONCEPTO INGRESOI03-Ingresos por subvenciones corrientes</v>
      </c>
      <c r="D107" t="s">
        <v>109</v>
      </c>
      <c r="E107" t="str">
        <f t="shared" si="4"/>
        <v>I03-I03-Ingresos por subvenciones corrientes</v>
      </c>
    </row>
    <row r="108" spans="1:5" x14ac:dyDescent="0.25">
      <c r="A108" t="s">
        <v>197</v>
      </c>
      <c r="B108" t="s">
        <v>338</v>
      </c>
      <c r="C108" s="3" t="str">
        <f t="shared" si="5"/>
        <v>CONCEPTO INGRESOI04-Imputación de ingresos por subvenciones de capital</v>
      </c>
      <c r="D108" t="s">
        <v>110</v>
      </c>
      <c r="E108" t="str">
        <f t="shared" si="4"/>
        <v>I04-I04-Imputación de ingresos por subvenciones de capital</v>
      </c>
    </row>
    <row r="109" spans="1:5" x14ac:dyDescent="0.25">
      <c r="A109" t="s">
        <v>197</v>
      </c>
      <c r="B109" t="s">
        <v>339</v>
      </c>
      <c r="C109" s="3" t="str">
        <f t="shared" si="5"/>
        <v>CONCEPTO INGRESOI05-IVA devengado (recargo de equivalencia y/o recargo de agricultura, ganadería y pesca).</v>
      </c>
      <c r="D109" t="s">
        <v>111</v>
      </c>
      <c r="E109" t="str">
        <f t="shared" si="4"/>
        <v>I05-I05-IVA devengado (recargo de equivalencia y/o recargo de agricultura, ganadería y pesca).</v>
      </c>
    </row>
    <row r="110" spans="1:5" x14ac:dyDescent="0.25">
      <c r="A110" t="s">
        <v>197</v>
      </c>
      <c r="B110" t="s">
        <v>340</v>
      </c>
      <c r="C110" s="3" t="str">
        <f t="shared" si="5"/>
        <v>CONCEPTO INGRESOI06-Variación de existencias (incremento de existencias finales).</v>
      </c>
      <c r="D110" t="s">
        <v>112</v>
      </c>
      <c r="E110" t="str">
        <f t="shared" si="4"/>
        <v>I06-I06-Variación de existencias (incremento de existencias finales).</v>
      </c>
    </row>
    <row r="111" spans="1:5" x14ac:dyDescent="0.25">
      <c r="A111" t="s">
        <v>197</v>
      </c>
      <c r="B111" t="s">
        <v>341</v>
      </c>
      <c r="C111" s="3" t="str">
        <f t="shared" si="5"/>
        <v>CONCEPTO INGRESOI07-Otros ingresos</v>
      </c>
      <c r="D111" t="s">
        <v>113</v>
      </c>
      <c r="E111" t="str">
        <f t="shared" si="4"/>
        <v>I07-I07-Otros ingresos</v>
      </c>
    </row>
    <row r="112" spans="1:5" x14ac:dyDescent="0.25">
      <c r="A112" t="s">
        <v>197</v>
      </c>
      <c r="B112" t="s">
        <v>342</v>
      </c>
      <c r="C112" s="3" t="str">
        <f t="shared" si="5"/>
        <v>CONCEPTO INGRESOI08-Autoconsumo de bienes y servicios</v>
      </c>
      <c r="D112" t="s">
        <v>114</v>
      </c>
      <c r="E112" t="str">
        <f t="shared" si="4"/>
        <v>I08-I08-Autoconsumo de bienes y servicios</v>
      </c>
    </row>
    <row r="113" spans="1:5" x14ac:dyDescent="0.25">
      <c r="A113" t="s">
        <v>197</v>
      </c>
      <c r="B113" t="s">
        <v>343</v>
      </c>
      <c r="C113" s="3" t="str">
        <f t="shared" si="5"/>
        <v>CONCEPTO INGRESOI09-Transmisión elementos patrimoniales libertad amortización: exceso amortización deducida respecto amortización deducible (DA trigésima Ley Impuesto)</v>
      </c>
      <c r="D113" t="s">
        <v>115</v>
      </c>
      <c r="E113" t="str">
        <f t="shared" si="4"/>
        <v>I09-I09-Transmisión elementos patrimoniales libertad amortización: exceso amortización deducida respecto amortización deducible (DA trigésima Ley Impuesto)</v>
      </c>
    </row>
    <row r="114" spans="1:5" x14ac:dyDescent="0.25">
      <c r="A114" t="s">
        <v>207</v>
      </c>
      <c r="B114" t="s">
        <v>344</v>
      </c>
      <c r="C114" s="3" t="str">
        <f t="shared" si="5"/>
        <v xml:space="preserve">MEDIO UTILIZADO01-Transferencia </v>
      </c>
      <c r="D114" t="s">
        <v>117</v>
      </c>
      <c r="E114" t="str">
        <f t="shared" si="4"/>
        <v xml:space="preserve">01-01-Transferencia </v>
      </c>
    </row>
    <row r="115" spans="1:5" x14ac:dyDescent="0.25">
      <c r="A115" t="s">
        <v>207</v>
      </c>
      <c r="B115" t="s">
        <v>345</v>
      </c>
      <c r="C115" s="3" t="str">
        <f t="shared" si="5"/>
        <v>MEDIO UTILIZADO02-Cheque</v>
      </c>
      <c r="D115" t="s">
        <v>118</v>
      </c>
      <c r="E115" t="str">
        <f t="shared" si="4"/>
        <v>02-02-Cheque</v>
      </c>
    </row>
    <row r="116" spans="1:5" x14ac:dyDescent="0.25">
      <c r="A116" t="s">
        <v>207</v>
      </c>
      <c r="B116" t="s">
        <v>346</v>
      </c>
      <c r="C116" s="3" t="str">
        <f t="shared" si="5"/>
        <v>MEDIO UTILIZADO03-No se cobra (fecha límite de devengo, 31-12 del año siguiente)</v>
      </c>
      <c r="D116" t="s">
        <v>122</v>
      </c>
      <c r="E116" t="str">
        <f t="shared" si="4"/>
        <v>03-03-No se cobra (fecha límite de devengo, 31-12 del año siguiente)</v>
      </c>
    </row>
    <row r="117" spans="1:5" x14ac:dyDescent="0.25">
      <c r="A117" t="s">
        <v>207</v>
      </c>
      <c r="B117" t="s">
        <v>347</v>
      </c>
      <c r="C117" s="3" t="str">
        <f t="shared" si="5"/>
        <v>MEDIO UTILIZADO04-Otros medios de cobro</v>
      </c>
      <c r="D117" t="s">
        <v>126</v>
      </c>
      <c r="E117" t="str">
        <f t="shared" si="4"/>
        <v>04-04-Otros medios de cobro</v>
      </c>
    </row>
    <row r="118" spans="1:5" x14ac:dyDescent="0.25">
      <c r="A118" t="s">
        <v>207</v>
      </c>
      <c r="B118" t="s">
        <v>348</v>
      </c>
      <c r="C118" s="3" t="str">
        <f t="shared" si="5"/>
        <v>MEDIO UTILIZADO05-Domiciliación bancaria</v>
      </c>
      <c r="D118" t="s">
        <v>130</v>
      </c>
      <c r="E118" t="str">
        <f t="shared" si="4"/>
        <v>05-05-Domiciliación bancaria</v>
      </c>
    </row>
    <row r="119" spans="1:5" x14ac:dyDescent="0.25">
      <c r="A119" t="s">
        <v>201</v>
      </c>
      <c r="B119" t="s">
        <v>349</v>
      </c>
      <c r="C119" s="3" t="str">
        <f t="shared" si="5"/>
        <v>OPERACION EXENTAE1-exenta por el artículo 20</v>
      </c>
      <c r="D119" t="s">
        <v>120</v>
      </c>
      <c r="E119" t="str">
        <f t="shared" si="4"/>
        <v>E1-E1-exenta por el artículo 20</v>
      </c>
    </row>
    <row r="120" spans="1:5" x14ac:dyDescent="0.25">
      <c r="A120" t="s">
        <v>201</v>
      </c>
      <c r="B120" t="s">
        <v>350</v>
      </c>
      <c r="C120" s="3" t="str">
        <f t="shared" si="5"/>
        <v>OPERACION EXENTAE2-exenta por el artículo 21</v>
      </c>
      <c r="D120" t="s">
        <v>124</v>
      </c>
      <c r="E120" t="str">
        <f t="shared" si="4"/>
        <v>E2-E2-exenta por el artículo 21</v>
      </c>
    </row>
    <row r="121" spans="1:5" x14ac:dyDescent="0.25">
      <c r="A121" t="s">
        <v>201</v>
      </c>
      <c r="B121" t="s">
        <v>351</v>
      </c>
      <c r="C121" s="3" t="str">
        <f t="shared" si="5"/>
        <v>OPERACION EXENTAE3-exenta por el artículo 22</v>
      </c>
      <c r="D121" t="s">
        <v>128</v>
      </c>
      <c r="E121" t="str">
        <f t="shared" si="4"/>
        <v>E3-E3-exenta por el artículo 22</v>
      </c>
    </row>
    <row r="122" spans="1:5" x14ac:dyDescent="0.25">
      <c r="A122" t="s">
        <v>201</v>
      </c>
      <c r="B122" t="s">
        <v>352</v>
      </c>
      <c r="C122" s="3" t="str">
        <f t="shared" si="5"/>
        <v>OPERACION EXENTAE4-exenta por el artículo 23 y   24</v>
      </c>
      <c r="D122" t="s">
        <v>132</v>
      </c>
      <c r="E122" t="str">
        <f t="shared" si="4"/>
        <v>E4-E4-exenta por el artículo 23 y   24</v>
      </c>
    </row>
    <row r="123" spans="1:5" x14ac:dyDescent="0.25">
      <c r="A123" t="s">
        <v>201</v>
      </c>
      <c r="B123" t="s">
        <v>353</v>
      </c>
      <c r="C123" s="3" t="str">
        <f t="shared" si="5"/>
        <v>OPERACION EXENTAE5-exenta por el artículo 25</v>
      </c>
      <c r="D123" t="s">
        <v>134</v>
      </c>
      <c r="E123" t="str">
        <f t="shared" si="4"/>
        <v>E5-E5-exenta por el artículo 25</v>
      </c>
    </row>
    <row r="124" spans="1:5" x14ac:dyDescent="0.25">
      <c r="A124" t="s">
        <v>201</v>
      </c>
      <c r="B124" t="s">
        <v>354</v>
      </c>
      <c r="C124" s="3" t="str">
        <f t="shared" si="5"/>
        <v>OPERACION EXENTAE6-exenta por otros</v>
      </c>
      <c r="D124" t="s">
        <v>135</v>
      </c>
      <c r="E124" t="str">
        <f t="shared" si="4"/>
        <v>E6-E6-exenta por otros</v>
      </c>
    </row>
    <row r="125" spans="1:5" x14ac:dyDescent="0.25">
      <c r="A125" t="s">
        <v>208</v>
      </c>
      <c r="B125" t="s">
        <v>355</v>
      </c>
      <c r="C125" s="3" t="str">
        <f t="shared" si="5"/>
        <v>SITUACION1-Inmueble con referencia catastral situado en cualquier punto del territorio español excepto PV y N.</v>
      </c>
      <c r="D125" t="s">
        <v>202</v>
      </c>
      <c r="E125" t="str">
        <f t="shared" si="4"/>
        <v>1-1-Inmueble con referencia catastral situado en cualquier punto del territorio español excepto PV y N.</v>
      </c>
    </row>
    <row r="126" spans="1:5" x14ac:dyDescent="0.25">
      <c r="A126" t="s">
        <v>208</v>
      </c>
      <c r="B126" t="s">
        <v>356</v>
      </c>
      <c r="C126" s="3" t="str">
        <f t="shared" si="5"/>
        <v>SITUACION2-Inmueble con referencia catastral situado en la Comunidad Autónoma del País Vasco.</v>
      </c>
      <c r="D126" t="s">
        <v>203</v>
      </c>
      <c r="E126" t="str">
        <f t="shared" si="4"/>
        <v>2-2-Inmueble con referencia catastral situado en la Comunidad Autónoma del País Vasco.</v>
      </c>
    </row>
    <row r="127" spans="1:5" x14ac:dyDescent="0.25">
      <c r="A127" t="s">
        <v>208</v>
      </c>
      <c r="B127" t="s">
        <v>357</v>
      </c>
      <c r="C127" s="3" t="str">
        <f t="shared" si="5"/>
        <v>SITUACION3-Inmueble con referencia catastral situado en la Comunidad Foral de Navarra.</v>
      </c>
      <c r="D127" t="s">
        <v>204</v>
      </c>
      <c r="E127" t="str">
        <f t="shared" si="4"/>
        <v>3-3-Inmueble con referencia catastral situado en la Comunidad Foral de Navarra.</v>
      </c>
    </row>
    <row r="128" spans="1:5" x14ac:dyDescent="0.25">
      <c r="A128" t="s">
        <v>208</v>
      </c>
      <c r="B128" t="s">
        <v>358</v>
      </c>
      <c r="C128" s="3" t="str">
        <f t="shared" si="5"/>
        <v>SITUACION4-Inmueble situado en cualquier punto del territorio español, pero sin tener asignada referencia catastral.</v>
      </c>
      <c r="D128" t="s">
        <v>205</v>
      </c>
      <c r="E128" t="str">
        <f t="shared" si="4"/>
        <v>4-4-Inmueble situado en cualquier punto del territorio español, pero sin tener asignada referencia catastral.</v>
      </c>
    </row>
    <row r="129" spans="1:5" x14ac:dyDescent="0.25">
      <c r="A129" t="s">
        <v>208</v>
      </c>
      <c r="B129" t="s">
        <v>359</v>
      </c>
      <c r="C129" s="3" t="str">
        <f t="shared" ref="C129:C160" si="6">CONCATENATE(A129,B129)</f>
        <v>SITUACION5-Inmueble situado en el extranjero.</v>
      </c>
      <c r="D129" t="s">
        <v>206</v>
      </c>
      <c r="E129" t="str">
        <f t="shared" si="4"/>
        <v>5-5-Inmueble situado en el extranjero.</v>
      </c>
    </row>
    <row r="130" spans="1:5" x14ac:dyDescent="0.25">
      <c r="A130" t="s">
        <v>237</v>
      </c>
      <c r="B130" t="s">
        <v>360</v>
      </c>
      <c r="C130" t="str">
        <f t="shared" si="6"/>
        <v>TIPO BIEN11-Terrenos dedicados exclusivamente a escombreras</v>
      </c>
      <c r="D130" t="s">
        <v>140</v>
      </c>
      <c r="E130" t="str">
        <f t="shared" ref="E130:E171" si="7">CONCATENATE(D130,"-",B130)</f>
        <v>11-11-Terrenos dedicados exclusivamente a escombreras</v>
      </c>
    </row>
    <row r="131" spans="1:5" x14ac:dyDescent="0.25">
      <c r="A131" t="s">
        <v>237</v>
      </c>
      <c r="B131" t="s">
        <v>361</v>
      </c>
      <c r="C131" t="str">
        <f t="shared" si="6"/>
        <v>TIPO BIEN12-Edificaciones y Construcciones</v>
      </c>
      <c r="D131" t="s">
        <v>141</v>
      </c>
      <c r="E131" t="str">
        <f t="shared" si="7"/>
        <v>12-12-Edificaciones y Construcciones</v>
      </c>
    </row>
    <row r="132" spans="1:5" x14ac:dyDescent="0.25">
      <c r="A132" t="s">
        <v>237</v>
      </c>
      <c r="B132" t="s">
        <v>362</v>
      </c>
      <c r="C132" t="str">
        <f t="shared" si="6"/>
        <v>TIPO BIEN21-Maquinaria</v>
      </c>
      <c r="D132" t="s">
        <v>219</v>
      </c>
      <c r="E132" t="str">
        <f t="shared" si="7"/>
        <v>21-21-Maquinaria</v>
      </c>
    </row>
    <row r="133" spans="1:5" x14ac:dyDescent="0.25">
      <c r="A133" t="s">
        <v>237</v>
      </c>
      <c r="B133" t="s">
        <v>363</v>
      </c>
      <c r="C133" t="str">
        <f t="shared" si="6"/>
        <v>TIPO BIEN22-Elementos de Transporte</v>
      </c>
      <c r="D133" t="s">
        <v>220</v>
      </c>
      <c r="E133" t="str">
        <f t="shared" si="7"/>
        <v>22-22-Elementos de Transporte</v>
      </c>
    </row>
    <row r="134" spans="1:5" x14ac:dyDescent="0.25">
      <c r="A134" t="s">
        <v>237</v>
      </c>
      <c r="B134" t="s">
        <v>364</v>
      </c>
      <c r="C134" t="str">
        <f t="shared" si="6"/>
        <v>TIPO BIEN23-Ordenadores y otros equipos informáticos</v>
      </c>
      <c r="D134" t="s">
        <v>221</v>
      </c>
      <c r="E134" t="str">
        <f t="shared" si="7"/>
        <v>23-23-Ordenadores y otros equipos informáticos</v>
      </c>
    </row>
    <row r="135" spans="1:5" x14ac:dyDescent="0.25">
      <c r="A135" t="s">
        <v>237</v>
      </c>
      <c r="B135" t="s">
        <v>365</v>
      </c>
      <c r="C135" t="str">
        <f t="shared" si="6"/>
        <v>TIPO BIEN24-Mobiliario</v>
      </c>
      <c r="D135" t="s">
        <v>222</v>
      </c>
      <c r="E135" t="str">
        <f t="shared" si="7"/>
        <v>24-24-Mobiliario</v>
      </c>
    </row>
    <row r="136" spans="1:5" x14ac:dyDescent="0.25">
      <c r="A136" t="s">
        <v>237</v>
      </c>
      <c r="B136" t="s">
        <v>366</v>
      </c>
      <c r="C136" t="str">
        <f t="shared" si="6"/>
        <v>TIPO BIEN25-Instalaciones</v>
      </c>
      <c r="D136" t="s">
        <v>223</v>
      </c>
      <c r="E136" t="str">
        <f t="shared" si="7"/>
        <v>25-25-Instalaciones</v>
      </c>
    </row>
    <row r="137" spans="1:5" x14ac:dyDescent="0.25">
      <c r="A137" t="s">
        <v>237</v>
      </c>
      <c r="B137" t="s">
        <v>367</v>
      </c>
      <c r="C137" t="str">
        <f t="shared" si="6"/>
        <v>TIPO BIEN26-Barcos y Aeronaves</v>
      </c>
      <c r="D137" t="s">
        <v>224</v>
      </c>
      <c r="E137" t="str">
        <f t="shared" si="7"/>
        <v>26-26-Barcos y Aeronaves</v>
      </c>
    </row>
    <row r="138" spans="1:5" x14ac:dyDescent="0.25">
      <c r="A138" t="s">
        <v>237</v>
      </c>
      <c r="B138" t="s">
        <v>368</v>
      </c>
      <c r="C138" t="str">
        <f t="shared" si="6"/>
        <v>TIPO BIEN27-Batea</v>
      </c>
      <c r="D138" t="s">
        <v>225</v>
      </c>
      <c r="E138" t="str">
        <f t="shared" si="7"/>
        <v>27-27-Batea</v>
      </c>
    </row>
    <row r="139" spans="1:5" x14ac:dyDescent="0.25">
      <c r="A139" t="s">
        <v>237</v>
      </c>
      <c r="B139" t="s">
        <v>369</v>
      </c>
      <c r="C139" t="str">
        <f t="shared" si="6"/>
        <v>TIPO BIEN28-Útiles y Herramientas</v>
      </c>
      <c r="D139" t="s">
        <v>226</v>
      </c>
      <c r="E139" t="str">
        <f t="shared" si="7"/>
        <v>28-28-Útiles y Herramientas</v>
      </c>
    </row>
    <row r="140" spans="1:5" x14ac:dyDescent="0.25">
      <c r="A140" t="s">
        <v>237</v>
      </c>
      <c r="B140" t="s">
        <v>370</v>
      </c>
      <c r="C140" t="str">
        <f t="shared" si="6"/>
        <v>TIPO BIEN29-Otro Inmovilizado Material</v>
      </c>
      <c r="D140" t="s">
        <v>227</v>
      </c>
      <c r="E140" t="str">
        <f t="shared" si="7"/>
        <v>29-29-Otro Inmovilizado Material</v>
      </c>
    </row>
    <row r="141" spans="1:5" x14ac:dyDescent="0.25">
      <c r="A141" t="s">
        <v>237</v>
      </c>
      <c r="B141" t="s">
        <v>371</v>
      </c>
      <c r="C141" t="str">
        <f t="shared" si="6"/>
        <v>TIPO BIEN31-Patentes y Marcas</v>
      </c>
      <c r="D141" t="s">
        <v>228</v>
      </c>
      <c r="E141" t="str">
        <f t="shared" si="7"/>
        <v>31-31-Patentes y Marcas</v>
      </c>
    </row>
    <row r="142" spans="1:5" x14ac:dyDescent="0.25">
      <c r="A142" t="s">
        <v>237</v>
      </c>
      <c r="B142" t="s">
        <v>372</v>
      </c>
      <c r="C142" t="str">
        <f t="shared" si="6"/>
        <v>TIPO BIEN32-Derechos de Traspaso</v>
      </c>
      <c r="D142" t="s">
        <v>229</v>
      </c>
      <c r="E142" t="str">
        <f t="shared" si="7"/>
        <v>32-32-Derechos de Traspaso</v>
      </c>
    </row>
    <row r="143" spans="1:5" x14ac:dyDescent="0.25">
      <c r="A143" t="s">
        <v>237</v>
      </c>
      <c r="B143" t="s">
        <v>373</v>
      </c>
      <c r="C143" t="str">
        <f t="shared" si="6"/>
        <v>TIPO BIEN33-Aplicaciones Informáticas</v>
      </c>
      <c r="D143" t="s">
        <v>230</v>
      </c>
      <c r="E143" t="str">
        <f t="shared" si="7"/>
        <v>33-33-Aplicaciones Informáticas</v>
      </c>
    </row>
    <row r="144" spans="1:5" x14ac:dyDescent="0.25">
      <c r="A144" t="s">
        <v>237</v>
      </c>
      <c r="B144" t="s">
        <v>374</v>
      </c>
      <c r="C144" t="str">
        <f t="shared" si="6"/>
        <v xml:space="preserve">TIPO BIEN39-Otro Inmovilizado Intangible </v>
      </c>
      <c r="D144" t="s">
        <v>231</v>
      </c>
      <c r="E144" t="str">
        <f t="shared" si="7"/>
        <v xml:space="preserve">39-39-Otro Inmovilizado Intangible </v>
      </c>
    </row>
    <row r="145" spans="1:5" x14ac:dyDescent="0.25">
      <c r="A145" t="s">
        <v>237</v>
      </c>
      <c r="B145" t="s">
        <v>375</v>
      </c>
      <c r="C145" t="str">
        <f t="shared" si="6"/>
        <v>TIPO BIEN41-Ganado vacuno, porcino, ovino y caprino</v>
      </c>
      <c r="D145" t="s">
        <v>232</v>
      </c>
      <c r="E145" t="str">
        <f t="shared" si="7"/>
        <v>41-41-Ganado vacuno, porcino, ovino y caprino</v>
      </c>
    </row>
    <row r="146" spans="1:5" x14ac:dyDescent="0.25">
      <c r="A146" t="s">
        <v>237</v>
      </c>
      <c r="B146" t="s">
        <v>376</v>
      </c>
      <c r="C146" t="str">
        <f t="shared" si="6"/>
        <v>TIPO BIEN42-Ganado equino y frutales no cítricos</v>
      </c>
      <c r="D146" t="s">
        <v>233</v>
      </c>
      <c r="E146" t="str">
        <f t="shared" si="7"/>
        <v>42-42-Ganado equino y frutales no cítricos</v>
      </c>
    </row>
    <row r="147" spans="1:5" x14ac:dyDescent="0.25">
      <c r="A147" t="s">
        <v>237</v>
      </c>
      <c r="B147" t="s">
        <v>377</v>
      </c>
      <c r="C147" t="str">
        <f t="shared" si="6"/>
        <v>TIPO BIEN43-Frutales cítricos y viñedos</v>
      </c>
      <c r="D147" t="s">
        <v>234</v>
      </c>
      <c r="E147" t="str">
        <f t="shared" si="7"/>
        <v>43-43-Frutales cítricos y viñedos</v>
      </c>
    </row>
    <row r="148" spans="1:5" x14ac:dyDescent="0.25">
      <c r="A148" t="s">
        <v>237</v>
      </c>
      <c r="B148" t="s">
        <v>378</v>
      </c>
      <c r="C148" t="str">
        <f t="shared" si="6"/>
        <v>TIPO BIEN44-Olivar</v>
      </c>
      <c r="D148" t="s">
        <v>235</v>
      </c>
      <c r="E148" t="str">
        <f t="shared" si="7"/>
        <v>44-44-Olivar</v>
      </c>
    </row>
    <row r="149" spans="1:5" x14ac:dyDescent="0.25">
      <c r="A149" t="s">
        <v>237</v>
      </c>
      <c r="B149" t="s">
        <v>379</v>
      </c>
      <c r="C149" t="str">
        <f t="shared" si="6"/>
        <v>TIPO BIEN49-Otros Bienes Semovientes y Agrícolas</v>
      </c>
      <c r="D149" t="s">
        <v>236</v>
      </c>
      <c r="E149" t="str">
        <f t="shared" si="7"/>
        <v>49-49-Otros Bienes Semovientes y Agrícolas</v>
      </c>
    </row>
    <row r="150" spans="1:5" x14ac:dyDescent="0.25">
      <c r="A150" t="s">
        <v>196</v>
      </c>
      <c r="B150" t="s">
        <v>380</v>
      </c>
      <c r="C150" s="3" t="str">
        <f t="shared" si="6"/>
        <v xml:space="preserve">TIPO FACTURAF1-Factura en la que se identifica al destinatario </v>
      </c>
      <c r="D150" t="s">
        <v>95</v>
      </c>
      <c r="E150" t="str">
        <f t="shared" si="7"/>
        <v xml:space="preserve">F1-F1-Factura en la que se identifica al destinatario </v>
      </c>
    </row>
    <row r="151" spans="1:5" x14ac:dyDescent="0.25">
      <c r="A151" t="s">
        <v>196</v>
      </c>
      <c r="B151" t="s">
        <v>381</v>
      </c>
      <c r="C151" s="3" t="str">
        <f t="shared" si="6"/>
        <v xml:space="preserve">TIPO FACTURAF2-Factura sin identificación del destinatario </v>
      </c>
      <c r="D151" t="s">
        <v>96</v>
      </c>
      <c r="E151" t="str">
        <f t="shared" si="7"/>
        <v xml:space="preserve">F2-F2-Factura sin identificación del destinatario </v>
      </c>
    </row>
    <row r="152" spans="1:5" x14ac:dyDescent="0.25">
      <c r="A152" t="s">
        <v>196</v>
      </c>
      <c r="B152" t="s">
        <v>382</v>
      </c>
      <c r="C152" s="3" t="str">
        <f t="shared" si="6"/>
        <v xml:space="preserve">TIPO FACTURAF3-Factura sustitutiva sin una anotación negativa </v>
      </c>
      <c r="D152" t="s">
        <v>97</v>
      </c>
      <c r="E152" t="str">
        <f t="shared" si="7"/>
        <v xml:space="preserve">F3-F3-Factura sustitutiva sin una anotación negativa </v>
      </c>
    </row>
    <row r="153" spans="1:5" x14ac:dyDescent="0.25">
      <c r="A153" t="s">
        <v>196</v>
      </c>
      <c r="B153" t="s">
        <v>383</v>
      </c>
      <c r="C153" s="3" t="str">
        <f t="shared" si="6"/>
        <v xml:space="preserve">TIPO FACTURAF4-Asiento resumen de facturas </v>
      </c>
      <c r="D153" t="s">
        <v>98</v>
      </c>
      <c r="E153" t="str">
        <f t="shared" si="7"/>
        <v xml:space="preserve">F4-F4-Asiento resumen de facturas </v>
      </c>
    </row>
    <row r="154" spans="1:5" x14ac:dyDescent="0.25">
      <c r="A154" t="s">
        <v>196</v>
      </c>
      <c r="B154" t="s">
        <v>384</v>
      </c>
      <c r="C154" s="3" t="str">
        <f t="shared" si="6"/>
        <v xml:space="preserve">TIPO FACTURAR1-Factura Rectif. (Error derecho y Art. 80 Uno Dos y Seis LIVA) </v>
      </c>
      <c r="D154" t="s">
        <v>99</v>
      </c>
      <c r="E154" t="str">
        <f t="shared" si="7"/>
        <v xml:space="preserve">R1-R1-Factura Rectif. (Error derecho y Art. 80 Uno Dos y Seis LIVA) </v>
      </c>
    </row>
    <row r="155" spans="1:5" x14ac:dyDescent="0.25">
      <c r="A155" t="s">
        <v>196</v>
      </c>
      <c r="B155" t="s">
        <v>385</v>
      </c>
      <c r="C155" s="3" t="str">
        <f t="shared" si="6"/>
        <v xml:space="preserve">TIPO FACTURAR2-Factura Rectif. (Art. 80.tres, por concurso de acreedores) </v>
      </c>
      <c r="D155" t="s">
        <v>100</v>
      </c>
      <c r="E155" t="str">
        <f t="shared" si="7"/>
        <v xml:space="preserve">R2-R2-Factura Rectif. (Art. 80.tres, por concurso de acreedores) </v>
      </c>
    </row>
    <row r="156" spans="1:5" x14ac:dyDescent="0.25">
      <c r="A156" t="s">
        <v>196</v>
      </c>
      <c r="B156" t="s">
        <v>386</v>
      </c>
      <c r="C156" s="3" t="str">
        <f t="shared" si="6"/>
        <v xml:space="preserve">TIPO FACTURAR3-Factura Rectif. (Art. 80.cuatro, por crédito incobrable) </v>
      </c>
      <c r="D156" t="s">
        <v>101</v>
      </c>
      <c r="E156" t="str">
        <f t="shared" si="7"/>
        <v xml:space="preserve">R3-R3-Factura Rectif. (Art. 80.cuatro, por crédito incobrable) </v>
      </c>
    </row>
    <row r="157" spans="1:5" x14ac:dyDescent="0.25">
      <c r="A157" t="s">
        <v>196</v>
      </c>
      <c r="B157" t="s">
        <v>387</v>
      </c>
      <c r="C157" s="3" t="str">
        <f t="shared" si="6"/>
        <v xml:space="preserve">TIPO FACTURAR4-Factura Rectif. (Resto) </v>
      </c>
      <c r="D157" t="s">
        <v>102</v>
      </c>
      <c r="E157" t="str">
        <f t="shared" si="7"/>
        <v xml:space="preserve">R4-R4-Factura Rectif. (Resto) </v>
      </c>
    </row>
    <row r="158" spans="1:5" x14ac:dyDescent="0.25">
      <c r="A158" t="s">
        <v>196</v>
      </c>
      <c r="B158" t="s">
        <v>388</v>
      </c>
      <c r="C158" s="3" t="str">
        <f t="shared" si="6"/>
        <v xml:space="preserve">TIPO FACTURAR5-Factura Rectif. en facturas simplificadas y facturas sin identificación del destinatario </v>
      </c>
      <c r="D158" t="s">
        <v>103</v>
      </c>
      <c r="E158" t="str">
        <f t="shared" si="7"/>
        <v xml:space="preserve">R5-R5-Factura Rectif. en facturas simplificadas y facturas sin identificación del destinatario </v>
      </c>
    </row>
    <row r="159" spans="1:5" x14ac:dyDescent="0.25">
      <c r="A159" t="s">
        <v>196</v>
      </c>
      <c r="B159" t="s">
        <v>389</v>
      </c>
      <c r="C159" s="3" t="str">
        <f t="shared" si="6"/>
        <v>TIPO FACTURASF-Asiento sin obligación de emitir factura</v>
      </c>
      <c r="D159" t="s">
        <v>104</v>
      </c>
      <c r="E159" t="str">
        <f t="shared" si="7"/>
        <v>SF-SF-Asiento sin obligación de emitir factura</v>
      </c>
    </row>
    <row r="160" spans="1:5" x14ac:dyDescent="0.25">
      <c r="A160" t="s">
        <v>196</v>
      </c>
      <c r="B160" t="s">
        <v>390</v>
      </c>
      <c r="C160" s="3" t="str">
        <f t="shared" si="6"/>
        <v>TIPO FACTURADV-Asiento por Devol. en Régimen de Viajeros o su modificación</v>
      </c>
      <c r="D160" t="s">
        <v>105</v>
      </c>
      <c r="E160" t="str">
        <f t="shared" si="7"/>
        <v>DV-DV-Asiento por Devol. en Régimen de Viajeros o su modificación</v>
      </c>
    </row>
    <row r="161" spans="1:5" x14ac:dyDescent="0.25">
      <c r="A161" t="s">
        <v>196</v>
      </c>
      <c r="B161" t="s">
        <v>391</v>
      </c>
      <c r="C161" s="3" t="str">
        <f t="shared" ref="C161:C213" si="8">CONCATENATE(A161,B161)</f>
        <v>TIPO FACTURAAJ-Asiento para realizar los ajustes periódicos que reflejen el correspondiente impuesto devengado incluido en la liquidación del impuesto</v>
      </c>
      <c r="D161" t="s">
        <v>106</v>
      </c>
      <c r="E161" t="str">
        <f t="shared" si="7"/>
        <v>AJ-AJ-Asiento para realizar los ajustes periódicos que reflejen el correspondiente impuesto devengado incluido en la liquidación del impuesto</v>
      </c>
    </row>
    <row r="162" spans="1:5" x14ac:dyDescent="0.25">
      <c r="A162" t="s">
        <v>198</v>
      </c>
      <c r="B162" t="s">
        <v>397</v>
      </c>
      <c r="C162" s="3" t="str">
        <f t="shared" si="8"/>
        <v>TIPO NIF01-NIF/NIE</v>
      </c>
      <c r="D162" s="3"/>
      <c r="E162" t="str">
        <f t="shared" si="7"/>
        <v>-01-NIF/NIE</v>
      </c>
    </row>
    <row r="163" spans="1:5" x14ac:dyDescent="0.25">
      <c r="A163" t="s">
        <v>198</v>
      </c>
      <c r="B163" t="s">
        <v>392</v>
      </c>
      <c r="C163" s="3" t="str">
        <f t="shared" si="8"/>
        <v>TIPO NIF02-NIF-IVA intracomunitario</v>
      </c>
      <c r="D163" s="3" t="s">
        <v>118</v>
      </c>
      <c r="E163" t="str">
        <f t="shared" si="7"/>
        <v>02-02-NIF-IVA intracomunitario</v>
      </c>
    </row>
    <row r="164" spans="1:5" x14ac:dyDescent="0.25">
      <c r="A164" t="s">
        <v>198</v>
      </c>
      <c r="B164" t="s">
        <v>393</v>
      </c>
      <c r="C164" s="3" t="str">
        <f t="shared" si="8"/>
        <v>TIPO NIF03-Pasaporte</v>
      </c>
      <c r="D164" s="3" t="s">
        <v>122</v>
      </c>
      <c r="E164" t="str">
        <f t="shared" si="7"/>
        <v>03-03-Pasaporte</v>
      </c>
    </row>
    <row r="165" spans="1:5" x14ac:dyDescent="0.25">
      <c r="A165" t="s">
        <v>198</v>
      </c>
      <c r="B165" t="s">
        <v>394</v>
      </c>
      <c r="C165" s="3" t="str">
        <f t="shared" si="8"/>
        <v>TIPO NIF04-Documento oficial de identificación expedido por el país o territorio de residencia.</v>
      </c>
      <c r="D165" s="3" t="s">
        <v>126</v>
      </c>
      <c r="E165" t="str">
        <f t="shared" si="7"/>
        <v>04-04-Documento oficial de identificación expedido por el país o territorio de residencia.</v>
      </c>
    </row>
    <row r="166" spans="1:5" x14ac:dyDescent="0.25">
      <c r="A166" t="s">
        <v>198</v>
      </c>
      <c r="B166" t="s">
        <v>395</v>
      </c>
      <c r="C166" s="3" t="str">
        <f t="shared" si="8"/>
        <v>TIPO NIF05-Certificado de Residencia.</v>
      </c>
      <c r="D166" s="3" t="s">
        <v>130</v>
      </c>
      <c r="E166" t="str">
        <f t="shared" si="7"/>
        <v>05-05-Certificado de Residencia.</v>
      </c>
    </row>
    <row r="167" spans="1:5" x14ac:dyDescent="0.25">
      <c r="A167" t="s">
        <v>198</v>
      </c>
      <c r="B167" t="s">
        <v>396</v>
      </c>
      <c r="C167" s="3" t="str">
        <f t="shared" si="8"/>
        <v>TIPO NIF06-Otro documento probatorio.</v>
      </c>
      <c r="D167" s="3" t="s">
        <v>133</v>
      </c>
      <c r="E167" t="str">
        <f t="shared" si="7"/>
        <v>06-06-Otro documento probatorio.</v>
      </c>
    </row>
    <row r="168" spans="1:5" x14ac:dyDescent="0.25">
      <c r="A168" t="s">
        <v>210</v>
      </c>
      <c r="B168" t="s">
        <v>194</v>
      </c>
      <c r="C168" t="str">
        <f t="shared" si="8"/>
        <v>TRIMESTRE1T</v>
      </c>
      <c r="D168" t="s">
        <v>194</v>
      </c>
      <c r="E168" t="str">
        <f t="shared" si="7"/>
        <v>1T-1T</v>
      </c>
    </row>
    <row r="169" spans="1:5" x14ac:dyDescent="0.25">
      <c r="A169" t="s">
        <v>210</v>
      </c>
      <c r="B169" t="s">
        <v>215</v>
      </c>
      <c r="C169" t="str">
        <f t="shared" si="8"/>
        <v>TRIMESTRE2T</v>
      </c>
      <c r="D169" t="s">
        <v>215</v>
      </c>
      <c r="E169" t="str">
        <f t="shared" si="7"/>
        <v>2T-2T</v>
      </c>
    </row>
    <row r="170" spans="1:5" x14ac:dyDescent="0.25">
      <c r="A170" t="s">
        <v>210</v>
      </c>
      <c r="B170" t="s">
        <v>216</v>
      </c>
      <c r="C170" t="str">
        <f t="shared" si="8"/>
        <v>TRIMESTRE3T</v>
      </c>
      <c r="D170" t="s">
        <v>216</v>
      </c>
      <c r="E170" t="str">
        <f t="shared" si="7"/>
        <v>3T-3T</v>
      </c>
    </row>
    <row r="171" spans="1:5" x14ac:dyDescent="0.25">
      <c r="A171" t="s">
        <v>210</v>
      </c>
      <c r="B171" t="s">
        <v>217</v>
      </c>
      <c r="C171" t="str">
        <f t="shared" si="8"/>
        <v>TRIMESTRE4T</v>
      </c>
      <c r="D171" t="s">
        <v>217</v>
      </c>
      <c r="E171" t="str">
        <f t="shared" si="7"/>
        <v>4T-4T</v>
      </c>
    </row>
    <row r="172" spans="1:5" x14ac:dyDescent="0.25">
      <c r="A172" t="s">
        <v>398</v>
      </c>
      <c r="B172">
        <v>21</v>
      </c>
      <c r="C172" t="str">
        <f t="shared" si="8"/>
        <v>TIPO IVA21</v>
      </c>
      <c r="D172">
        <v>21</v>
      </c>
    </row>
    <row r="173" spans="1:5" x14ac:dyDescent="0.25">
      <c r="A173" t="s">
        <v>398</v>
      </c>
      <c r="B173">
        <v>10</v>
      </c>
      <c r="C173" t="str">
        <f t="shared" si="8"/>
        <v>TIPO IVA10</v>
      </c>
      <c r="D173">
        <v>10</v>
      </c>
    </row>
    <row r="174" spans="1:5" x14ac:dyDescent="0.25">
      <c r="A174" t="s">
        <v>398</v>
      </c>
      <c r="B174">
        <v>4</v>
      </c>
      <c r="C174" t="str">
        <f t="shared" si="8"/>
        <v>TIPO IVA4</v>
      </c>
      <c r="D174">
        <v>4</v>
      </c>
    </row>
    <row r="175" spans="1:5" x14ac:dyDescent="0.25">
      <c r="A175" t="s">
        <v>398</v>
      </c>
      <c r="B175">
        <v>0</v>
      </c>
      <c r="C175" t="str">
        <f t="shared" si="8"/>
        <v>TIPO IVA0</v>
      </c>
      <c r="D175">
        <v>0</v>
      </c>
    </row>
    <row r="176" spans="1:5" x14ac:dyDescent="0.25">
      <c r="A176" t="s">
        <v>398</v>
      </c>
      <c r="B176">
        <v>2</v>
      </c>
      <c r="C176" t="str">
        <f t="shared" si="8"/>
        <v>TIPO IVA2</v>
      </c>
      <c r="D176">
        <v>2</v>
      </c>
    </row>
    <row r="177" spans="1:6" x14ac:dyDescent="0.25">
      <c r="A177" t="s">
        <v>398</v>
      </c>
      <c r="B177">
        <v>5</v>
      </c>
      <c r="C177" t="str">
        <f t="shared" si="8"/>
        <v>TIPO IVA5</v>
      </c>
      <c r="D177">
        <v>5</v>
      </c>
    </row>
    <row r="178" spans="1:6" x14ac:dyDescent="0.25">
      <c r="A178" t="s">
        <v>398</v>
      </c>
      <c r="B178">
        <v>7.5</v>
      </c>
      <c r="C178" t="str">
        <f t="shared" si="8"/>
        <v>TIPO IVA7,5</v>
      </c>
      <c r="D178">
        <v>7.5</v>
      </c>
    </row>
    <row r="179" spans="1:6" x14ac:dyDescent="0.25">
      <c r="A179" t="s">
        <v>398</v>
      </c>
      <c r="B179">
        <v>10.5</v>
      </c>
      <c r="C179" t="str">
        <f t="shared" si="8"/>
        <v>TIPO IVA10,5</v>
      </c>
      <c r="D179">
        <v>10.5</v>
      </c>
    </row>
    <row r="180" spans="1:6" x14ac:dyDescent="0.25">
      <c r="A180" t="s">
        <v>398</v>
      </c>
      <c r="B180">
        <v>12</v>
      </c>
      <c r="C180" t="str">
        <f t="shared" si="8"/>
        <v>TIPO IVA12</v>
      </c>
      <c r="D180">
        <v>12</v>
      </c>
    </row>
    <row r="181" spans="1:6" x14ac:dyDescent="0.25">
      <c r="A181" t="s">
        <v>399</v>
      </c>
      <c r="B181">
        <v>5.2</v>
      </c>
      <c r="C181" t="str">
        <f t="shared" si="8"/>
        <v>TIPO RECARGO EQUIVALENCIA5,2</v>
      </c>
      <c r="D181">
        <v>5.2</v>
      </c>
    </row>
    <row r="182" spans="1:6" x14ac:dyDescent="0.25">
      <c r="A182" t="s">
        <v>399</v>
      </c>
      <c r="B182">
        <v>1.4</v>
      </c>
      <c r="C182" t="str">
        <f t="shared" si="8"/>
        <v>TIPO RECARGO EQUIVALENCIA1,4</v>
      </c>
      <c r="D182">
        <v>1.4</v>
      </c>
    </row>
    <row r="183" spans="1:6" x14ac:dyDescent="0.25">
      <c r="A183" t="s">
        <v>399</v>
      </c>
      <c r="B183">
        <v>0.5</v>
      </c>
      <c r="C183" t="str">
        <f t="shared" si="8"/>
        <v>TIPO RECARGO EQUIVALENCIA0,5</v>
      </c>
      <c r="D183">
        <v>0.5</v>
      </c>
    </row>
    <row r="184" spans="1:6" x14ac:dyDescent="0.25">
      <c r="A184" t="s">
        <v>399</v>
      </c>
      <c r="B184">
        <v>1.75</v>
      </c>
      <c r="C184" t="str">
        <f t="shared" si="8"/>
        <v>TIPO RECARGO EQUIVALENCIA1,75</v>
      </c>
      <c r="D184">
        <v>1.75</v>
      </c>
    </row>
    <row r="185" spans="1:6" x14ac:dyDescent="0.25">
      <c r="A185" t="s">
        <v>399</v>
      </c>
      <c r="B185">
        <v>0.62</v>
      </c>
      <c r="C185" t="str">
        <f t="shared" si="8"/>
        <v>TIPO RECARGO EQUIVALENCIA0,62</v>
      </c>
      <c r="D185">
        <v>0.62</v>
      </c>
    </row>
    <row r="186" spans="1:6" x14ac:dyDescent="0.25">
      <c r="A186" t="s">
        <v>399</v>
      </c>
      <c r="B186">
        <v>0</v>
      </c>
      <c r="C186" t="str">
        <f t="shared" si="8"/>
        <v>TIPO RECARGO EQUIVALENCIA0</v>
      </c>
      <c r="D186">
        <v>0</v>
      </c>
    </row>
    <row r="187" spans="1:6" x14ac:dyDescent="0.25">
      <c r="B187" s="5"/>
      <c r="D187" s="5"/>
    </row>
    <row r="188" spans="1:6" x14ac:dyDescent="0.25">
      <c r="B188" s="5"/>
      <c r="D188" s="5"/>
    </row>
    <row r="189" spans="1:6" x14ac:dyDescent="0.25">
      <c r="B189" s="5"/>
      <c r="D189" s="5"/>
    </row>
    <row r="190" spans="1:6" x14ac:dyDescent="0.25">
      <c r="B190" s="5"/>
      <c r="D190" s="5"/>
    </row>
    <row r="191" spans="1:6" x14ac:dyDescent="0.25">
      <c r="A191" t="s">
        <v>402</v>
      </c>
      <c r="B191" t="s">
        <v>416</v>
      </c>
      <c r="C191" t="str">
        <f t="shared" si="8"/>
        <v>TIPO FACTURA GASTOF1-Factura en la que se identifica al destinatario</v>
      </c>
      <c r="D191" t="s">
        <v>95</v>
      </c>
      <c r="E191" t="str">
        <f>LEFT(C191,2)</f>
        <v>TI</v>
      </c>
      <c r="F191" t="str">
        <f>RIGHT(C191,LEN(C191)-4)</f>
        <v xml:space="preserve"> FACTURA GASTOF1-Factura en la que se identifica al destinatario</v>
      </c>
    </row>
    <row r="192" spans="1:6" x14ac:dyDescent="0.25">
      <c r="A192" t="s">
        <v>402</v>
      </c>
      <c r="B192" t="s">
        <v>417</v>
      </c>
      <c r="C192" t="str">
        <f t="shared" si="8"/>
        <v>TIPO FACTURA GASTOF2-Factura sin identificación del destinatario</v>
      </c>
      <c r="D192" t="s">
        <v>96</v>
      </c>
      <c r="E192" t="str">
        <f t="shared" ref="E192:E203" si="9">LEFT(C192,2)</f>
        <v>TI</v>
      </c>
      <c r="F192" t="str">
        <f t="shared" ref="F192:F203" si="10">RIGHT(C192,LEN(C192)-4)</f>
        <v xml:space="preserve"> FACTURA GASTOF2-Factura sin identificación del destinatario</v>
      </c>
    </row>
    <row r="193" spans="1:6" x14ac:dyDescent="0.25">
      <c r="A193" t="s">
        <v>402</v>
      </c>
      <c r="B193" t="s">
        <v>406</v>
      </c>
      <c r="C193" t="str">
        <f t="shared" si="8"/>
        <v>TIPO FACTURA GASTOF3-Factura sustitutiva sin una anotación negativa que anule las facturas simplificadas a las que sustituye. Sólo utilizarán este tipo aquellos obligados que registren facturas en sustitución de facturas simplificadas.</v>
      </c>
      <c r="D193" t="s">
        <v>97</v>
      </c>
      <c r="E193" t="str">
        <f t="shared" si="9"/>
        <v>TI</v>
      </c>
      <c r="F193" t="str">
        <f t="shared" si="10"/>
        <v xml:space="preserve"> FACTURA GASTOF3-Factura sustitutiva sin una anotación negativa que anule las facturas simplificadas a las que sustituye. Sólo utilizarán este tipo aquellos obligados que registren facturas en sustitución de facturas simplificadas.</v>
      </c>
    </row>
    <row r="194" spans="1:6" x14ac:dyDescent="0.25">
      <c r="A194" t="s">
        <v>402</v>
      </c>
      <c r="B194" t="s">
        <v>407</v>
      </c>
      <c r="C194" t="str">
        <f t="shared" si="8"/>
        <v>TIPO FACTURA GASTOF4-Asiento resumen de facturas</v>
      </c>
      <c r="D194" t="s">
        <v>98</v>
      </c>
      <c r="E194" t="str">
        <f t="shared" si="9"/>
        <v>TI</v>
      </c>
      <c r="F194" t="str">
        <f t="shared" si="10"/>
        <v xml:space="preserve"> FACTURA GASTOF4-Asiento resumen de facturas</v>
      </c>
    </row>
    <row r="195" spans="1:6" x14ac:dyDescent="0.25">
      <c r="A195" t="s">
        <v>402</v>
      </c>
      <c r="B195" t="s">
        <v>408</v>
      </c>
      <c r="C195" t="str">
        <f t="shared" si="8"/>
        <v>TIPO FACTURA GASTOF5-Importaciones (DUA)</v>
      </c>
      <c r="D195" t="s">
        <v>403</v>
      </c>
      <c r="E195" t="str">
        <f t="shared" si="9"/>
        <v>TI</v>
      </c>
      <c r="F195" t="str">
        <f t="shared" si="10"/>
        <v xml:space="preserve"> FACTURA GASTOF5-Importaciones (DUA)</v>
      </c>
    </row>
    <row r="196" spans="1:6" x14ac:dyDescent="0.25">
      <c r="A196" t="s">
        <v>402</v>
      </c>
      <c r="B196" t="s">
        <v>418</v>
      </c>
      <c r="C196" t="str">
        <f t="shared" si="8"/>
        <v>TIPO FACTURA GASTOF6-Justificantes contables</v>
      </c>
      <c r="D196" t="s">
        <v>404</v>
      </c>
      <c r="E196" t="str">
        <f t="shared" si="9"/>
        <v>TI</v>
      </c>
      <c r="F196" t="str">
        <f t="shared" si="10"/>
        <v xml:space="preserve"> FACTURA GASTOF6-Justificantes contables</v>
      </c>
    </row>
    <row r="197" spans="1:6" x14ac:dyDescent="0.25">
      <c r="A197" t="s">
        <v>402</v>
      </c>
      <c r="B197" t="s">
        <v>409</v>
      </c>
      <c r="C197" t="str">
        <f t="shared" si="8"/>
        <v>TIPO FACTURA GASTOR1-Factura Rectificativa (Error fundado en derecho y Art. 80 Uno Dos y Seis LIVA)</v>
      </c>
      <c r="D197" t="s">
        <v>99</v>
      </c>
      <c r="E197" t="str">
        <f t="shared" si="9"/>
        <v>TI</v>
      </c>
      <c r="F197" t="str">
        <f t="shared" si="10"/>
        <v xml:space="preserve"> FACTURA GASTOR1-Factura Rectificativa (Error fundado en derecho y Art. 80 Uno Dos y Seis LIVA)</v>
      </c>
    </row>
    <row r="198" spans="1:6" x14ac:dyDescent="0.25">
      <c r="A198" t="s">
        <v>402</v>
      </c>
      <c r="B198" t="s">
        <v>410</v>
      </c>
      <c r="C198" t="str">
        <f t="shared" si="8"/>
        <v>TIPO FACTURA GASTOR2-Factura Rectificativa (Art. 80.tres, por concurso de acreedores)</v>
      </c>
      <c r="D198" t="s">
        <v>100</v>
      </c>
      <c r="E198" t="str">
        <f t="shared" si="9"/>
        <v>TI</v>
      </c>
      <c r="F198" t="str">
        <f t="shared" si="10"/>
        <v xml:space="preserve"> FACTURA GASTOR2-Factura Rectificativa (Art. 80.tres, por concurso de acreedores)</v>
      </c>
    </row>
    <row r="199" spans="1:6" x14ac:dyDescent="0.25">
      <c r="A199" t="s">
        <v>402</v>
      </c>
      <c r="B199" t="s">
        <v>411</v>
      </c>
      <c r="C199" t="str">
        <f t="shared" si="8"/>
        <v>TIPO FACTURA GASTOR3-Factura Rectificativa (Art. 80.cuatro, por crédito incobrable)</v>
      </c>
      <c r="D199" t="s">
        <v>101</v>
      </c>
      <c r="E199" t="str">
        <f t="shared" si="9"/>
        <v>TI</v>
      </c>
      <c r="F199" t="str">
        <f t="shared" si="10"/>
        <v xml:space="preserve"> FACTURA GASTOR3-Factura Rectificativa (Art. 80.cuatro, por crédito incobrable)</v>
      </c>
    </row>
    <row r="200" spans="1:6" x14ac:dyDescent="0.25">
      <c r="A200" t="s">
        <v>402</v>
      </c>
      <c r="B200" t="s">
        <v>412</v>
      </c>
      <c r="C200" t="str">
        <f t="shared" si="8"/>
        <v>TIPO FACTURA GASTOR4-Factura Rectificativa (Resto)</v>
      </c>
      <c r="D200" t="s">
        <v>102</v>
      </c>
      <c r="E200" t="str">
        <f t="shared" si="9"/>
        <v>TI</v>
      </c>
      <c r="F200" t="str">
        <f t="shared" si="10"/>
        <v xml:space="preserve"> FACTURA GASTOR4-Factura Rectificativa (Resto)</v>
      </c>
    </row>
    <row r="201" spans="1:6" x14ac:dyDescent="0.25">
      <c r="A201" t="s">
        <v>402</v>
      </c>
      <c r="B201" t="s">
        <v>413</v>
      </c>
      <c r="C201" t="str">
        <f t="shared" si="8"/>
        <v xml:space="preserve">TIPO FACTURA GASTOR5-Factura Rectificativa en facturas simplificadas  y facturas sin identificación del destinatario  </v>
      </c>
      <c r="D201" t="s">
        <v>103</v>
      </c>
      <c r="E201" t="str">
        <f t="shared" si="9"/>
        <v>TI</v>
      </c>
      <c r="F201" t="str">
        <f t="shared" si="10"/>
        <v xml:space="preserve"> FACTURA GASTOR5-Factura Rectificativa en facturas simplificadas  y facturas sin identificación del destinatario  </v>
      </c>
    </row>
    <row r="202" spans="1:6" x14ac:dyDescent="0.25">
      <c r="A202" t="s">
        <v>402</v>
      </c>
      <c r="B202" t="s">
        <v>414</v>
      </c>
      <c r="C202" t="str">
        <f t="shared" si="8"/>
        <v>TIPO FACTURA GASTOLC-Aduanas - Liquidación complementaria</v>
      </c>
      <c r="D202" t="s">
        <v>405</v>
      </c>
      <c r="E202" t="str">
        <f t="shared" si="9"/>
        <v>TI</v>
      </c>
      <c r="F202" t="str">
        <f t="shared" si="10"/>
        <v xml:space="preserve"> FACTURA GASTOLC-Aduanas - Liquidación complementaria</v>
      </c>
    </row>
    <row r="203" spans="1:6" x14ac:dyDescent="0.25">
      <c r="A203" t="s">
        <v>402</v>
      </c>
      <c r="B203" t="s">
        <v>415</v>
      </c>
      <c r="C203" t="str">
        <f t="shared" si="8"/>
        <v>TIPO FACTURA GASTOSF-Asiento sin obligación de emitir factura. En caso del libro del IVA, este valor sólo se podrá utilizar para el asiento por ajuste de la prorrata y sólo lleva cuota.</v>
      </c>
      <c r="D203" t="s">
        <v>104</v>
      </c>
      <c r="E203" t="str">
        <f t="shared" si="9"/>
        <v>TI</v>
      </c>
      <c r="F203" t="str">
        <f t="shared" si="10"/>
        <v xml:space="preserve"> FACTURA GASTOSF-Asiento sin obligación de emitir factura. En caso del libro del IVA, este valor sólo se podrá utilizar para el asiento por ajuste de la prorrata y sólo lleva cuota.</v>
      </c>
    </row>
    <row r="204" spans="1:6" x14ac:dyDescent="0.25">
      <c r="A204" t="s">
        <v>419</v>
      </c>
      <c r="B204" t="s">
        <v>420</v>
      </c>
      <c r="C204" t="str">
        <f t="shared" si="8"/>
        <v>METODO AMORTIZACION01-Sistema de amortización lineal según tablas.</v>
      </c>
      <c r="D204" t="str">
        <f>LEFT(B204,2)</f>
        <v>01</v>
      </c>
    </row>
    <row r="205" spans="1:6" x14ac:dyDescent="0.25">
      <c r="A205" t="s">
        <v>419</v>
      </c>
      <c r="B205" t="s">
        <v>421</v>
      </c>
      <c r="C205" t="str">
        <f t="shared" si="8"/>
        <v>METODO AMORTIZACION02-Sistema de amortización según porcentaje constante sobre el importe pendiente de amortización</v>
      </c>
      <c r="D205" t="str">
        <f t="shared" ref="D205:D213" si="11">LEFT(B205,2)</f>
        <v>02</v>
      </c>
    </row>
    <row r="206" spans="1:6" x14ac:dyDescent="0.25">
      <c r="A206" t="s">
        <v>419</v>
      </c>
      <c r="B206" t="s">
        <v>422</v>
      </c>
      <c r="C206" t="str">
        <f t="shared" si="8"/>
        <v>METODO AMORTIZACION03-Sistema de amortización según número dígitos.</v>
      </c>
      <c r="D206" t="str">
        <f t="shared" si="11"/>
        <v>03</v>
      </c>
    </row>
    <row r="207" spans="1:6" x14ac:dyDescent="0.25">
      <c r="A207" t="s">
        <v>419</v>
      </c>
      <c r="B207" t="s">
        <v>423</v>
      </c>
      <c r="C207" t="str">
        <f t="shared" si="8"/>
        <v>METODO AMORTIZACION04-Planes de amortización</v>
      </c>
      <c r="D207" t="str">
        <f t="shared" si="11"/>
        <v>04</v>
      </c>
    </row>
    <row r="208" spans="1:6" x14ac:dyDescent="0.25">
      <c r="A208" t="s">
        <v>419</v>
      </c>
      <c r="B208" t="s">
        <v>424</v>
      </c>
      <c r="C208" t="str">
        <f t="shared" si="8"/>
        <v>METODO AMORTIZACION05-Depreciación efectiva probada fehacientemente</v>
      </c>
      <c r="D208" t="str">
        <f t="shared" si="11"/>
        <v>05</v>
      </c>
    </row>
    <row r="209" spans="1:4" x14ac:dyDescent="0.25">
      <c r="A209" t="s">
        <v>419</v>
      </c>
      <c r="B209" t="s">
        <v>425</v>
      </c>
      <c r="C209" t="str">
        <f t="shared" si="8"/>
        <v>METODO AMORTIZACION06-Libertad de Amortización</v>
      </c>
      <c r="D209" t="str">
        <f t="shared" si="11"/>
        <v>06</v>
      </c>
    </row>
    <row r="210" spans="1:4" x14ac:dyDescent="0.25">
      <c r="A210" t="s">
        <v>419</v>
      </c>
      <c r="B210" t="s">
        <v>426</v>
      </c>
      <c r="C210" t="str">
        <f t="shared" si="8"/>
        <v>METODO AMORTIZACION07-Amortización Acelerada</v>
      </c>
      <c r="D210" t="str">
        <f t="shared" si="11"/>
        <v>07</v>
      </c>
    </row>
    <row r="211" spans="1:4" x14ac:dyDescent="0.25">
      <c r="A211" t="s">
        <v>419</v>
      </c>
      <c r="B211" t="s">
        <v>427</v>
      </c>
      <c r="C211" t="str">
        <f t="shared" si="8"/>
        <v>METODO AMORTIZACION08-Amortización de Elementos Adquiridos Usados</v>
      </c>
      <c r="D211" t="str">
        <f t="shared" si="11"/>
        <v>08</v>
      </c>
    </row>
    <row r="212" spans="1:4" x14ac:dyDescent="0.25">
      <c r="A212" t="s">
        <v>419</v>
      </c>
      <c r="B212" t="s">
        <v>428</v>
      </c>
      <c r="C212" t="str">
        <f t="shared" si="8"/>
        <v>METODO AMORTIZACION09-Amortización de Elementos Patrimoniales Objeto de Reinversión de Empresas de Reducida Dimensión (DT 28ª LIS)</v>
      </c>
      <c r="D212" t="str">
        <f t="shared" si="11"/>
        <v>09</v>
      </c>
    </row>
    <row r="213" spans="1:4" x14ac:dyDescent="0.25">
      <c r="A213" t="s">
        <v>419</v>
      </c>
      <c r="B213" t="s">
        <v>429</v>
      </c>
      <c r="C213" t="str">
        <f t="shared" si="8"/>
        <v>METODO AMORTIZACION10-Amortización de Activos Nuevos Adquiridos en 2003 y 2004 (DT 13ª LIS)</v>
      </c>
      <c r="D213" t="str">
        <f t="shared" si="11"/>
        <v>10</v>
      </c>
    </row>
  </sheetData>
  <sortState xmlns:xlrd2="http://schemas.microsoft.com/office/spreadsheetml/2017/richdata2" ref="B181:B190">
    <sortCondition ref="B18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20</vt:i4>
      </vt:variant>
    </vt:vector>
  </HeadingPairs>
  <TitlesOfParts>
    <vt:vector size="28" baseType="lpstr">
      <vt:lpstr>INSTRUCCIONES</vt:lpstr>
      <vt:lpstr>Registrar expedidas_ingresos</vt:lpstr>
      <vt:lpstr>Registrar recibidas_gastos</vt:lpstr>
      <vt:lpstr>Registrar bienes de inversión</vt:lpstr>
      <vt:lpstr>EXPEDIDAS_INGRESOS</vt:lpstr>
      <vt:lpstr>RECIBIDAS_GASTOS</vt:lpstr>
      <vt:lpstr>BIENES-INVERSIÓN</vt:lpstr>
      <vt:lpstr>CODIGO-LITERAL</vt:lpstr>
      <vt:lpstr>A</vt:lpstr>
      <vt:lpstr>ACTIVIDAD</vt:lpstr>
      <vt:lpstr>B</vt:lpstr>
      <vt:lpstr>CALIFICACION_OPERACION</vt:lpstr>
      <vt:lpstr>CAUSA_BAJA_BIEN</vt:lpstr>
      <vt:lpstr>CLAVE_OPERACION</vt:lpstr>
      <vt:lpstr>CLAVE_OPERACION_GASTO</vt:lpstr>
      <vt:lpstr>CONCEPTO_GASTO</vt:lpstr>
      <vt:lpstr>CONCEPTO_INGRESO</vt:lpstr>
      <vt:lpstr>MEDIO_UTILIZADO</vt:lpstr>
      <vt:lpstr>METODO_AMORTIZACION</vt:lpstr>
      <vt:lpstr>OPERACION_EXENTA</vt:lpstr>
      <vt:lpstr>SITUACION</vt:lpstr>
      <vt:lpstr>TIPO_BIEN</vt:lpstr>
      <vt:lpstr>TIPO_FACTURA</vt:lpstr>
      <vt:lpstr>TIPO_FACTURA_GASTO</vt:lpstr>
      <vt:lpstr>TIPO_IVA</vt:lpstr>
      <vt:lpstr>TIPO_NIF</vt:lpstr>
      <vt:lpstr>TIPO_RECARGO_EQUIVALENCIA</vt:lpstr>
      <vt:lpstr>TRIMESTRE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CENDOYA MARTINEZ IZASKUN</cp:lastModifiedBy>
  <cp:lastPrinted>2019-09-09T11:01:38Z</cp:lastPrinted>
  <dcterms:created xsi:type="dcterms:W3CDTF">2018-11-07T08:58:17Z</dcterms:created>
  <dcterms:modified xsi:type="dcterms:W3CDTF">2026-06-08T11:03:23Z</dcterms:modified>
  <cp:contentStatus/>
</cp:coreProperties>
</file>